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1fb6d65cec652da6/Desktop/"/>
    </mc:Choice>
  </mc:AlternateContent>
  <xr:revisionPtr revIDLastSave="0" documentId="8_{851DA12E-5E27-40FD-A219-049EC878E10D}" xr6:coauthVersionLast="47" xr6:coauthVersionMax="47" xr10:uidLastSave="{00000000-0000-0000-0000-000000000000}"/>
  <bookViews>
    <workbookView xWindow="-120" yWindow="-120" windowWidth="20730" windowHeight="11160" firstSheet="1" activeTab="4" xr2:uid="{00000000-000D-0000-FFFF-FFFF00000000}"/>
  </bookViews>
  <sheets>
    <sheet name="Home Page" sheetId="4" r:id="rId1"/>
    <sheet name="Cleaned Data" sheetId="1" r:id="rId2"/>
    <sheet name="Pivot Table" sheetId="6" r:id="rId3"/>
    <sheet name="Profit Analysis" sheetId="9" r:id="rId4"/>
    <sheet name="Brand Analysis" sheetId="10" r:id="rId5"/>
  </sheets>
  <definedNames>
    <definedName name="_xlnm._FilterDatabase" localSheetId="1" hidden="1">'Cleaned Data'!$A$1:$P$1048</definedName>
    <definedName name="_xlchart.v2.0" hidden="1">'Pivot Table'!$H$70:$H$76</definedName>
    <definedName name="_xlchart.v2.1" hidden="1">'Pivot Table'!$I$69</definedName>
    <definedName name="_xlchart.v2.2" hidden="1">'Pivot Table'!$I$70:$I$76</definedName>
    <definedName name="Slicer_BRANDS">#N/A</definedName>
    <definedName name="Slicer_COUNTRIES">#N/A</definedName>
    <definedName name="Slicer_COUNTRIES1">#N/A</definedName>
    <definedName name="Slicer_TERRITORY">#N/A</definedName>
    <definedName name="Slicer_YEARS">#N/A</definedName>
    <definedName name="Slicer_YEARS1">#N/A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2" i="6" l="1"/>
  <c r="H13" i="6"/>
  <c r="H14" i="6"/>
  <c r="H15" i="6"/>
  <c r="I12" i="6"/>
  <c r="I13" i="6"/>
  <c r="I14" i="6"/>
  <c r="I15" i="6"/>
  <c r="I11" i="6"/>
  <c r="D27" i="6"/>
  <c r="D28" i="6"/>
  <c r="C27" i="6"/>
  <c r="C28" i="6"/>
  <c r="L59" i="6"/>
  <c r="L60" i="6"/>
  <c r="L61" i="6"/>
  <c r="L62" i="6"/>
  <c r="L58" i="6"/>
  <c r="M59" i="6"/>
  <c r="M60" i="6"/>
  <c r="M61" i="6"/>
  <c r="M62" i="6"/>
  <c r="M58" i="6"/>
  <c r="K60" i="6"/>
  <c r="K61" i="6"/>
  <c r="K62" i="6"/>
  <c r="K59" i="6"/>
  <c r="K58" i="6"/>
  <c r="K57" i="6"/>
  <c r="L57" i="6"/>
  <c r="M57" i="6"/>
  <c r="J57" i="6"/>
  <c r="J58" i="6"/>
  <c r="J59" i="6"/>
  <c r="J60" i="6"/>
  <c r="J61" i="6"/>
  <c r="J62" i="6"/>
  <c r="C86" i="6"/>
  <c r="D86" i="6"/>
  <c r="C87" i="6"/>
  <c r="D87" i="6"/>
  <c r="C88" i="6"/>
  <c r="D88" i="6"/>
  <c r="C89" i="6"/>
  <c r="D89" i="6"/>
  <c r="C90" i="6"/>
  <c r="D90" i="6"/>
  <c r="C91" i="6"/>
  <c r="D91" i="6"/>
  <c r="C92" i="6"/>
  <c r="D92" i="6"/>
  <c r="D85" i="6"/>
  <c r="C85" i="6"/>
  <c r="H87" i="6"/>
  <c r="I87" i="6"/>
  <c r="H88" i="6"/>
  <c r="I88" i="6"/>
  <c r="H89" i="6"/>
  <c r="I89" i="6"/>
  <c r="H90" i="6"/>
  <c r="I90" i="6"/>
  <c r="H91" i="6"/>
  <c r="I91" i="6"/>
  <c r="H92" i="6"/>
  <c r="I92" i="6"/>
  <c r="I86" i="6"/>
  <c r="H86" i="6"/>
  <c r="H74" i="6"/>
  <c r="H70" i="6"/>
  <c r="H76" i="6"/>
  <c r="I76" i="6"/>
  <c r="I70" i="6"/>
  <c r="H71" i="6"/>
  <c r="I71" i="6"/>
  <c r="H72" i="6"/>
  <c r="I72" i="6"/>
  <c r="H73" i="6"/>
  <c r="I73" i="6"/>
  <c r="I74" i="6"/>
  <c r="H75" i="6"/>
  <c r="I75" i="6"/>
  <c r="I69" i="6"/>
  <c r="H69" i="6"/>
  <c r="C79" i="6"/>
  <c r="D79" i="6"/>
  <c r="D78" i="6"/>
  <c r="C78" i="6"/>
  <c r="C126" i="6"/>
  <c r="D126" i="6"/>
  <c r="C127" i="6"/>
  <c r="D127" i="6"/>
  <c r="C128" i="6"/>
  <c r="D128" i="6"/>
  <c r="C129" i="6"/>
  <c r="D129" i="6"/>
  <c r="C130" i="6"/>
  <c r="D130" i="6"/>
  <c r="D125" i="6"/>
  <c r="C125" i="6"/>
  <c r="D55" i="6"/>
  <c r="C56" i="6"/>
  <c r="D56" i="6"/>
  <c r="C57" i="6"/>
  <c r="D57" i="6"/>
  <c r="C58" i="6"/>
  <c r="D58" i="6"/>
  <c r="C55" i="6"/>
  <c r="D67" i="6"/>
  <c r="D68" i="6"/>
  <c r="D69" i="6"/>
  <c r="D70" i="6"/>
  <c r="D71" i="6"/>
  <c r="D72" i="6"/>
  <c r="C68" i="6"/>
  <c r="C69" i="6"/>
  <c r="C70" i="6"/>
  <c r="C71" i="6"/>
  <c r="C72" i="6"/>
  <c r="C66" i="6"/>
  <c r="D66" i="6"/>
  <c r="C67" i="6"/>
  <c r="D65" i="6"/>
  <c r="C65" i="6"/>
  <c r="H117" i="6"/>
  <c r="H118" i="6"/>
  <c r="I118" i="6"/>
  <c r="I117" i="6"/>
  <c r="R9" i="1"/>
  <c r="R7" i="1"/>
  <c r="C118" i="6"/>
  <c r="D118" i="6"/>
  <c r="D117" i="6"/>
  <c r="C117" i="6"/>
  <c r="H41" i="6"/>
  <c r="I41" i="6"/>
  <c r="I40" i="6"/>
  <c r="H40" i="6"/>
  <c r="C33" i="6"/>
  <c r="D33" i="6"/>
  <c r="C34" i="6"/>
  <c r="D34" i="6"/>
  <c r="C35" i="6"/>
  <c r="D35" i="6"/>
  <c r="C36" i="6"/>
  <c r="D36" i="6"/>
  <c r="C37" i="6"/>
  <c r="D37" i="6"/>
  <c r="C38" i="6"/>
  <c r="D38" i="6"/>
  <c r="C39" i="6"/>
  <c r="D39" i="6"/>
  <c r="C40" i="6"/>
  <c r="D40" i="6"/>
  <c r="C41" i="6"/>
  <c r="D41" i="6"/>
  <c r="C42" i="6"/>
  <c r="D42" i="6"/>
  <c r="C43" i="6"/>
  <c r="D43" i="6"/>
  <c r="C44" i="6"/>
  <c r="D44" i="6"/>
  <c r="D32" i="6"/>
  <c r="C32" i="6"/>
  <c r="D5" i="6"/>
  <c r="C5" i="6"/>
  <c r="H19" i="6"/>
  <c r="I19" i="6"/>
  <c r="I18" i="6"/>
  <c r="H18" i="6"/>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2" i="1"/>
  <c r="O1048" i="1"/>
  <c r="O1047" i="1"/>
  <c r="O1046" i="1"/>
  <c r="O1045" i="1"/>
  <c r="O1044" i="1"/>
  <c r="O1043" i="1"/>
  <c r="O1042" i="1"/>
  <c r="O1041" i="1"/>
  <c r="O1040" i="1"/>
  <c r="O1039" i="1"/>
  <c r="O1038" i="1"/>
  <c r="O1037" i="1"/>
  <c r="O1036" i="1"/>
  <c r="O1035" i="1"/>
  <c r="O1034" i="1"/>
  <c r="O1033" i="1"/>
  <c r="O1032" i="1"/>
  <c r="O1031" i="1"/>
  <c r="O1030" i="1"/>
  <c r="O1029" i="1"/>
  <c r="O1028" i="1"/>
  <c r="O1027" i="1"/>
  <c r="O1026" i="1"/>
  <c r="O1025" i="1"/>
  <c r="O1024" i="1"/>
  <c r="O1023" i="1"/>
  <c r="O1022" i="1"/>
  <c r="O1021" i="1"/>
  <c r="O1020" i="1"/>
  <c r="O1019" i="1"/>
  <c r="O1018" i="1"/>
  <c r="O1017" i="1"/>
  <c r="O1016" i="1"/>
  <c r="O1015" i="1"/>
  <c r="O1014" i="1"/>
  <c r="O1013" i="1"/>
  <c r="O1012" i="1"/>
  <c r="O1011" i="1"/>
  <c r="O1010" i="1"/>
  <c r="O1009" i="1"/>
  <c r="O1008" i="1"/>
  <c r="O1007" i="1"/>
  <c r="O1006" i="1"/>
  <c r="O1005" i="1"/>
  <c r="O1004" i="1"/>
  <c r="O1003" i="1"/>
  <c r="O1002" i="1"/>
  <c r="O1001" i="1"/>
  <c r="O1000" i="1"/>
  <c r="O999" i="1"/>
  <c r="O998" i="1"/>
  <c r="O997" i="1"/>
  <c r="O996" i="1"/>
  <c r="O995" i="1"/>
  <c r="O994" i="1"/>
  <c r="O993" i="1"/>
  <c r="O992" i="1"/>
  <c r="O991" i="1"/>
  <c r="O990" i="1"/>
  <c r="O989" i="1"/>
  <c r="O988" i="1"/>
  <c r="O987" i="1"/>
  <c r="O986" i="1"/>
  <c r="O985" i="1"/>
  <c r="O984" i="1"/>
  <c r="O983" i="1"/>
  <c r="O982" i="1"/>
  <c r="O981" i="1"/>
  <c r="O980" i="1"/>
  <c r="O979" i="1"/>
  <c r="O978" i="1"/>
  <c r="O977" i="1"/>
  <c r="O976" i="1"/>
  <c r="O975" i="1"/>
  <c r="O974" i="1"/>
  <c r="O973" i="1"/>
  <c r="O972" i="1"/>
  <c r="O971" i="1"/>
  <c r="O970" i="1"/>
  <c r="O969" i="1"/>
  <c r="O968" i="1"/>
  <c r="O967" i="1"/>
  <c r="O966" i="1"/>
  <c r="O965" i="1"/>
  <c r="O964" i="1"/>
  <c r="O963" i="1"/>
  <c r="O962" i="1"/>
  <c r="O961" i="1"/>
  <c r="O960" i="1"/>
  <c r="O959" i="1"/>
  <c r="O958" i="1"/>
  <c r="O957" i="1"/>
  <c r="O956" i="1"/>
  <c r="O955" i="1"/>
  <c r="O954" i="1"/>
  <c r="O953" i="1"/>
  <c r="O952" i="1"/>
  <c r="O951" i="1"/>
  <c r="O950" i="1"/>
  <c r="O949" i="1"/>
  <c r="O948" i="1"/>
  <c r="O947" i="1"/>
  <c r="O946" i="1"/>
  <c r="O945" i="1"/>
  <c r="O944" i="1"/>
  <c r="O943" i="1"/>
  <c r="O942" i="1"/>
  <c r="O941" i="1"/>
  <c r="O940" i="1"/>
  <c r="O939" i="1"/>
  <c r="O938" i="1"/>
  <c r="O937" i="1"/>
  <c r="O936" i="1"/>
  <c r="O935" i="1"/>
  <c r="O934" i="1"/>
  <c r="O933" i="1"/>
  <c r="O932" i="1"/>
  <c r="O931" i="1"/>
  <c r="O930" i="1"/>
  <c r="O929" i="1"/>
  <c r="O928" i="1"/>
  <c r="O927" i="1"/>
  <c r="O926" i="1"/>
  <c r="O925" i="1"/>
  <c r="O924" i="1"/>
  <c r="O923" i="1"/>
  <c r="O922" i="1"/>
  <c r="O921" i="1"/>
  <c r="O920" i="1"/>
  <c r="O919" i="1"/>
  <c r="O918" i="1"/>
  <c r="O917" i="1"/>
  <c r="O916" i="1"/>
  <c r="O915" i="1"/>
  <c r="O914" i="1"/>
  <c r="O913" i="1"/>
  <c r="O912" i="1"/>
  <c r="O911" i="1"/>
  <c r="O910" i="1"/>
  <c r="O909" i="1"/>
  <c r="O908" i="1"/>
  <c r="O907" i="1"/>
  <c r="O906" i="1"/>
  <c r="O905" i="1"/>
  <c r="O904" i="1"/>
  <c r="O903" i="1"/>
  <c r="O902" i="1"/>
  <c r="O901" i="1"/>
  <c r="O900" i="1"/>
  <c r="O899" i="1"/>
  <c r="O898" i="1"/>
  <c r="O897" i="1"/>
  <c r="O896" i="1"/>
  <c r="O895" i="1"/>
  <c r="O894" i="1"/>
  <c r="O893" i="1"/>
  <c r="O892" i="1"/>
  <c r="O891" i="1"/>
  <c r="O890" i="1"/>
  <c r="O889" i="1"/>
  <c r="O888" i="1"/>
  <c r="O887" i="1"/>
  <c r="O886" i="1"/>
  <c r="O885" i="1"/>
  <c r="O884" i="1"/>
  <c r="O883" i="1"/>
  <c r="O882" i="1"/>
  <c r="O881" i="1"/>
  <c r="O880" i="1"/>
  <c r="O879" i="1"/>
  <c r="O878" i="1"/>
  <c r="O877" i="1"/>
  <c r="O876" i="1"/>
  <c r="O875" i="1"/>
  <c r="O874" i="1"/>
  <c r="O873" i="1"/>
  <c r="O872" i="1"/>
  <c r="O871" i="1"/>
  <c r="O870" i="1"/>
  <c r="O869" i="1"/>
  <c r="O868" i="1"/>
  <c r="O867" i="1"/>
  <c r="O866" i="1"/>
  <c r="O865" i="1"/>
  <c r="O864" i="1"/>
  <c r="O863" i="1"/>
  <c r="O862" i="1"/>
  <c r="O861" i="1"/>
  <c r="O860" i="1"/>
  <c r="O859" i="1"/>
  <c r="O858" i="1"/>
  <c r="O857" i="1"/>
  <c r="O856" i="1"/>
  <c r="O855" i="1"/>
  <c r="O854" i="1"/>
  <c r="O853" i="1"/>
  <c r="O852" i="1"/>
  <c r="O851" i="1"/>
  <c r="O850" i="1"/>
  <c r="O849" i="1"/>
  <c r="O848" i="1"/>
  <c r="O847" i="1"/>
  <c r="O846" i="1"/>
  <c r="O845" i="1"/>
  <c r="O844" i="1"/>
  <c r="O843" i="1"/>
  <c r="O842" i="1"/>
  <c r="O841" i="1"/>
  <c r="O840" i="1"/>
  <c r="O839" i="1"/>
  <c r="O838" i="1"/>
  <c r="O837" i="1"/>
  <c r="O836" i="1"/>
  <c r="O835" i="1"/>
  <c r="O834" i="1"/>
  <c r="O833" i="1"/>
  <c r="O832" i="1"/>
  <c r="O831" i="1"/>
  <c r="O830" i="1"/>
  <c r="O829" i="1"/>
  <c r="O828" i="1"/>
  <c r="O827" i="1"/>
  <c r="O826" i="1"/>
  <c r="O825" i="1"/>
  <c r="O824" i="1"/>
  <c r="O823" i="1"/>
  <c r="O822" i="1"/>
  <c r="O821" i="1"/>
  <c r="O820" i="1"/>
  <c r="O819" i="1"/>
  <c r="O818" i="1"/>
  <c r="O817" i="1"/>
  <c r="O816" i="1"/>
  <c r="O815" i="1"/>
  <c r="O814" i="1"/>
  <c r="O813" i="1"/>
  <c r="O812" i="1"/>
  <c r="O811" i="1"/>
  <c r="O810" i="1"/>
  <c r="O809" i="1"/>
  <c r="O808" i="1"/>
  <c r="O807" i="1"/>
  <c r="O806" i="1"/>
  <c r="O805" i="1"/>
  <c r="O804" i="1"/>
  <c r="O803" i="1"/>
  <c r="O802" i="1"/>
  <c r="O801" i="1"/>
  <c r="O800" i="1"/>
  <c r="O799" i="1"/>
  <c r="O798" i="1"/>
  <c r="O797" i="1"/>
  <c r="O796" i="1"/>
  <c r="O795" i="1"/>
  <c r="O794" i="1"/>
  <c r="O793" i="1"/>
  <c r="O792" i="1"/>
  <c r="O791" i="1"/>
  <c r="O790" i="1"/>
  <c r="O789" i="1"/>
  <c r="O788" i="1"/>
  <c r="O787" i="1"/>
  <c r="O786" i="1"/>
  <c r="O785" i="1"/>
  <c r="O784" i="1"/>
  <c r="O783" i="1"/>
  <c r="O782" i="1"/>
  <c r="O781" i="1"/>
  <c r="O780" i="1"/>
  <c r="O779" i="1"/>
  <c r="O778" i="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631" i="1"/>
  <c r="O630" i="1"/>
  <c r="O629" i="1"/>
  <c r="O628" i="1"/>
  <c r="O627" i="1"/>
  <c r="O626" i="1"/>
  <c r="O625" i="1"/>
  <c r="O624" i="1"/>
  <c r="O623" i="1"/>
  <c r="O622" i="1"/>
  <c r="O621" i="1"/>
  <c r="O620" i="1"/>
  <c r="O619" i="1"/>
  <c r="O618" i="1"/>
  <c r="O617" i="1"/>
  <c r="O616" i="1"/>
  <c r="O615" i="1"/>
  <c r="O614" i="1"/>
  <c r="O613" i="1"/>
  <c r="O612" i="1"/>
  <c r="O611" i="1"/>
  <c r="O610" i="1"/>
  <c r="O609" i="1"/>
  <c r="O608" i="1"/>
  <c r="O607" i="1"/>
  <c r="O606" i="1"/>
  <c r="O605" i="1"/>
  <c r="O604" i="1"/>
  <c r="O603" i="1"/>
  <c r="O602" i="1"/>
  <c r="O601" i="1"/>
  <c r="O600" i="1"/>
  <c r="O599" i="1"/>
  <c r="O598" i="1"/>
  <c r="O597" i="1"/>
  <c r="O596" i="1"/>
  <c r="O595" i="1"/>
  <c r="O594" i="1"/>
  <c r="O593" i="1"/>
  <c r="O592" i="1"/>
  <c r="O591" i="1"/>
  <c r="O590" i="1"/>
  <c r="O589" i="1"/>
  <c r="O588" i="1"/>
  <c r="O587" i="1"/>
  <c r="O586" i="1"/>
  <c r="O585" i="1"/>
  <c r="O584" i="1"/>
  <c r="O583" i="1"/>
  <c r="O582" i="1"/>
  <c r="O581" i="1"/>
  <c r="O580" i="1"/>
  <c r="O579" i="1"/>
  <c r="O578" i="1"/>
  <c r="O577" i="1"/>
  <c r="O576" i="1"/>
  <c r="O575" i="1"/>
  <c r="O574" i="1"/>
  <c r="O573" i="1"/>
  <c r="O572" i="1"/>
  <c r="O571" i="1"/>
  <c r="O570" i="1"/>
  <c r="O569" i="1"/>
  <c r="O568" i="1"/>
  <c r="O567" i="1"/>
  <c r="O566" i="1"/>
  <c r="O565" i="1"/>
  <c r="O564" i="1"/>
  <c r="O563" i="1"/>
  <c r="O562" i="1"/>
  <c r="O561" i="1"/>
  <c r="O560" i="1"/>
  <c r="O559" i="1"/>
  <c r="O558" i="1"/>
  <c r="O557" i="1"/>
  <c r="O556" i="1"/>
  <c r="O555" i="1"/>
  <c r="O554" i="1"/>
  <c r="O553" i="1"/>
  <c r="O552" i="1"/>
  <c r="O551" i="1"/>
  <c r="O550" i="1"/>
  <c r="O549" i="1"/>
  <c r="O548" i="1"/>
  <c r="O547" i="1"/>
  <c r="O546" i="1"/>
  <c r="O545" i="1"/>
  <c r="O544" i="1"/>
  <c r="O543" i="1"/>
  <c r="O542" i="1"/>
  <c r="O541" i="1"/>
  <c r="O540" i="1"/>
  <c r="O539" i="1"/>
  <c r="O538" i="1"/>
  <c r="O537" i="1"/>
  <c r="O536" i="1"/>
  <c r="O535" i="1"/>
  <c r="O534" i="1"/>
  <c r="O533" i="1"/>
  <c r="O532" i="1"/>
  <c r="O531" i="1"/>
  <c r="O530" i="1"/>
  <c r="O529" i="1"/>
  <c r="O528" i="1"/>
  <c r="O527" i="1"/>
  <c r="O526" i="1"/>
  <c r="O525" i="1"/>
  <c r="O524" i="1"/>
  <c r="O523" i="1"/>
  <c r="O522" i="1"/>
  <c r="O521" i="1"/>
  <c r="O520" i="1"/>
  <c r="O519" i="1"/>
  <c r="O518" i="1"/>
  <c r="O517" i="1"/>
  <c r="O516" i="1"/>
  <c r="O515" i="1"/>
  <c r="O514" i="1"/>
  <c r="O513" i="1"/>
  <c r="O512" i="1"/>
  <c r="O511" i="1"/>
  <c r="O510" i="1"/>
  <c r="O509" i="1"/>
  <c r="O508" i="1"/>
  <c r="O507" i="1"/>
  <c r="O506" i="1"/>
  <c r="O505" i="1"/>
  <c r="O504" i="1"/>
  <c r="O503" i="1"/>
  <c r="O502" i="1"/>
  <c r="O501" i="1"/>
  <c r="O500" i="1"/>
  <c r="O499" i="1"/>
  <c r="O498" i="1"/>
  <c r="O497" i="1"/>
  <c r="O496" i="1"/>
  <c r="O495" i="1"/>
  <c r="O494" i="1"/>
  <c r="O493" i="1"/>
  <c r="O492" i="1"/>
  <c r="O491" i="1"/>
  <c r="O490" i="1"/>
  <c r="O489" i="1"/>
  <c r="O488" i="1"/>
  <c r="O487" i="1"/>
  <c r="O486" i="1"/>
  <c r="O485" i="1"/>
  <c r="O484" i="1"/>
  <c r="O483" i="1"/>
  <c r="O482" i="1"/>
  <c r="O481" i="1"/>
  <c r="O480" i="1"/>
  <c r="O479" i="1"/>
  <c r="O478" i="1"/>
  <c r="O477" i="1"/>
  <c r="O476" i="1"/>
  <c r="O475" i="1"/>
  <c r="O474" i="1"/>
  <c r="O473" i="1"/>
  <c r="O472" i="1"/>
  <c r="O471" i="1"/>
  <c r="O470" i="1"/>
  <c r="O469" i="1"/>
  <c r="O468" i="1"/>
  <c r="O467" i="1"/>
  <c r="O466" i="1"/>
  <c r="O465" i="1"/>
  <c r="O464" i="1"/>
  <c r="O463" i="1"/>
  <c r="O462" i="1"/>
  <c r="O461" i="1"/>
  <c r="O460" i="1"/>
  <c r="O459" i="1"/>
  <c r="O458" i="1"/>
  <c r="O457" i="1"/>
  <c r="O456" i="1"/>
  <c r="O455" i="1"/>
  <c r="O454" i="1"/>
  <c r="O453" i="1"/>
  <c r="O452" i="1"/>
  <c r="O451" i="1"/>
  <c r="O450" i="1"/>
  <c r="O449" i="1"/>
  <c r="O448" i="1"/>
  <c r="O447" i="1"/>
  <c r="O446" i="1"/>
  <c r="O445" i="1"/>
  <c r="O444" i="1"/>
  <c r="O443" i="1"/>
  <c r="O442" i="1"/>
  <c r="O441" i="1"/>
  <c r="O440" i="1"/>
  <c r="O439" i="1"/>
  <c r="O438" i="1"/>
  <c r="O437" i="1"/>
  <c r="O436" i="1"/>
  <c r="O435" i="1"/>
  <c r="O434" i="1"/>
  <c r="O433" i="1"/>
  <c r="O432" i="1"/>
  <c r="O431" i="1"/>
  <c r="O430" i="1"/>
  <c r="O429" i="1"/>
  <c r="O428" i="1"/>
  <c r="O427" i="1"/>
  <c r="O426" i="1"/>
  <c r="O425" i="1"/>
  <c r="O424" i="1"/>
  <c r="O423" i="1"/>
  <c r="O422" i="1"/>
  <c r="O421" i="1"/>
  <c r="O420" i="1"/>
  <c r="O419" i="1"/>
  <c r="O418" i="1"/>
  <c r="O417" i="1"/>
  <c r="O416" i="1"/>
  <c r="O415" i="1"/>
  <c r="O414" i="1"/>
  <c r="O413" i="1"/>
  <c r="O412" i="1"/>
  <c r="O411" i="1"/>
  <c r="O410" i="1"/>
  <c r="O409" i="1"/>
  <c r="O408" i="1"/>
  <c r="O407" i="1"/>
  <c r="O406" i="1"/>
  <c r="O405" i="1"/>
  <c r="O404" i="1"/>
  <c r="O403" i="1"/>
  <c r="O402" i="1"/>
  <c r="O401" i="1"/>
  <c r="O400" i="1"/>
  <c r="O399" i="1"/>
  <c r="O398" i="1"/>
  <c r="O397" i="1"/>
  <c r="O396" i="1"/>
  <c r="O395" i="1"/>
  <c r="O394" i="1"/>
  <c r="O393" i="1"/>
  <c r="O392" i="1"/>
  <c r="O391" i="1"/>
  <c r="O390" i="1"/>
  <c r="O389" i="1"/>
  <c r="O388" i="1"/>
  <c r="O387" i="1"/>
  <c r="O386" i="1"/>
  <c r="O385" i="1"/>
  <c r="O384" i="1"/>
  <c r="O383" i="1"/>
  <c r="O382" i="1"/>
  <c r="O381" i="1"/>
  <c r="O380" i="1"/>
  <c r="O379" i="1"/>
  <c r="O378" i="1"/>
  <c r="O377" i="1"/>
  <c r="O376" i="1"/>
  <c r="O375" i="1"/>
  <c r="O374" i="1"/>
  <c r="O373" i="1"/>
  <c r="O372" i="1"/>
  <c r="O371" i="1"/>
  <c r="O370" i="1"/>
  <c r="O369" i="1"/>
  <c r="O368" i="1"/>
  <c r="O367" i="1"/>
  <c r="O366" i="1"/>
  <c r="O365" i="1"/>
  <c r="O364" i="1"/>
  <c r="O363" i="1"/>
  <c r="O362" i="1"/>
  <c r="O361" i="1"/>
  <c r="O360" i="1"/>
  <c r="O359" i="1"/>
  <c r="O358" i="1"/>
  <c r="O357" i="1"/>
  <c r="O356" i="1"/>
  <c r="O355" i="1"/>
  <c r="O354" i="1"/>
  <c r="O353" i="1"/>
  <c r="O35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O2" i="1"/>
  <c r="C15" i="6"/>
  <c r="D15" i="6"/>
  <c r="C16" i="6"/>
  <c r="D16" i="6"/>
  <c r="C17" i="6"/>
  <c r="D17" i="6"/>
  <c r="C18" i="6"/>
  <c r="D18" i="6"/>
  <c r="D13" i="6"/>
  <c r="C13" i="6"/>
  <c r="C26" i="6"/>
  <c r="D26" i="6"/>
  <c r="D25" i="6"/>
  <c r="C25" i="6"/>
  <c r="H11" i="6"/>
  <c r="I10" i="6"/>
  <c r="H10" i="6"/>
  <c r="C8" i="6"/>
  <c r="D8" i="6"/>
  <c r="C9" i="6"/>
  <c r="D9" i="6"/>
  <c r="D7" i="6"/>
  <c r="C7" i="6"/>
  <c r="H30" i="6"/>
  <c r="I30" i="6"/>
  <c r="I29" i="6"/>
  <c r="H29" i="6"/>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2" i="1"/>
</calcChain>
</file>

<file path=xl/sharedStrings.xml><?xml version="1.0" encoding="utf-8"?>
<sst xmlns="http://schemas.openxmlformats.org/spreadsheetml/2006/main" count="6548" uniqueCount="120">
  <si>
    <t>SALES_ID</t>
  </si>
  <si>
    <t>SALES_REP</t>
  </si>
  <si>
    <t>EMAILS</t>
  </si>
  <si>
    <t>BRANDS</t>
  </si>
  <si>
    <t>PLANT_COST</t>
  </si>
  <si>
    <t>UNIT_PRICE</t>
  </si>
  <si>
    <t>QUANTITY</t>
  </si>
  <si>
    <t>COST</t>
  </si>
  <si>
    <t>PROFIT</t>
  </si>
  <si>
    <t>COUNTRIES</t>
  </si>
  <si>
    <t>REGION</t>
  </si>
  <si>
    <t>MONTHS</t>
  </si>
  <si>
    <t>YEARS</t>
  </si>
  <si>
    <t>Jardine</t>
  </si>
  <si>
    <t>jard@gmail.com</t>
  </si>
  <si>
    <t>trophy</t>
  </si>
  <si>
    <t>Ghana</t>
  </si>
  <si>
    <t>Southeast</t>
  </si>
  <si>
    <t>January</t>
  </si>
  <si>
    <t>Gill</t>
  </si>
  <si>
    <t>gillhell@uk.com</t>
  </si>
  <si>
    <t>budweiser</t>
  </si>
  <si>
    <t>Nigeria</t>
  </si>
  <si>
    <t>west</t>
  </si>
  <si>
    <t>February</t>
  </si>
  <si>
    <t>Sorvino</t>
  </si>
  <si>
    <t>sorvi2000@gmail.com</t>
  </si>
  <si>
    <t>castle lite</t>
  </si>
  <si>
    <t>Togo</t>
  </si>
  <si>
    <t>southsouth</t>
  </si>
  <si>
    <t>March</t>
  </si>
  <si>
    <t>Jones</t>
  </si>
  <si>
    <t>jone.ai@yahoo.com</t>
  </si>
  <si>
    <t>eagle lager</t>
  </si>
  <si>
    <t>Benin</t>
  </si>
  <si>
    <t>northwest</t>
  </si>
  <si>
    <t>April</t>
  </si>
  <si>
    <t>Andrews</t>
  </si>
  <si>
    <t>andy@gmail.com</t>
  </si>
  <si>
    <t>hero</t>
  </si>
  <si>
    <t>Senegal</t>
  </si>
  <si>
    <t>northeast</t>
  </si>
  <si>
    <t>May</t>
  </si>
  <si>
    <t>beta malt</t>
  </si>
  <si>
    <t>northcentral</t>
  </si>
  <si>
    <t>June</t>
  </si>
  <si>
    <t>Thompson</t>
  </si>
  <si>
    <t>thomp@uk.com</t>
  </si>
  <si>
    <t>grand malt</t>
  </si>
  <si>
    <t>July</t>
  </si>
  <si>
    <t>August</t>
  </si>
  <si>
    <t>Morgan</t>
  </si>
  <si>
    <t>morganny@gmail.com</t>
  </si>
  <si>
    <t>September</t>
  </si>
  <si>
    <t>Howard</t>
  </si>
  <si>
    <t>howard_freeman@yahoo.com</t>
  </si>
  <si>
    <t>October</t>
  </si>
  <si>
    <t>Parent</t>
  </si>
  <si>
    <t>parentty@uk.com</t>
  </si>
  <si>
    <t>November</t>
  </si>
  <si>
    <t>December</t>
  </si>
  <si>
    <t>Smith</t>
  </si>
  <si>
    <t>smithMan@yahoo.com</t>
  </si>
  <si>
    <t>Kivell</t>
  </si>
  <si>
    <t>kivel_go@yahoo.com</t>
  </si>
  <si>
    <t>TERRITORY</t>
  </si>
  <si>
    <t>Anglophone</t>
  </si>
  <si>
    <t>Francophone</t>
  </si>
  <si>
    <t>Sum of PROFIT</t>
  </si>
  <si>
    <t>Grand Total</t>
  </si>
  <si>
    <t>(All)</t>
  </si>
  <si>
    <t>6. Minimum Profit for 2018</t>
  </si>
  <si>
    <t>5. Months in each year with the least profit generated</t>
  </si>
  <si>
    <t>7. Profit generated in each month for 2019</t>
  </si>
  <si>
    <t>8. Brand with highest profit in Senegal</t>
  </si>
  <si>
    <t>Brands</t>
  </si>
  <si>
    <t>Months</t>
  </si>
  <si>
    <t>Year</t>
  </si>
  <si>
    <t>Month</t>
  </si>
  <si>
    <t>Countries</t>
  </si>
  <si>
    <t>Territory</t>
  </si>
  <si>
    <t>1. Profit generated by the Anglophone and Francophone Territories</t>
  </si>
  <si>
    <t>2. Profit generated by the Anglophone and Francophone Territories</t>
  </si>
  <si>
    <t>3. Country with highest profit in 2019</t>
  </si>
  <si>
    <t>4. Year with the highest Profit</t>
  </si>
  <si>
    <t>PROFIT ANALYSIS</t>
  </si>
  <si>
    <t>BRAND ANALYSIS</t>
  </si>
  <si>
    <t>Sum of QUANTITY</t>
  </si>
  <si>
    <t>Sum of COST</t>
  </si>
  <si>
    <t>Brand</t>
  </si>
  <si>
    <t>Brand Type</t>
  </si>
  <si>
    <t>Beer</t>
  </si>
  <si>
    <t>Malt</t>
  </si>
  <si>
    <t>3. Beers consumed in the most oil-rich country in west africa</t>
  </si>
  <si>
    <t>5. Brands with the highest revenue in Nigeria (2019)</t>
  </si>
  <si>
    <t>Region</t>
  </si>
  <si>
    <t>8. Budweiser consumption in the regions in nigeria</t>
  </si>
  <si>
    <r>
      <rPr>
        <b/>
        <sz val="10"/>
        <color rgb="FF000000"/>
        <rFont val="Arial"/>
        <family val="2"/>
      </rPr>
      <t>6</t>
    </r>
    <r>
      <rPr>
        <sz val="10"/>
        <color rgb="FF000000"/>
        <rFont val="Arial"/>
        <family val="2"/>
      </rPr>
      <t>.</t>
    </r>
    <r>
      <rPr>
        <b/>
        <sz val="10"/>
        <color rgb="FF000000"/>
        <rFont val="Arial"/>
        <family val="2"/>
      </rPr>
      <t xml:space="preserve"> Favourite brand in south-south region(Nigeria)</t>
    </r>
  </si>
  <si>
    <t>consumption</t>
  </si>
  <si>
    <t>COUNTRY ANALYSIS</t>
  </si>
  <si>
    <t>1. Country with the highest consumption of beer</t>
  </si>
  <si>
    <t>Q1</t>
  </si>
  <si>
    <t>Q2</t>
  </si>
  <si>
    <t>Q3</t>
  </si>
  <si>
    <t>Q4</t>
  </si>
  <si>
    <t>Quarters</t>
  </si>
  <si>
    <t>QUARTERS</t>
  </si>
  <si>
    <t>3. Country with the highest profit in Q4 in 2019</t>
  </si>
  <si>
    <t>Sales rep</t>
  </si>
  <si>
    <t>Country</t>
  </si>
  <si>
    <t>Least Profit</t>
  </si>
  <si>
    <t>Total Profit</t>
  </si>
  <si>
    <t>Total profit</t>
  </si>
  <si>
    <t>total sales</t>
  </si>
  <si>
    <t>2. Highest sales rep of budweiser(senegal)</t>
  </si>
  <si>
    <t>Top three Brands consumed in the francophone territories</t>
  </si>
  <si>
    <t>Total Sales</t>
  </si>
  <si>
    <t>Total Quantity</t>
  </si>
  <si>
    <t>Brand with the highest revenue</t>
  </si>
  <si>
    <t>Min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</si>
</sst>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00"/>
    <numFmt numFmtId="165" formatCode="&quot;$&quot;#,##0"/>
    <numFmt numFmtId="166" formatCode="#,##0;[Red]#,##0"/>
  </numFmts>
  <fonts count="10" x14ac:knownFonts="1">
    <font>
      <sz val="10"/>
      <color rgb="FF000000"/>
      <name val="Arial"/>
    </font>
    <font>
      <sz val="10"/>
      <name val="Arial"/>
      <family val="2"/>
    </font>
    <font>
      <sz val="10"/>
      <color rgb="FF000000"/>
      <name val="Arial"/>
      <family val="2"/>
    </font>
    <font>
      <b/>
      <sz val="10"/>
      <color rgb="FF000000"/>
      <name val="Arial"/>
      <family val="2"/>
    </font>
    <font>
      <b/>
      <sz val="28"/>
      <color rgb="FF000000"/>
      <name val="Arial"/>
      <family val="2"/>
    </font>
    <font>
      <sz val="10"/>
      <color rgb="FF000000"/>
      <name val="Arial"/>
    </font>
    <font>
      <b/>
      <sz val="14"/>
      <color rgb="FF000000"/>
      <name val="Arial"/>
      <family val="2"/>
    </font>
    <font>
      <b/>
      <sz val="20"/>
      <color rgb="FF000000"/>
      <name val="Arial"/>
      <family val="2"/>
    </font>
    <font>
      <b/>
      <sz val="10"/>
      <name val="Arial"/>
      <family val="2"/>
    </font>
    <font>
      <sz val="8"/>
      <name val="Arial"/>
      <family val="2"/>
    </font>
  </fonts>
  <fills count="3">
    <fill>
      <patternFill patternType="none"/>
    </fill>
    <fill>
      <patternFill patternType="gray125"/>
    </fill>
    <fill>
      <patternFill patternType="solid">
        <fgColor rgb="FFD99021"/>
        <bgColor indexed="64"/>
      </patternFill>
    </fill>
  </fills>
  <borders count="1">
    <border>
      <left/>
      <right/>
      <top/>
      <bottom/>
      <diagonal/>
    </border>
  </borders>
  <cellStyleXfs count="2">
    <xf numFmtId="0" fontId="0" fillId="0" borderId="0"/>
    <xf numFmtId="44" fontId="5" fillId="0" borderId="0" applyFont="0" applyFill="0" applyBorder="0" applyAlignment="0" applyProtection="0"/>
  </cellStyleXfs>
  <cellXfs count="19">
    <xf numFmtId="0" fontId="0" fillId="0" borderId="0" xfId="0" applyFont="1" applyAlignment="1"/>
    <xf numFmtId="0" fontId="1" fillId="0" borderId="0" xfId="0" applyFont="1" applyAlignment="1"/>
    <xf numFmtId="0" fontId="2" fillId="0" borderId="0" xfId="0" applyFont="1" applyAlignment="1"/>
    <xf numFmtId="164" fontId="1" fillId="0" borderId="0" xfId="0" applyNumberFormat="1" applyFont="1" applyAlignment="1"/>
    <xf numFmtId="164"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3" fillId="0" borderId="0" xfId="0" applyFont="1" applyAlignment="1"/>
    <xf numFmtId="0" fontId="0" fillId="0" borderId="0" xfId="0" applyNumberFormat="1" applyFont="1" applyAlignment="1"/>
    <xf numFmtId="0" fontId="3" fillId="0" borderId="0" xfId="0" applyFont="1" applyAlignment="1">
      <alignment horizontal="left"/>
    </xf>
    <xf numFmtId="165" fontId="0" fillId="0" borderId="0" xfId="0" applyNumberFormat="1" applyFont="1" applyAlignment="1"/>
    <xf numFmtId="0" fontId="6" fillId="0" borderId="0" xfId="0" applyFont="1" applyAlignment="1">
      <alignment horizontal="center"/>
    </xf>
    <xf numFmtId="0" fontId="4" fillId="0" borderId="0" xfId="0" applyFont="1" applyFill="1" applyAlignment="1">
      <alignment horizontal="center"/>
    </xf>
    <xf numFmtId="0" fontId="1" fillId="0" borderId="0" xfId="0" applyNumberFormat="1" applyFont="1" applyAlignment="1"/>
    <xf numFmtId="0" fontId="8" fillId="0" borderId="0" xfId="0" applyFont="1" applyAlignment="1"/>
    <xf numFmtId="164" fontId="0" fillId="0" borderId="0" xfId="1" applyNumberFormat="1" applyFont="1" applyAlignment="1"/>
    <xf numFmtId="166" fontId="0" fillId="0" borderId="0" xfId="0" applyNumberFormat="1" applyFont="1" applyAlignment="1"/>
    <xf numFmtId="0" fontId="7" fillId="2" borderId="0" xfId="0" applyFont="1" applyFill="1" applyAlignment="1">
      <alignment horizontal="center" vertical="center"/>
    </xf>
    <xf numFmtId="0" fontId="7" fillId="2" borderId="0" xfId="0" applyFont="1" applyFill="1" applyAlignment="1">
      <alignment horizontal="center"/>
    </xf>
  </cellXfs>
  <cellStyles count="2">
    <cellStyle name="Currency" xfId="1" builtinId="4"/>
    <cellStyle name="Normal" xfId="0" builtinId="0"/>
  </cellStyles>
  <dxfs count="20">
    <dxf>
      <numFmt numFmtId="164" formatCode="&quot;$&quot;#,##0.00"/>
    </dxf>
    <dxf>
      <numFmt numFmtId="166" formatCode="#,##0;[Red]#,##0"/>
    </dxf>
    <dxf>
      <numFmt numFmtId="164" formatCode="&quot;$&quot;#,##0.00"/>
    </dxf>
    <dxf>
      <numFmt numFmtId="166" formatCode="#,##0;[Red]#,##0"/>
    </dxf>
    <dxf>
      <numFmt numFmtId="164" formatCode="&quot;$&quot;#,##0.00"/>
    </dxf>
    <dxf>
      <numFmt numFmtId="164" formatCode="&quot;$&quot;#,##0.00"/>
    </dxf>
    <dxf>
      <numFmt numFmtId="34" formatCode="_(&quot;$&quot;* #,##0.00_);_(&quot;$&quot;* \(#,##0.00\);_(&quot;$&quot;* &quot;-&quot;??_);_(@_)"/>
    </dxf>
    <dxf>
      <numFmt numFmtId="164" formatCode="&quot;$&quot;#,##0.00"/>
    </dxf>
    <dxf>
      <numFmt numFmtId="164" formatCode="&quot;$&quot;#,##0.00"/>
    </dxf>
    <dxf>
      <numFmt numFmtId="164" formatCode="&quot;$&quot;#,##0.00"/>
    </dxf>
    <dxf>
      <numFmt numFmtId="164" formatCode="&quot;$&quot;#,##0.00"/>
    </dxf>
    <dxf>
      <font>
        <b val="0"/>
        <i val="0"/>
        <strike val="0"/>
        <condense val="0"/>
        <extend val="0"/>
        <outline val="0"/>
        <shadow val="0"/>
        <u val="none"/>
        <vertAlign val="baseline"/>
        <sz val="10"/>
        <color rgb="FF000000"/>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bottom" textRotation="0" wrapText="0" indent="0" justifyLastLine="0" shrinkToFit="0" readingOrder="0"/>
    </dxf>
    <dxf>
      <font>
        <b/>
        <i val="0"/>
        <strike val="0"/>
        <condense val="0"/>
        <extend val="0"/>
        <outline val="0"/>
        <shadow val="0"/>
        <u val="none"/>
        <vertAlign val="baseline"/>
        <sz val="10"/>
        <color auto="1"/>
        <name val="Arial"/>
        <family val="2"/>
        <scheme val="none"/>
      </font>
      <alignment horizontal="general" vertical="bottom" textRotation="0" wrapText="0" indent="0" justifyLastLine="0" shrinkToFit="0" readingOrder="0"/>
    </dxf>
    <dxf>
      <font>
        <color rgb="FFD99021"/>
        <name val="Calibri Light"/>
        <family val="2"/>
        <scheme val="major"/>
      </font>
      <fill>
        <patternFill>
          <bgColor theme="1"/>
        </patternFill>
      </fill>
    </dxf>
    <dxf>
      <font>
        <color rgb="FFD99021"/>
        <name val="Calibri Light"/>
        <family val="2"/>
        <scheme val="major"/>
      </font>
      <fill>
        <patternFill>
          <bgColor theme="1"/>
        </patternFill>
      </fill>
    </dxf>
    <dxf>
      <font>
        <color rgb="FFD99021"/>
        <name val="Calibri Light"/>
        <family val="2"/>
        <scheme val="major"/>
      </font>
      <fill>
        <patternFill>
          <bgColor theme="1"/>
        </patternFill>
      </fill>
    </dxf>
  </dxfs>
  <tableStyles count="2" defaultTableStyle="TableStyleMedium2" defaultPivotStyle="PivotStyleLight16">
    <tableStyle name="Slicer Style 1" pivot="0" table="0" count="3" xr9:uid="{121A4430-A297-481C-A395-C541B6B59552}">
      <tableStyleElement type="wholeTable" dxfId="19"/>
      <tableStyleElement type="headerRow" dxfId="18"/>
    </tableStyle>
    <tableStyle name="Slicer Style 2" pivot="0" table="0" count="9" xr9:uid="{09F465A4-C0F6-4458-8486-2D02D14D7BAA}">
      <tableStyleElement type="headerRow" dxfId="17"/>
    </tableStyle>
  </tableStyles>
  <colors>
    <mruColors>
      <color rgb="FF3A3A3A"/>
      <color rgb="FFD1C7BF"/>
      <color rgb="FFD99021"/>
      <color rgb="FFEDEDED"/>
      <color rgb="FFF2F2F2"/>
      <color rgb="FF1F77B4"/>
      <color rgb="FF2CA02C"/>
      <color rgb="FFF7F7F7"/>
      <color rgb="FF174C54"/>
    </mruColors>
  </colors>
  <extLst>
    <ext xmlns:x14="http://schemas.microsoft.com/office/spreadsheetml/2009/9/main" uri="{46F421CA-312F-682f-3DD2-61675219B42D}">
      <x14:dxfs count="9">
        <dxf>
          <font>
            <name val="Calibri Light"/>
            <family val="2"/>
            <scheme val="major"/>
          </font>
          <fill>
            <patternFill>
              <bgColor rgb="FFD99021"/>
            </patternFill>
          </fill>
        </dxf>
        <dxf>
          <font>
            <color rgb="FFD99021"/>
            <name val="Calibri Light"/>
            <family val="2"/>
            <scheme val="major"/>
          </font>
          <fill>
            <patternFill>
              <bgColor theme="1"/>
            </patternFill>
          </fill>
        </dxf>
        <dxf>
          <font>
            <color auto="1"/>
            <name val="Calibri Light"/>
            <family val="2"/>
            <scheme val="major"/>
          </font>
          <fill>
            <patternFill>
              <bgColor rgb="FFD99021"/>
            </patternFill>
          </fill>
        </dxf>
        <dxf>
          <font>
            <color rgb="FFD99021"/>
            <name val="Calibri Light"/>
            <family val="2"/>
            <scheme val="major"/>
          </font>
          <fill>
            <patternFill>
              <bgColor theme="1"/>
            </patternFill>
          </fill>
        </dxf>
        <dxf>
          <font>
            <color auto="1"/>
            <name val="Calibri Light"/>
            <family val="2"/>
            <scheme val="major"/>
          </font>
          <fill>
            <patternFill>
              <bgColor rgb="FFD99021"/>
            </patternFill>
          </fill>
        </dxf>
        <dxf>
          <font>
            <color auto="1"/>
            <name val="Calibri Light"/>
            <family val="2"/>
            <scheme val="major"/>
          </font>
          <fill>
            <patternFill>
              <bgColor rgb="FFD99021"/>
            </patternFill>
          </fill>
        </dxf>
        <dxf>
          <font>
            <color rgb="FFD99021"/>
            <name val="Calibri Light"/>
            <family val="2"/>
            <scheme val="major"/>
          </font>
          <fill>
            <patternFill>
              <bgColor theme="1"/>
            </patternFill>
          </fill>
        </dxf>
        <dxf>
          <font>
            <color rgb="FFD99021"/>
            <name val="Calibri Light"/>
            <family val="2"/>
            <scheme val="major"/>
          </font>
          <fill>
            <patternFill>
              <bgColor theme="1"/>
            </patternFill>
          </fill>
        </dxf>
        <dxf>
          <font>
            <color rgb="FFD99021"/>
            <name val="Calibri Light"/>
            <family val="2"/>
            <scheme val="major"/>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8"/>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Table'!$I$18</c:f>
              <c:strCache>
                <c:ptCount val="1"/>
                <c:pt idx="0">
                  <c:v>Least Profit</c:v>
                </c:pt>
              </c:strCache>
            </c:strRef>
          </c:tx>
          <c:spPr>
            <a:solidFill>
              <a:srgbClr val="D1C7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9902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Table'!$H$19</c:f>
              <c:strCache>
                <c:ptCount val="1"/>
                <c:pt idx="0">
                  <c:v>April</c:v>
                </c:pt>
              </c:strCache>
            </c:strRef>
          </c:cat>
          <c:val>
            <c:numRef>
              <c:f>'Pivot Table'!$I$19</c:f>
              <c:numCache>
                <c:formatCode>"$"#,##0.00</c:formatCode>
                <c:ptCount val="1"/>
                <c:pt idx="0">
                  <c:v>8573830</c:v>
                </c:pt>
              </c:numCache>
            </c:numRef>
          </c:val>
          <c:extLst>
            <c:ext xmlns:c16="http://schemas.microsoft.com/office/drawing/2014/chart" uri="{C3380CC4-5D6E-409C-BE32-E72D297353CC}">
              <c16:uniqueId val="{00000000-5F54-4A02-8219-B56A0B17C6A6}"/>
            </c:ext>
          </c:extLst>
        </c:ser>
        <c:dLbls>
          <c:dLblPos val="outEnd"/>
          <c:showLegendKey val="0"/>
          <c:showVal val="1"/>
          <c:showCatName val="0"/>
          <c:showSerName val="0"/>
          <c:showPercent val="0"/>
          <c:showBubbleSize val="0"/>
        </c:dLbls>
        <c:gapWidth val="219"/>
        <c:overlap val="-27"/>
        <c:axId val="420823904"/>
        <c:axId val="420818912"/>
      </c:barChart>
      <c:catAx>
        <c:axId val="42082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99021"/>
                </a:solidFill>
                <a:latin typeface="+mn-lt"/>
                <a:ea typeface="+mn-ea"/>
                <a:cs typeface="+mn-cs"/>
              </a:defRPr>
            </a:pPr>
            <a:endParaRPr lang="en-US"/>
          </a:p>
        </c:txPr>
        <c:crossAx val="420818912"/>
        <c:crosses val="autoZero"/>
        <c:auto val="1"/>
        <c:lblAlgn val="ctr"/>
        <c:lblOffset val="100"/>
        <c:noMultiLvlLbl val="0"/>
      </c:catAx>
      <c:valAx>
        <c:axId val="420818912"/>
        <c:scaling>
          <c:orientation val="minMax"/>
        </c:scaling>
        <c:delete val="0"/>
        <c:axPos val="l"/>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99021"/>
                </a:solidFill>
                <a:latin typeface="+mn-lt"/>
                <a:ea typeface="+mn-ea"/>
                <a:cs typeface="+mn-cs"/>
              </a:defRPr>
            </a:pPr>
            <a:endParaRPr lang="en-US"/>
          </a:p>
        </c:txPr>
        <c:crossAx val="4208239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rgbClr val="D9902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Table'!$D$15</c:f>
              <c:strCache>
                <c:ptCount val="1"/>
                <c:pt idx="0">
                  <c:v>Total Profit</c:v>
                </c:pt>
              </c:strCache>
            </c:strRef>
          </c:tx>
          <c:spPr>
            <a:solidFill>
              <a:srgbClr val="D99021"/>
            </a:solidFill>
            <a:ln>
              <a:noFill/>
            </a:ln>
            <a:effectLst/>
          </c:spPr>
          <c:invertIfNegative val="0"/>
          <c:dPt>
            <c:idx val="0"/>
            <c:invertIfNegative val="0"/>
            <c:bubble3D val="0"/>
            <c:spPr>
              <a:solidFill>
                <a:srgbClr val="D1C7BF"/>
              </a:solidFill>
              <a:ln>
                <a:noFill/>
              </a:ln>
              <a:effectLst/>
            </c:spPr>
            <c:extLst>
              <c:ext xmlns:c16="http://schemas.microsoft.com/office/drawing/2014/chart" uri="{C3380CC4-5D6E-409C-BE32-E72D297353CC}">
                <c16:uniqueId val="{00000001-C60B-4FC1-A378-79C0EB0D9003}"/>
              </c:ext>
            </c:extLst>
          </c:dPt>
          <c:dLbls>
            <c:dLbl>
              <c:idx val="0"/>
              <c:numFmt formatCode="&quot;$&quot;#,##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rgbClr val="D1C7B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707415276941399"/>
                      <c:h val="0.10634259259259257"/>
                    </c:manualLayout>
                  </c15:layout>
                </c:ext>
                <c:ext xmlns:c16="http://schemas.microsoft.com/office/drawing/2014/chart" uri="{C3380CC4-5D6E-409C-BE32-E72D297353CC}">
                  <c16:uniqueId val="{00000001-C60B-4FC1-A378-79C0EB0D9003}"/>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316133057934362"/>
                      <c:h val="0.11560185185185186"/>
                    </c:manualLayout>
                  </c15:layout>
                </c:ext>
                <c:ext xmlns:c16="http://schemas.microsoft.com/office/drawing/2014/chart" uri="{C3380CC4-5D6E-409C-BE32-E72D297353CC}">
                  <c16:uniqueId val="{00000002-C60B-4FC1-A378-79C0EB0D9003}"/>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C7B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Table'!$C$16:$C$17</c:f>
              <c:strCache>
                <c:ptCount val="2"/>
                <c:pt idx="0">
                  <c:v>Anglophone</c:v>
                </c:pt>
                <c:pt idx="1">
                  <c:v>Francophone</c:v>
                </c:pt>
              </c:strCache>
            </c:strRef>
          </c:cat>
          <c:val>
            <c:numRef>
              <c:f>'Pivot Table'!$D$16:$D$17</c:f>
              <c:numCache>
                <c:formatCode>"$"#,##0</c:formatCode>
                <c:ptCount val="2"/>
                <c:pt idx="0">
                  <c:v>42389260</c:v>
                </c:pt>
                <c:pt idx="1">
                  <c:v>63198160</c:v>
                </c:pt>
              </c:numCache>
            </c:numRef>
          </c:val>
          <c:extLst>
            <c:ext xmlns:c16="http://schemas.microsoft.com/office/drawing/2014/chart" uri="{C3380CC4-5D6E-409C-BE32-E72D297353CC}">
              <c16:uniqueId val="{00000003-C60B-4FC1-A378-79C0EB0D9003}"/>
            </c:ext>
          </c:extLst>
        </c:ser>
        <c:dLbls>
          <c:dLblPos val="outEnd"/>
          <c:showLegendKey val="0"/>
          <c:showVal val="1"/>
          <c:showCatName val="0"/>
          <c:showSerName val="0"/>
          <c:showPercent val="0"/>
          <c:showBubbleSize val="0"/>
        </c:dLbls>
        <c:gapWidth val="219"/>
        <c:overlap val="-27"/>
        <c:axId val="636757903"/>
        <c:axId val="636759151"/>
      </c:barChart>
      <c:catAx>
        <c:axId val="6367579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D99021"/>
                </a:solidFill>
                <a:latin typeface="+mj-lt"/>
                <a:ea typeface="+mn-ea"/>
                <a:cs typeface="+mn-cs"/>
              </a:defRPr>
            </a:pPr>
            <a:endParaRPr lang="en-US"/>
          </a:p>
        </c:txPr>
        <c:crossAx val="636759151"/>
        <c:crosses val="autoZero"/>
        <c:auto val="1"/>
        <c:lblAlgn val="ctr"/>
        <c:lblOffset val="100"/>
        <c:noMultiLvlLbl val="0"/>
      </c:catAx>
      <c:valAx>
        <c:axId val="636759151"/>
        <c:scaling>
          <c:orientation val="minMax"/>
        </c:scaling>
        <c:delete val="0"/>
        <c:axPos val="l"/>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99021"/>
                </a:solidFill>
                <a:latin typeface="+mn-lt"/>
                <a:ea typeface="+mn-ea"/>
                <a:cs typeface="+mn-cs"/>
              </a:defRPr>
            </a:pPr>
            <a:endParaRPr lang="en-US"/>
          </a:p>
        </c:txPr>
        <c:crossAx val="6367579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'Pivot Table'!$D$32</c:f>
              <c:strCache>
                <c:ptCount val="1"/>
                <c:pt idx="0">
                  <c:v>Total Profit</c:v>
                </c:pt>
              </c:strCache>
            </c:strRef>
          </c:tx>
          <c:spPr>
            <a:ln w="28575" cap="rnd">
              <a:solidFill>
                <a:srgbClr val="D1C7BF"/>
              </a:solidFill>
              <a:round/>
            </a:ln>
            <a:effectLst/>
          </c:spPr>
          <c:marker>
            <c:symbol val="none"/>
          </c:marker>
          <c:dLbls>
            <c:spPr>
              <a:noFill/>
              <a:ln>
                <a:noFill/>
              </a:ln>
              <a:effectLst/>
            </c:spPr>
            <c:txPr>
              <a:bodyPr rot="-5400000" spcFirstLastPara="1" vertOverflow="ellipsis" wrap="square" lIns="38100" tIns="19050" rIns="38100" bIns="19050" anchor="b" anchorCtr="0">
                <a:spAutoFit/>
              </a:bodyPr>
              <a:lstStyle/>
              <a:p>
                <a:pPr>
                  <a:defRPr sz="900" b="1" i="0" u="none" strike="noStrike" kern="1200" baseline="0">
                    <a:solidFill>
                      <a:srgbClr val="D9902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Table'!$C$33:$C$44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Table'!$D$33:$D$44</c:f>
              <c:numCache>
                <c:formatCode>"$"#,##0.00</c:formatCode>
                <c:ptCount val="12"/>
                <c:pt idx="0">
                  <c:v>8722990</c:v>
                </c:pt>
                <c:pt idx="1">
                  <c:v>9028450</c:v>
                </c:pt>
                <c:pt idx="2">
                  <c:v>9066130</c:v>
                </c:pt>
                <c:pt idx="3">
                  <c:v>8573830</c:v>
                </c:pt>
                <c:pt idx="4">
                  <c:v>8772250</c:v>
                </c:pt>
                <c:pt idx="5">
                  <c:v>8828440</c:v>
                </c:pt>
                <c:pt idx="6">
                  <c:v>8787010</c:v>
                </c:pt>
                <c:pt idx="7">
                  <c:v>8730940</c:v>
                </c:pt>
                <c:pt idx="8">
                  <c:v>8702660</c:v>
                </c:pt>
                <c:pt idx="9">
                  <c:v>8767100</c:v>
                </c:pt>
                <c:pt idx="10">
                  <c:v>8820330</c:v>
                </c:pt>
                <c:pt idx="11">
                  <c:v>8787290</c:v>
                </c:pt>
              </c:numCache>
            </c:numRef>
          </c:val>
          <c:smooth val="0"/>
          <c:extLst>
            <c:ext xmlns:c16="http://schemas.microsoft.com/office/drawing/2014/chart" uri="{C3380CC4-5D6E-409C-BE32-E72D297353CC}">
              <c16:uniqueId val="{00000000-6D93-475B-A529-41493A812550}"/>
            </c:ext>
          </c:extLst>
        </c:ser>
        <c:dLbls>
          <c:dLblPos val="t"/>
          <c:showLegendKey val="0"/>
          <c:showVal val="1"/>
          <c:showCatName val="0"/>
          <c:showSerName val="0"/>
          <c:showPercent val="0"/>
          <c:showBubbleSize val="0"/>
        </c:dLbls>
        <c:smooth val="0"/>
        <c:axId val="421650880"/>
        <c:axId val="421643808"/>
      </c:lineChart>
      <c:catAx>
        <c:axId val="4216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D1C7BF"/>
                </a:solidFill>
                <a:latin typeface="+mn-lt"/>
                <a:ea typeface="+mn-ea"/>
                <a:cs typeface="+mn-cs"/>
              </a:defRPr>
            </a:pPr>
            <a:endParaRPr lang="en-US"/>
          </a:p>
        </c:txPr>
        <c:crossAx val="421643808"/>
        <c:crosses val="autoZero"/>
        <c:auto val="1"/>
        <c:lblAlgn val="ctr"/>
        <c:lblOffset val="100"/>
        <c:noMultiLvlLbl val="0"/>
      </c:catAx>
      <c:valAx>
        <c:axId val="421643808"/>
        <c:scaling>
          <c:orientation val="minMax"/>
        </c:scaling>
        <c:delete val="0"/>
        <c:axPos val="l"/>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99021"/>
                </a:solidFill>
                <a:latin typeface="+mn-lt"/>
                <a:ea typeface="+mn-ea"/>
                <a:cs typeface="+mn-cs"/>
              </a:defRPr>
            </a:pPr>
            <a:endParaRPr lang="en-US"/>
          </a:p>
        </c:txPr>
        <c:crossAx val="4216508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Table'!$D$125</c:f>
              <c:strCache>
                <c:ptCount val="1"/>
                <c:pt idx="0">
                  <c:v>Total Profit</c:v>
                </c:pt>
              </c:strCache>
            </c:strRef>
          </c:tx>
          <c:spPr>
            <a:solidFill>
              <a:srgbClr val="D1C7BF"/>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9902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Table'!$C$126:$C$130</c:f>
              <c:strCache>
                <c:ptCount val="5"/>
                <c:pt idx="0">
                  <c:v>Togo</c:v>
                </c:pt>
                <c:pt idx="1">
                  <c:v>Senegal</c:v>
                </c:pt>
                <c:pt idx="2">
                  <c:v>Nigeria</c:v>
                </c:pt>
                <c:pt idx="3">
                  <c:v>Ghana</c:v>
                </c:pt>
                <c:pt idx="4">
                  <c:v>Benin</c:v>
                </c:pt>
              </c:strCache>
            </c:strRef>
          </c:cat>
          <c:val>
            <c:numRef>
              <c:f>'Pivot Table'!$D$126:$D$130</c:f>
              <c:numCache>
                <c:formatCode>General</c:formatCode>
                <c:ptCount val="5"/>
                <c:pt idx="0">
                  <c:v>20751000</c:v>
                </c:pt>
                <c:pt idx="1">
                  <c:v>21485190</c:v>
                </c:pt>
                <c:pt idx="2">
                  <c:v>21376210</c:v>
                </c:pt>
                <c:pt idx="3">
                  <c:v>21013050</c:v>
                </c:pt>
                <c:pt idx="4">
                  <c:v>20961970</c:v>
                </c:pt>
              </c:numCache>
            </c:numRef>
          </c:val>
          <c:extLst>
            <c:ext xmlns:c16="http://schemas.microsoft.com/office/drawing/2014/chart" uri="{C3380CC4-5D6E-409C-BE32-E72D297353CC}">
              <c16:uniqueId val="{00000000-569B-455D-8E79-3E25E03E6863}"/>
            </c:ext>
          </c:extLst>
        </c:ser>
        <c:dLbls>
          <c:dLblPos val="outEnd"/>
          <c:showLegendKey val="0"/>
          <c:showVal val="1"/>
          <c:showCatName val="0"/>
          <c:showSerName val="0"/>
          <c:showPercent val="0"/>
          <c:showBubbleSize val="0"/>
        </c:dLbls>
        <c:gapWidth val="219"/>
        <c:overlap val="-27"/>
        <c:axId val="852936704"/>
        <c:axId val="852930464"/>
      </c:barChart>
      <c:catAx>
        <c:axId val="85293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99021"/>
                </a:solidFill>
                <a:latin typeface="+mn-lt"/>
                <a:ea typeface="+mn-ea"/>
                <a:cs typeface="+mn-cs"/>
              </a:defRPr>
            </a:pPr>
            <a:endParaRPr lang="en-US"/>
          </a:p>
        </c:txPr>
        <c:crossAx val="852930464"/>
        <c:crosses val="autoZero"/>
        <c:auto val="1"/>
        <c:lblAlgn val="ctr"/>
        <c:lblOffset val="100"/>
        <c:noMultiLvlLbl val="0"/>
      </c:catAx>
      <c:valAx>
        <c:axId val="852930464"/>
        <c:scaling>
          <c:orientation val="minMax"/>
        </c:scaling>
        <c:delete val="0"/>
        <c:axPos val="l"/>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99021"/>
                </a:solidFill>
                <a:latin typeface="+mn-lt"/>
                <a:ea typeface="+mn-ea"/>
                <a:cs typeface="+mn-cs"/>
              </a:defRPr>
            </a:pPr>
            <a:endParaRPr lang="en-US"/>
          </a:p>
        </c:txPr>
        <c:crossAx val="8529367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dLbls>
          <c:dLblPos val="outEnd"/>
          <c:showLegendKey val="0"/>
          <c:showVal val="1"/>
          <c:showCatName val="0"/>
          <c:showSerName val="0"/>
          <c:showPercent val="0"/>
          <c:showBubbleSize val="0"/>
        </c:dLbls>
        <c:gapWidth val="219"/>
        <c:overlap val="-27"/>
        <c:axId val="636757903"/>
        <c:axId val="636759151"/>
      </c:barChart>
      <c:catAx>
        <c:axId val="6367579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D99021"/>
                </a:solidFill>
                <a:latin typeface="+mj-lt"/>
                <a:ea typeface="+mn-ea"/>
                <a:cs typeface="+mn-cs"/>
              </a:defRPr>
            </a:pPr>
            <a:endParaRPr lang="en-US"/>
          </a:p>
        </c:txPr>
        <c:crossAx val="636759151"/>
        <c:crosses val="autoZero"/>
        <c:auto val="1"/>
        <c:lblAlgn val="ctr"/>
        <c:lblOffset val="100"/>
        <c:noMultiLvlLbl val="0"/>
      </c:catAx>
      <c:valAx>
        <c:axId val="636759151"/>
        <c:scaling>
          <c:orientation val="minMax"/>
        </c:scaling>
        <c:delete val="0"/>
        <c:axPos val="l"/>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99021"/>
                </a:solidFill>
                <a:latin typeface="+mn-lt"/>
                <a:ea typeface="+mn-ea"/>
                <a:cs typeface="+mn-cs"/>
              </a:defRPr>
            </a:pPr>
            <a:endParaRPr lang="en-US"/>
          </a:p>
        </c:txPr>
        <c:crossAx val="63675790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'Pivot Table'!$D$55</c:f>
              <c:strCache>
                <c:ptCount val="1"/>
                <c:pt idx="0">
                  <c:v>Total Quantity</c:v>
                </c:pt>
              </c:strCache>
            </c:strRef>
          </c:tx>
          <c:dPt>
            <c:idx val="0"/>
            <c:bubble3D val="0"/>
            <c:spPr>
              <a:solidFill>
                <a:srgbClr val="D99021"/>
              </a:solidFill>
              <a:ln w="19050">
                <a:solidFill>
                  <a:schemeClr val="lt1"/>
                </a:solidFill>
              </a:ln>
              <a:effectLst/>
            </c:spPr>
            <c:extLst>
              <c:ext xmlns:c16="http://schemas.microsoft.com/office/drawing/2014/chart" uri="{C3380CC4-5D6E-409C-BE32-E72D297353CC}">
                <c16:uniqueId val="{00000001-46D5-4489-B442-FF955E873EFD}"/>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46D5-4489-B442-FF955E873E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D5-4489-B442-FF955E873EFD}"/>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A3A3A"/>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1-46D5-4489-B442-FF955E873EFD}"/>
                </c:ext>
              </c:extLst>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A3A3A"/>
                      </a:solidFill>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5-46D5-4489-B442-FF955E873EF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9902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Table'!$C$56:$C$58</c:f>
              <c:strCache>
                <c:ptCount val="3"/>
                <c:pt idx="0">
                  <c:v>trophy</c:v>
                </c:pt>
                <c:pt idx="1">
                  <c:v>hero</c:v>
                </c:pt>
                <c:pt idx="2">
                  <c:v>grand malt</c:v>
                </c:pt>
              </c:strCache>
            </c:strRef>
          </c:cat>
          <c:val>
            <c:numRef>
              <c:f>'Pivot Table'!$D$56:$D$58</c:f>
              <c:numCache>
                <c:formatCode>General</c:formatCode>
                <c:ptCount val="3"/>
                <c:pt idx="0">
                  <c:v>76792</c:v>
                </c:pt>
                <c:pt idx="1">
                  <c:v>77595</c:v>
                </c:pt>
                <c:pt idx="2">
                  <c:v>76008</c:v>
                </c:pt>
              </c:numCache>
            </c:numRef>
          </c:val>
          <c:extLst>
            <c:ext xmlns:c16="http://schemas.microsoft.com/office/drawing/2014/chart" uri="{C3380CC4-5D6E-409C-BE32-E72D297353CC}">
              <c16:uniqueId val="{00000006-46D5-4489-B442-FF955E873EF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D9902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709908670595215"/>
          <c:y val="0.23650566107859144"/>
          <c:w val="0.74843903048576488"/>
          <c:h val="0.52104089515390439"/>
        </c:manualLayout>
      </c:layout>
      <c:barChart>
        <c:barDir val="col"/>
        <c:grouping val="clustered"/>
        <c:varyColors val="0"/>
        <c:ser>
          <c:idx val="0"/>
          <c:order val="0"/>
          <c:tx>
            <c:strRef>
              <c:f>'Pivot Table'!$K$57</c:f>
              <c:strCache>
                <c:ptCount val="1"/>
                <c:pt idx="0">
                  <c:v>Total Sales</c:v>
                </c:pt>
              </c:strCache>
            </c:strRef>
          </c:tx>
          <c:spPr>
            <a:solidFill>
              <a:srgbClr val="D99021"/>
            </a:solidFill>
            <a:ln>
              <a:noFill/>
            </a:ln>
            <a:effectLst/>
          </c:spPr>
          <c:invertIfNegative val="0"/>
          <c:cat>
            <c:strRef>
              <c:f>'Pivot Table'!$J$58:$J$62</c:f>
              <c:strCache>
                <c:ptCount val="5"/>
                <c:pt idx="0">
                  <c:v>budweiser</c:v>
                </c:pt>
                <c:pt idx="1">
                  <c:v>castle lite</c:v>
                </c:pt>
                <c:pt idx="2">
                  <c:v>eagle lager</c:v>
                </c:pt>
                <c:pt idx="3">
                  <c:v>hero</c:v>
                </c:pt>
                <c:pt idx="4">
                  <c:v>trophy</c:v>
                </c:pt>
              </c:strCache>
            </c:strRef>
          </c:cat>
          <c:val>
            <c:numRef>
              <c:f>'Pivot Table'!$K$58:$K$62</c:f>
              <c:numCache>
                <c:formatCode>"$"#,##0.00</c:formatCode>
                <c:ptCount val="5"/>
                <c:pt idx="0">
                  <c:v>13076500</c:v>
                </c:pt>
                <c:pt idx="1">
                  <c:v>11556450</c:v>
                </c:pt>
                <c:pt idx="2">
                  <c:v>6468000</c:v>
                </c:pt>
                <c:pt idx="3">
                  <c:v>5162200</c:v>
                </c:pt>
                <c:pt idx="4">
                  <c:v>5148600</c:v>
                </c:pt>
              </c:numCache>
            </c:numRef>
          </c:val>
          <c:extLst>
            <c:ext xmlns:c16="http://schemas.microsoft.com/office/drawing/2014/chart" uri="{C3380CC4-5D6E-409C-BE32-E72D297353CC}">
              <c16:uniqueId val="{00000000-4148-4516-A28D-84A1097E0C9D}"/>
            </c:ext>
          </c:extLst>
        </c:ser>
        <c:dLbls>
          <c:showLegendKey val="0"/>
          <c:showVal val="0"/>
          <c:showCatName val="0"/>
          <c:showSerName val="0"/>
          <c:showPercent val="0"/>
          <c:showBubbleSize val="0"/>
        </c:dLbls>
        <c:gapWidth val="219"/>
        <c:overlap val="-27"/>
        <c:axId val="386111760"/>
        <c:axId val="386105936"/>
      </c:barChart>
      <c:catAx>
        <c:axId val="38611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99021"/>
                </a:solidFill>
                <a:latin typeface="+mn-lt"/>
                <a:ea typeface="+mn-ea"/>
                <a:cs typeface="+mn-cs"/>
              </a:defRPr>
            </a:pPr>
            <a:endParaRPr lang="en-US"/>
          </a:p>
        </c:txPr>
        <c:crossAx val="386105936"/>
        <c:crosses val="autoZero"/>
        <c:auto val="1"/>
        <c:lblAlgn val="ctr"/>
        <c:lblOffset val="100"/>
        <c:noMultiLvlLbl val="0"/>
      </c:catAx>
      <c:valAx>
        <c:axId val="386105936"/>
        <c:scaling>
          <c:orientation val="minMax"/>
        </c:scaling>
        <c:delete val="0"/>
        <c:axPos val="l"/>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99021"/>
                </a:solidFill>
                <a:latin typeface="+mn-lt"/>
                <a:ea typeface="+mn-ea"/>
                <a:cs typeface="+mn-cs"/>
              </a:defRPr>
            </a:pPr>
            <a:endParaRPr lang="en-US"/>
          </a:p>
        </c:txPr>
        <c:crossAx val="3861117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732949445909878"/>
          <c:y val="9.4837516222007395E-2"/>
          <c:w val="0.7806757370790155"/>
          <c:h val="0.60258372410543171"/>
        </c:manualLayout>
      </c:layout>
      <c:bar3DChart>
        <c:barDir val="col"/>
        <c:grouping val="clustered"/>
        <c:varyColors val="0"/>
        <c:ser>
          <c:idx val="0"/>
          <c:order val="0"/>
          <c:tx>
            <c:strRef>
              <c:f>'Pivot Table'!$D$65</c:f>
              <c:strCache>
                <c:ptCount val="1"/>
                <c:pt idx="0">
                  <c:v>Total Quantity</c:v>
                </c:pt>
              </c:strCache>
            </c:strRef>
          </c:tx>
          <c:spPr>
            <a:solidFill>
              <a:srgbClr val="D1C7BF"/>
            </a:solidFill>
            <a:ln>
              <a:noFill/>
            </a:ln>
            <a:effectLst/>
            <a:sp3d/>
          </c:spPr>
          <c:invertIfNegative val="0"/>
          <c:cat>
            <c:strRef>
              <c:f>'Pivot Table'!$C$66:$C$72</c:f>
              <c:strCache>
                <c:ptCount val="7"/>
                <c:pt idx="0">
                  <c:v>eagle lager</c:v>
                </c:pt>
                <c:pt idx="1">
                  <c:v>castle lite</c:v>
                </c:pt>
                <c:pt idx="2">
                  <c:v>hero</c:v>
                </c:pt>
                <c:pt idx="3">
                  <c:v>grand malt</c:v>
                </c:pt>
                <c:pt idx="4">
                  <c:v>trophy</c:v>
                </c:pt>
                <c:pt idx="5">
                  <c:v>beta malt</c:v>
                </c:pt>
                <c:pt idx="6">
                  <c:v>budweiser</c:v>
                </c:pt>
              </c:strCache>
            </c:strRef>
          </c:cat>
          <c:val>
            <c:numRef>
              <c:f>'Pivot Table'!$D$66:$D$72</c:f>
              <c:numCache>
                <c:formatCode>General</c:formatCode>
                <c:ptCount val="7"/>
                <c:pt idx="0">
                  <c:v>25829</c:v>
                </c:pt>
                <c:pt idx="1">
                  <c:v>25806</c:v>
                </c:pt>
                <c:pt idx="2">
                  <c:v>25654</c:v>
                </c:pt>
                <c:pt idx="3">
                  <c:v>25615</c:v>
                </c:pt>
                <c:pt idx="4">
                  <c:v>25524</c:v>
                </c:pt>
                <c:pt idx="5">
                  <c:v>25408</c:v>
                </c:pt>
                <c:pt idx="6">
                  <c:v>24419</c:v>
                </c:pt>
              </c:numCache>
            </c:numRef>
          </c:val>
          <c:extLst>
            <c:ext xmlns:c16="http://schemas.microsoft.com/office/drawing/2014/chart" uri="{C3380CC4-5D6E-409C-BE32-E72D297353CC}">
              <c16:uniqueId val="{00000000-2E2F-4ED2-8F35-BBCD52385BC8}"/>
            </c:ext>
          </c:extLst>
        </c:ser>
        <c:dLbls>
          <c:showLegendKey val="0"/>
          <c:showVal val="0"/>
          <c:showCatName val="0"/>
          <c:showSerName val="0"/>
          <c:showPercent val="0"/>
          <c:showBubbleSize val="0"/>
        </c:dLbls>
        <c:gapWidth val="150"/>
        <c:shape val="box"/>
        <c:axId val="626689968"/>
        <c:axId val="626698288"/>
        <c:axId val="0"/>
      </c:bar3DChart>
      <c:catAx>
        <c:axId val="626689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99021"/>
                </a:solidFill>
                <a:latin typeface="+mn-lt"/>
                <a:ea typeface="+mn-ea"/>
                <a:cs typeface="+mn-cs"/>
              </a:defRPr>
            </a:pPr>
            <a:endParaRPr lang="en-US"/>
          </a:p>
        </c:txPr>
        <c:crossAx val="626698288"/>
        <c:crosses val="autoZero"/>
        <c:auto val="1"/>
        <c:lblAlgn val="ctr"/>
        <c:lblOffset val="100"/>
        <c:noMultiLvlLbl val="0"/>
      </c:catAx>
      <c:valAx>
        <c:axId val="626698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99021"/>
                </a:solidFill>
                <a:latin typeface="+mn-lt"/>
                <a:ea typeface="+mn-ea"/>
                <a:cs typeface="+mn-cs"/>
              </a:defRPr>
            </a:pPr>
            <a:endParaRPr lang="en-US"/>
          </a:p>
        </c:txPr>
        <c:crossAx val="626689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'Pivot Table'!$I$86</c:f>
              <c:strCache>
                <c:ptCount val="1"/>
                <c:pt idx="0">
                  <c:v>consumption</c:v>
                </c:pt>
              </c:strCache>
            </c:strRef>
          </c:tx>
          <c:spPr>
            <a:solidFill>
              <a:srgbClr val="D9902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C7B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Table'!$H$87:$H$92</c:f>
              <c:strCache>
                <c:ptCount val="6"/>
                <c:pt idx="0">
                  <c:v>southsouth</c:v>
                </c:pt>
                <c:pt idx="1">
                  <c:v>west</c:v>
                </c:pt>
                <c:pt idx="2">
                  <c:v>Southeast</c:v>
                </c:pt>
                <c:pt idx="3">
                  <c:v>northeast</c:v>
                </c:pt>
                <c:pt idx="4">
                  <c:v>northcentral</c:v>
                </c:pt>
                <c:pt idx="5">
                  <c:v>northwest</c:v>
                </c:pt>
              </c:strCache>
            </c:strRef>
          </c:cat>
          <c:val>
            <c:numRef>
              <c:f>'Pivot Table'!$I$87:$I$92</c:f>
              <c:numCache>
                <c:formatCode>General</c:formatCode>
                <c:ptCount val="6"/>
                <c:pt idx="0">
                  <c:v>150106</c:v>
                </c:pt>
                <c:pt idx="1">
                  <c:v>149755</c:v>
                </c:pt>
                <c:pt idx="2">
                  <c:v>148964</c:v>
                </c:pt>
                <c:pt idx="3">
                  <c:v>148209</c:v>
                </c:pt>
                <c:pt idx="4">
                  <c:v>147175</c:v>
                </c:pt>
                <c:pt idx="5">
                  <c:v>146513</c:v>
                </c:pt>
              </c:numCache>
            </c:numRef>
          </c:val>
          <c:extLst>
            <c:ext xmlns:c16="http://schemas.microsoft.com/office/drawing/2014/chart" uri="{C3380CC4-5D6E-409C-BE32-E72D297353CC}">
              <c16:uniqueId val="{00000000-136A-47B5-98A9-6BECAA8DF609}"/>
            </c:ext>
          </c:extLst>
        </c:ser>
        <c:dLbls>
          <c:dLblPos val="outEnd"/>
          <c:showLegendKey val="0"/>
          <c:showVal val="1"/>
          <c:showCatName val="0"/>
          <c:showSerName val="0"/>
          <c:showPercent val="0"/>
          <c:showBubbleSize val="0"/>
        </c:dLbls>
        <c:gapWidth val="182"/>
        <c:axId val="625079360"/>
        <c:axId val="625088096"/>
      </c:barChart>
      <c:catAx>
        <c:axId val="625079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1C7BF"/>
                </a:solidFill>
                <a:latin typeface="+mn-lt"/>
                <a:ea typeface="+mn-ea"/>
                <a:cs typeface="+mn-cs"/>
              </a:defRPr>
            </a:pPr>
            <a:endParaRPr lang="en-US"/>
          </a:p>
        </c:txPr>
        <c:crossAx val="625088096"/>
        <c:crosses val="autoZero"/>
        <c:auto val="1"/>
        <c:lblAlgn val="ctr"/>
        <c:lblOffset val="100"/>
        <c:noMultiLvlLbl val="0"/>
      </c:catAx>
      <c:valAx>
        <c:axId val="625088096"/>
        <c:scaling>
          <c:orientation val="minMax"/>
        </c:scaling>
        <c:delete val="1"/>
        <c:axPos val="b"/>
        <c:numFmt formatCode="General" sourceLinked="1"/>
        <c:majorTickMark val="none"/>
        <c:minorTickMark val="none"/>
        <c:tickLblPos val="nextTo"/>
        <c:crossAx val="625079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'Pivot Table'!$D$85</c:f>
              <c:strCache>
                <c:ptCount val="1"/>
                <c:pt idx="0">
                  <c:v>Total Quantity</c:v>
                </c:pt>
              </c:strCache>
            </c:strRef>
          </c:tx>
          <c:spPr>
            <a:solidFill>
              <a:srgbClr val="D9902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9902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Table'!$C$86:$C$92</c:f>
              <c:strCache>
                <c:ptCount val="7"/>
                <c:pt idx="0">
                  <c:v>eagle lager</c:v>
                </c:pt>
                <c:pt idx="1">
                  <c:v>trophy</c:v>
                </c:pt>
                <c:pt idx="2">
                  <c:v>hero</c:v>
                </c:pt>
                <c:pt idx="3">
                  <c:v>budweiser</c:v>
                </c:pt>
                <c:pt idx="4">
                  <c:v>castle lite</c:v>
                </c:pt>
                <c:pt idx="5">
                  <c:v>beta malt</c:v>
                </c:pt>
                <c:pt idx="6">
                  <c:v>grand malt</c:v>
                </c:pt>
              </c:strCache>
            </c:strRef>
          </c:cat>
          <c:val>
            <c:numRef>
              <c:f>'Pivot Table'!$D$86:$D$92</c:f>
              <c:numCache>
                <c:formatCode>General</c:formatCode>
                <c:ptCount val="7"/>
                <c:pt idx="0">
                  <c:v>4551</c:v>
                </c:pt>
                <c:pt idx="1">
                  <c:v>4468</c:v>
                </c:pt>
                <c:pt idx="2">
                  <c:v>4456</c:v>
                </c:pt>
                <c:pt idx="3">
                  <c:v>4328</c:v>
                </c:pt>
                <c:pt idx="4">
                  <c:v>4287</c:v>
                </c:pt>
                <c:pt idx="5">
                  <c:v>4257</c:v>
                </c:pt>
                <c:pt idx="6">
                  <c:v>3914</c:v>
                </c:pt>
              </c:numCache>
            </c:numRef>
          </c:val>
          <c:extLst>
            <c:ext xmlns:c16="http://schemas.microsoft.com/office/drawing/2014/chart" uri="{C3380CC4-5D6E-409C-BE32-E72D297353CC}">
              <c16:uniqueId val="{00000000-4D12-4A4F-B4A9-C941A2585E5A}"/>
            </c:ext>
          </c:extLst>
        </c:ser>
        <c:dLbls>
          <c:dLblPos val="outEnd"/>
          <c:showLegendKey val="0"/>
          <c:showVal val="1"/>
          <c:showCatName val="0"/>
          <c:showSerName val="0"/>
          <c:showPercent val="0"/>
          <c:showBubbleSize val="0"/>
        </c:dLbls>
        <c:gapWidth val="219"/>
        <c:overlap val="-27"/>
        <c:axId val="625115968"/>
        <c:axId val="625108480"/>
      </c:barChart>
      <c:catAx>
        <c:axId val="62511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1C7BF"/>
                </a:solidFill>
                <a:latin typeface="+mn-lt"/>
                <a:ea typeface="+mn-ea"/>
                <a:cs typeface="+mn-cs"/>
              </a:defRPr>
            </a:pPr>
            <a:endParaRPr lang="en-US"/>
          </a:p>
        </c:txPr>
        <c:crossAx val="625108480"/>
        <c:crosses val="autoZero"/>
        <c:auto val="1"/>
        <c:lblAlgn val="ctr"/>
        <c:lblOffset val="100"/>
        <c:noMultiLvlLbl val="0"/>
      </c:catAx>
      <c:valAx>
        <c:axId val="625108480"/>
        <c:scaling>
          <c:orientation val="minMax"/>
        </c:scaling>
        <c:delete val="1"/>
        <c:axPos val="l"/>
        <c:numFmt formatCode="General" sourceLinked="1"/>
        <c:majorTickMark val="none"/>
        <c:minorTickMark val="none"/>
        <c:tickLblPos val="nextTo"/>
        <c:crossAx val="6251159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A292731B-A1B9-4C04-B960-24D1868EF878}">
          <cx:tx>
            <cx:txData>
              <cx:f>_xlchart.v2.1</cx:f>
              <cx:v>Sum of PROFIT</cx:v>
            </cx:txData>
          </cx:tx>
          <cx:spPr>
            <a:solidFill>
              <a:srgbClr val="D99021"/>
            </a:solidFill>
            <a:ln>
              <a:noFill/>
            </a:ln>
          </cx:spPr>
          <cx:dataLabels>
            <cx:numFmt formatCode="$0.0,,&quot;M&quot;" sourceLinked="0"/>
            <cx:spPr>
              <a:noFill/>
            </cx:spPr>
            <cx:txPr>
              <a:bodyPr spcFirstLastPara="1" vertOverflow="ellipsis" horzOverflow="overflow" wrap="square" lIns="0" tIns="0" rIns="0" bIns="0" anchor="ctr" anchorCtr="1"/>
              <a:lstStyle/>
              <a:p>
                <a:pPr algn="ctr" rtl="0">
                  <a:defRPr>
                    <a:solidFill>
                      <a:srgbClr val="3A3A3A"/>
                    </a:solidFill>
                  </a:defRPr>
                </a:pPr>
                <a:endParaRPr lang="en-US" sz="900" b="0" i="0" u="none" strike="noStrike" baseline="0">
                  <a:solidFill>
                    <a:srgbClr val="3A3A3A"/>
                  </a:solidFill>
                  <a:latin typeface="Calibri" panose="020F0502020204030204"/>
                </a:endParaRPr>
              </a:p>
            </cx:txPr>
            <cx:visibility seriesName="0" categoryName="0" value="1"/>
            <cx:separator>, </cx:separator>
          </cx:dataLabels>
          <cx:dataId val="0"/>
        </cx:series>
      </cx:plotAreaRegion>
      <cx:axis id="0">
        <cx:catScaling gapWidth="0.0599999987"/>
        <cx:tickLabels/>
        <cx:spPr>
          <a:noFill/>
          <a:ln w="6350" cap="flat" cmpd="sng" algn="ctr">
            <a:solidFill>
              <a:schemeClr val="accent2"/>
            </a:solidFill>
            <a:prstDash val="solid"/>
            <a:miter lim="800000"/>
          </a:ln>
          <a:effectLst/>
        </cx:spPr>
        <cx:txPr>
          <a:bodyPr spcFirstLastPara="1" vertOverflow="ellipsis" horzOverflow="overflow" wrap="square" lIns="0" tIns="0" rIns="0" bIns="0" anchor="ctr" anchorCtr="1"/>
          <a:lstStyle/>
          <a:p>
            <a:pPr algn="ctr" rtl="0">
              <a:defRPr>
                <a:solidFill>
                  <a:srgbClr val="D99021"/>
                </a:solidFill>
              </a:defRPr>
            </a:pPr>
            <a:endParaRPr lang="en-US" sz="900" b="0" i="0" u="none" strike="noStrike" baseline="0">
              <a:solidFill>
                <a:srgbClr val="D9902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International_Breweries!A1"/><Relationship Id="rId2" Type="http://schemas.openxmlformats.org/officeDocument/2006/relationships/hyperlink" Target="#Instruction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Home Page'!A1"/><Relationship Id="rId1" Type="http://schemas.openxmlformats.org/officeDocument/2006/relationships/hyperlink" Target="#Instructions!A1"/></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7.xml"/><Relationship Id="rId7" Type="http://schemas.openxmlformats.org/officeDocument/2006/relationships/chart" Target="../charts/chart10.xml"/><Relationship Id="rId2" Type="http://schemas.openxmlformats.org/officeDocument/2006/relationships/chart" Target="../charts/chart6.xml"/><Relationship Id="rId1" Type="http://schemas.openxmlformats.org/officeDocument/2006/relationships/chart" Target="../charts/chart5.xml"/><Relationship Id="rId6" Type="http://schemas.microsoft.com/office/2014/relationships/chartEx" Target="../charts/chartEx1.xml"/><Relationship Id="rId11" Type="http://schemas.openxmlformats.org/officeDocument/2006/relationships/image" Target="../media/image7.svg"/><Relationship Id="rId5" Type="http://schemas.openxmlformats.org/officeDocument/2006/relationships/chart" Target="../charts/chart9.xml"/><Relationship Id="rId10" Type="http://schemas.openxmlformats.org/officeDocument/2006/relationships/image" Target="../media/image6.png"/><Relationship Id="rId4" Type="http://schemas.openxmlformats.org/officeDocument/2006/relationships/chart" Target="../charts/chart8.xml"/><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xdr:from>
      <xdr:col>7</xdr:col>
      <xdr:colOff>147637</xdr:colOff>
      <xdr:row>0</xdr:row>
      <xdr:rowOff>0</xdr:rowOff>
    </xdr:from>
    <xdr:to>
      <xdr:col>13</xdr:col>
      <xdr:colOff>566737</xdr:colOff>
      <xdr:row>24</xdr:row>
      <xdr:rowOff>57150</xdr:rowOff>
    </xdr:to>
    <xdr:grpSp>
      <xdr:nvGrpSpPr>
        <xdr:cNvPr id="7" name="Group 6">
          <a:extLst>
            <a:ext uri="{FF2B5EF4-FFF2-40B4-BE49-F238E27FC236}">
              <a16:creationId xmlns:a16="http://schemas.microsoft.com/office/drawing/2014/main" id="{0BE2CCFE-C3CF-8F9D-D582-690DF2696F7D}"/>
            </a:ext>
          </a:extLst>
        </xdr:cNvPr>
        <xdr:cNvGrpSpPr/>
      </xdr:nvGrpSpPr>
      <xdr:grpSpPr>
        <a:xfrm>
          <a:off x="4414837" y="0"/>
          <a:ext cx="4076700" cy="3943350"/>
          <a:chOff x="4414837" y="0"/>
          <a:chExt cx="4076700" cy="3943350"/>
        </a:xfrm>
      </xdr:grpSpPr>
      <xdr:pic>
        <xdr:nvPicPr>
          <xdr:cNvPr id="3" name="Picture 2">
            <a:extLst>
              <a:ext uri="{FF2B5EF4-FFF2-40B4-BE49-F238E27FC236}">
                <a16:creationId xmlns:a16="http://schemas.microsoft.com/office/drawing/2014/main" id="{74E76CBD-1C0F-65DB-33BF-BE28F333E8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43437" y="0"/>
            <a:ext cx="3619500" cy="2143125"/>
          </a:xfrm>
          <a:prstGeom prst="rect">
            <a:avLst/>
          </a:prstGeom>
        </xdr:spPr>
      </xdr:pic>
      <xdr:sp macro="" textlink="">
        <xdr:nvSpPr>
          <xdr:cNvPr id="4" name="TextBox 3">
            <a:extLst>
              <a:ext uri="{FF2B5EF4-FFF2-40B4-BE49-F238E27FC236}">
                <a16:creationId xmlns:a16="http://schemas.microsoft.com/office/drawing/2014/main" id="{D3979E76-27BA-8DAC-E4FA-551BE7CE236C}"/>
              </a:ext>
            </a:extLst>
          </xdr:cNvPr>
          <xdr:cNvSpPr txBox="1"/>
        </xdr:nvSpPr>
        <xdr:spPr>
          <a:xfrm>
            <a:off x="4919662" y="1476375"/>
            <a:ext cx="3067050" cy="561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000" b="0">
                <a:solidFill>
                  <a:srgbClr val="174C54"/>
                </a:solidFill>
                <a:latin typeface="Arial Black" panose="020B0A04020102020204" pitchFamily="34" charset="0"/>
              </a:rPr>
              <a:t>Data</a:t>
            </a:r>
            <a:r>
              <a:rPr lang="en-US" sz="3000" b="0" baseline="0">
                <a:solidFill>
                  <a:srgbClr val="174C54"/>
                </a:solidFill>
                <a:latin typeface="Arial Black" panose="020B0A04020102020204" pitchFamily="34" charset="0"/>
              </a:rPr>
              <a:t> School</a:t>
            </a:r>
            <a:endParaRPr lang="en-US" sz="3000" b="0">
              <a:solidFill>
                <a:srgbClr val="174C54"/>
              </a:solidFill>
              <a:latin typeface="Arial Black" panose="020B0A04020102020204" pitchFamily="34" charset="0"/>
            </a:endParaRPr>
          </a:p>
        </xdr:txBody>
      </xdr:sp>
      <xdr:sp macro="" textlink="">
        <xdr:nvSpPr>
          <xdr:cNvPr id="5" name="TextBox 4">
            <a:hlinkClick xmlns:r="http://schemas.openxmlformats.org/officeDocument/2006/relationships" r:id="rId2"/>
            <a:extLst>
              <a:ext uri="{FF2B5EF4-FFF2-40B4-BE49-F238E27FC236}">
                <a16:creationId xmlns:a16="http://schemas.microsoft.com/office/drawing/2014/main" id="{53498765-867E-B9A0-0A37-BBBE655C6B3C}"/>
              </a:ext>
            </a:extLst>
          </xdr:cNvPr>
          <xdr:cNvSpPr txBox="1"/>
        </xdr:nvSpPr>
        <xdr:spPr>
          <a:xfrm>
            <a:off x="4414837" y="2686050"/>
            <a:ext cx="4076700"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rgbClr val="FF0000"/>
                </a:solidFill>
                <a:latin typeface="Aharoni" panose="02010803020104030203" pitchFamily="2" charset="-79"/>
                <a:cs typeface="Aharoni" panose="02010803020104030203" pitchFamily="2" charset="-79"/>
              </a:rPr>
              <a:t>Instructions</a:t>
            </a:r>
          </a:p>
        </xdr:txBody>
      </xdr:sp>
      <xdr:sp macro="" textlink="">
        <xdr:nvSpPr>
          <xdr:cNvPr id="6" name="TextBox 5">
            <a:hlinkClick xmlns:r="http://schemas.openxmlformats.org/officeDocument/2006/relationships" r:id="rId3"/>
            <a:extLst>
              <a:ext uri="{FF2B5EF4-FFF2-40B4-BE49-F238E27FC236}">
                <a16:creationId xmlns:a16="http://schemas.microsoft.com/office/drawing/2014/main" id="{E15BD7EA-2216-4745-AEAB-3C77BB6F06F0}"/>
              </a:ext>
            </a:extLst>
          </xdr:cNvPr>
          <xdr:cNvSpPr txBox="1"/>
        </xdr:nvSpPr>
        <xdr:spPr>
          <a:xfrm>
            <a:off x="4414837" y="3562350"/>
            <a:ext cx="4076700"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740">
                <a:solidFill>
                  <a:srgbClr val="FF0000"/>
                </a:solidFill>
                <a:latin typeface="Aharoni" panose="02010803020104030203" pitchFamily="2" charset="-79"/>
                <a:ea typeface="+mn-ea"/>
                <a:cs typeface="Aharoni" panose="02010803020104030203" pitchFamily="2" charset="-79"/>
              </a:rPr>
              <a:t>International Breweries</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66675</xdr:colOff>
      <xdr:row>0</xdr:row>
      <xdr:rowOff>28575</xdr:rowOff>
    </xdr:from>
    <xdr:to>
      <xdr:col>22</xdr:col>
      <xdr:colOff>352425</xdr:colOff>
      <xdr:row>2</xdr:row>
      <xdr:rowOff>9525</xdr:rowOff>
    </xdr:to>
    <xdr:sp macro="" textlink="">
      <xdr:nvSpPr>
        <xdr:cNvPr id="9" name="TextBox 8">
          <a:hlinkClick xmlns:r="http://schemas.openxmlformats.org/officeDocument/2006/relationships" r:id="rId1"/>
          <a:extLst>
            <a:ext uri="{FF2B5EF4-FFF2-40B4-BE49-F238E27FC236}">
              <a16:creationId xmlns:a16="http://schemas.microsoft.com/office/drawing/2014/main" id="{5B253784-1A1F-40BD-93B8-2D9BE38AEA0D}"/>
            </a:ext>
          </a:extLst>
        </xdr:cNvPr>
        <xdr:cNvSpPr txBox="1"/>
      </xdr:nvSpPr>
      <xdr:spPr>
        <a:xfrm>
          <a:off x="15459075" y="28575"/>
          <a:ext cx="2209800"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40">
              <a:solidFill>
                <a:srgbClr val="FF0000"/>
              </a:solidFill>
              <a:latin typeface="Aharoni" panose="02010803020104030203" pitchFamily="2" charset="-79"/>
              <a:cs typeface="Aharoni" panose="02010803020104030203" pitchFamily="2" charset="-79"/>
            </a:rPr>
            <a:t>Instructions</a:t>
          </a:r>
        </a:p>
      </xdr:txBody>
    </xdr:sp>
    <xdr:clientData/>
  </xdr:twoCellAnchor>
  <xdr:twoCellAnchor>
    <xdr:from>
      <xdr:col>17</xdr:col>
      <xdr:colOff>600075</xdr:colOff>
      <xdr:row>0</xdr:row>
      <xdr:rowOff>28575</xdr:rowOff>
    </xdr:from>
    <xdr:to>
      <xdr:col>19</xdr:col>
      <xdr:colOff>885825</xdr:colOff>
      <xdr:row>2</xdr:row>
      <xdr:rowOff>9525</xdr:rowOff>
    </xdr:to>
    <xdr:sp macro="" textlink="">
      <xdr:nvSpPr>
        <xdr:cNvPr id="14" name="TextBox 13">
          <a:hlinkClick xmlns:r="http://schemas.openxmlformats.org/officeDocument/2006/relationships" r:id="rId2"/>
          <a:extLst>
            <a:ext uri="{FF2B5EF4-FFF2-40B4-BE49-F238E27FC236}">
              <a16:creationId xmlns:a16="http://schemas.microsoft.com/office/drawing/2014/main" id="{A9D339CB-51B1-414E-A236-A566A20FB7FD}"/>
            </a:ext>
          </a:extLst>
        </xdr:cNvPr>
        <xdr:cNvSpPr txBox="1"/>
      </xdr:nvSpPr>
      <xdr:spPr>
        <a:xfrm>
          <a:off x="13106400" y="28575"/>
          <a:ext cx="2209800" cy="381000"/>
        </a:xfrm>
        <a:prstGeom prst="rect">
          <a:avLst/>
        </a:prstGeom>
        <a:solidFill>
          <a:schemeClr val="lt1"/>
        </a:solidFill>
        <a:ln w="9525" cmpd="sng">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40">
              <a:solidFill>
                <a:schemeClr val="accent6">
                  <a:lumMod val="75000"/>
                </a:schemeClr>
              </a:solidFill>
              <a:latin typeface="Aharoni" panose="02010803020104030203" pitchFamily="2" charset="-79"/>
              <a:cs typeface="Aharoni" panose="02010803020104030203" pitchFamily="2" charset="-79"/>
            </a:rPr>
            <a:t>Home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0</xdr:colOff>
      <xdr:row>48</xdr:row>
      <xdr:rowOff>9524</xdr:rowOff>
    </xdr:to>
    <xdr:sp macro="" textlink="">
      <xdr:nvSpPr>
        <xdr:cNvPr id="4" name="Rectangle: Rounded Corners 3">
          <a:extLst>
            <a:ext uri="{FF2B5EF4-FFF2-40B4-BE49-F238E27FC236}">
              <a16:creationId xmlns:a16="http://schemas.microsoft.com/office/drawing/2014/main" id="{7075B6CC-77BF-4128-A9D2-3D19A9545C37}"/>
            </a:ext>
          </a:extLst>
        </xdr:cNvPr>
        <xdr:cNvSpPr/>
      </xdr:nvSpPr>
      <xdr:spPr>
        <a:xfrm>
          <a:off x="0" y="0"/>
          <a:ext cx="8445500" cy="7629524"/>
        </a:xfrm>
        <a:prstGeom prst="roundRect">
          <a:avLst>
            <a:gd name="adj" fmla="val 593"/>
          </a:avLst>
        </a:prstGeom>
        <a:solidFill>
          <a:srgbClr val="D1C7B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0</xdr:col>
      <xdr:colOff>0</xdr:colOff>
      <xdr:row>0</xdr:row>
      <xdr:rowOff>0</xdr:rowOff>
    </xdr:from>
    <xdr:to>
      <xdr:col>11</xdr:col>
      <xdr:colOff>581025</xdr:colOff>
      <xdr:row>3</xdr:row>
      <xdr:rowOff>56854</xdr:rowOff>
    </xdr:to>
    <xdr:sp macro="" textlink="">
      <xdr:nvSpPr>
        <xdr:cNvPr id="5" name="Rectangle: Rounded Corners 4">
          <a:extLst>
            <a:ext uri="{FF2B5EF4-FFF2-40B4-BE49-F238E27FC236}">
              <a16:creationId xmlns:a16="http://schemas.microsoft.com/office/drawing/2014/main" id="{45D468C0-41E1-4FCC-B67D-3D8BA288755C}"/>
            </a:ext>
          </a:extLst>
        </xdr:cNvPr>
        <xdr:cNvSpPr/>
      </xdr:nvSpPr>
      <xdr:spPr>
        <a:xfrm>
          <a:off x="0" y="0"/>
          <a:ext cx="7216775" cy="533104"/>
        </a:xfrm>
        <a:prstGeom prst="roundRect">
          <a:avLst/>
        </a:prstGeom>
        <a:solidFill>
          <a:schemeClr val="tx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rgbClr val="D99021"/>
              </a:solidFill>
              <a:latin typeface="Berlin Sans FB" panose="020E0602020502020306" pitchFamily="34" charset="0"/>
            </a:rPr>
            <a:t>HAVEN BREW(PROFIT</a:t>
          </a:r>
          <a:r>
            <a:rPr lang="en-US" sz="3200" baseline="0">
              <a:solidFill>
                <a:srgbClr val="D99021"/>
              </a:solidFill>
              <a:latin typeface="Berlin Sans FB" panose="020E0602020502020306" pitchFamily="34" charset="0"/>
            </a:rPr>
            <a:t> ANALYSIS)</a:t>
          </a:r>
          <a:endParaRPr lang="en-US" sz="3200">
            <a:solidFill>
              <a:srgbClr val="D99021"/>
            </a:solidFill>
            <a:latin typeface="Berlin Sans FB" panose="020E0602020502020306" pitchFamily="34" charset="0"/>
          </a:endParaRPr>
        </a:p>
      </xdr:txBody>
    </xdr:sp>
    <xdr:clientData/>
  </xdr:twoCellAnchor>
  <xdr:twoCellAnchor>
    <xdr:from>
      <xdr:col>8</xdr:col>
      <xdr:colOff>104776</xdr:colOff>
      <xdr:row>3</xdr:row>
      <xdr:rowOff>88679</xdr:rowOff>
    </xdr:from>
    <xdr:to>
      <xdr:col>11</xdr:col>
      <xdr:colOff>570922</xdr:colOff>
      <xdr:row>8</xdr:row>
      <xdr:rowOff>138268</xdr:rowOff>
    </xdr:to>
    <xdr:grpSp>
      <xdr:nvGrpSpPr>
        <xdr:cNvPr id="29" name="Group 28">
          <a:extLst>
            <a:ext uri="{FF2B5EF4-FFF2-40B4-BE49-F238E27FC236}">
              <a16:creationId xmlns:a16="http://schemas.microsoft.com/office/drawing/2014/main" id="{95FF2E10-2073-4754-A205-F9C51817CFB2}"/>
            </a:ext>
          </a:extLst>
        </xdr:cNvPr>
        <xdr:cNvGrpSpPr/>
      </xdr:nvGrpSpPr>
      <xdr:grpSpPr>
        <a:xfrm>
          <a:off x="4917408" y="539863"/>
          <a:ext cx="2270882" cy="801563"/>
          <a:chOff x="5015443" y="564929"/>
          <a:chExt cx="2307646" cy="843339"/>
        </a:xfrm>
      </xdr:grpSpPr>
      <xdr:sp macro="" textlink="">
        <xdr:nvSpPr>
          <xdr:cNvPr id="7" name="Rectangle: Rounded Corners 6">
            <a:extLst>
              <a:ext uri="{FF2B5EF4-FFF2-40B4-BE49-F238E27FC236}">
                <a16:creationId xmlns:a16="http://schemas.microsoft.com/office/drawing/2014/main" id="{42F801F0-1AA9-437D-B222-8694C95E83CD}"/>
              </a:ext>
            </a:extLst>
          </xdr:cNvPr>
          <xdr:cNvSpPr/>
        </xdr:nvSpPr>
        <xdr:spPr>
          <a:xfrm>
            <a:off x="5015443" y="564929"/>
            <a:ext cx="2307646" cy="843339"/>
          </a:xfrm>
          <a:prstGeom prst="roundRect">
            <a:avLst/>
          </a:prstGeom>
          <a:solidFill>
            <a:schemeClr val="tx1"/>
          </a:solidFill>
          <a:ln>
            <a:noFill/>
          </a:ln>
          <a:effectLst>
            <a:outerShdw blurRad="76200" dir="13500000" sy="23000" kx="1200000" algn="br"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D99021"/>
              </a:solidFill>
            </a:endParaRPr>
          </a:p>
        </xdr:txBody>
      </xdr:sp>
      <xdr:sp macro="" textlink="'Pivot Table'!F30">
        <xdr:nvSpPr>
          <xdr:cNvPr id="8" name="TextBox 7">
            <a:extLst>
              <a:ext uri="{FF2B5EF4-FFF2-40B4-BE49-F238E27FC236}">
                <a16:creationId xmlns:a16="http://schemas.microsoft.com/office/drawing/2014/main" id="{3B440E33-30B8-40E0-ADBC-D15D4980723C}"/>
              </a:ext>
            </a:extLst>
          </xdr:cNvPr>
          <xdr:cNvSpPr txBox="1"/>
        </xdr:nvSpPr>
        <xdr:spPr>
          <a:xfrm>
            <a:off x="5298630" y="945909"/>
            <a:ext cx="1824877" cy="327534"/>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64AB03-AFD7-4C1F-8F39-C675506146BB}" type="TxLink">
              <a:rPr lang="en-US" sz="2000" b="1" i="0" u="none" strike="noStrike">
                <a:solidFill>
                  <a:srgbClr val="D99021"/>
                </a:solidFill>
                <a:latin typeface="+mj-lt"/>
                <a:cs typeface="Arial"/>
              </a:rPr>
              <a:pPr algn="ctr"/>
              <a:t>2017</a:t>
            </a:fld>
            <a:endParaRPr lang="en-US" sz="2800" b="1">
              <a:solidFill>
                <a:srgbClr val="D99021"/>
              </a:solidFill>
              <a:latin typeface="+mj-lt"/>
            </a:endParaRPr>
          </a:p>
        </xdr:txBody>
      </xdr:sp>
    </xdr:grpSp>
    <xdr:clientData/>
  </xdr:twoCellAnchor>
  <xdr:twoCellAnchor>
    <xdr:from>
      <xdr:col>8</xdr:col>
      <xdr:colOff>264899</xdr:colOff>
      <xdr:row>4</xdr:row>
      <xdr:rowOff>56518</xdr:rowOff>
    </xdr:from>
    <xdr:to>
      <xdr:col>11</xdr:col>
      <xdr:colOff>485672</xdr:colOff>
      <xdr:row>5</xdr:row>
      <xdr:rowOff>84572</xdr:rowOff>
    </xdr:to>
    <xdr:sp macro="" textlink="">
      <xdr:nvSpPr>
        <xdr:cNvPr id="9" name="TextBox 8">
          <a:extLst>
            <a:ext uri="{FF2B5EF4-FFF2-40B4-BE49-F238E27FC236}">
              <a16:creationId xmlns:a16="http://schemas.microsoft.com/office/drawing/2014/main" id="{F1B1227B-AC8B-4EC3-8945-CB8799970BEB}"/>
            </a:ext>
          </a:extLst>
        </xdr:cNvPr>
        <xdr:cNvSpPr txBox="1"/>
      </xdr:nvSpPr>
      <xdr:spPr>
        <a:xfrm>
          <a:off x="5141699" y="704218"/>
          <a:ext cx="2049573" cy="18997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D99021"/>
              </a:solidFill>
            </a:rPr>
            <a:t>Year</a:t>
          </a:r>
          <a:r>
            <a:rPr lang="en-US" sz="1200" b="1" baseline="0">
              <a:solidFill>
                <a:srgbClr val="D99021"/>
              </a:solidFill>
            </a:rPr>
            <a:t> with highest profit</a:t>
          </a:r>
          <a:endParaRPr lang="en-US" sz="1200" b="1">
            <a:solidFill>
              <a:srgbClr val="D99021"/>
            </a:solidFill>
          </a:endParaRPr>
        </a:p>
      </xdr:txBody>
    </xdr:sp>
    <xdr:clientData/>
  </xdr:twoCellAnchor>
  <xdr:twoCellAnchor>
    <xdr:from>
      <xdr:col>3</xdr:col>
      <xdr:colOff>581025</xdr:colOff>
      <xdr:row>9</xdr:row>
      <xdr:rowOff>36820</xdr:rowOff>
    </xdr:from>
    <xdr:to>
      <xdr:col>8</xdr:col>
      <xdr:colOff>95250</xdr:colOff>
      <xdr:row>14</xdr:row>
      <xdr:rowOff>63500</xdr:rowOff>
    </xdr:to>
    <xdr:grpSp>
      <xdr:nvGrpSpPr>
        <xdr:cNvPr id="45" name="Group 44">
          <a:extLst>
            <a:ext uri="{FF2B5EF4-FFF2-40B4-BE49-F238E27FC236}">
              <a16:creationId xmlns:a16="http://schemas.microsoft.com/office/drawing/2014/main" id="{BA12AC81-8D86-421D-956E-325FA7DB7430}"/>
            </a:ext>
          </a:extLst>
        </xdr:cNvPr>
        <xdr:cNvGrpSpPr/>
      </xdr:nvGrpSpPr>
      <xdr:grpSpPr>
        <a:xfrm>
          <a:off x="2385762" y="1390373"/>
          <a:ext cx="2522120" cy="778653"/>
          <a:chOff x="2422525" y="1465570"/>
          <a:chExt cx="2583392" cy="820430"/>
        </a:xfrm>
      </xdr:grpSpPr>
      <xdr:sp macro="" textlink="">
        <xdr:nvSpPr>
          <xdr:cNvPr id="11" name="Rectangle: Rounded Corners 10">
            <a:extLst>
              <a:ext uri="{FF2B5EF4-FFF2-40B4-BE49-F238E27FC236}">
                <a16:creationId xmlns:a16="http://schemas.microsoft.com/office/drawing/2014/main" id="{86BF8231-B28A-4A6A-A891-B583163E65FF}"/>
              </a:ext>
            </a:extLst>
          </xdr:cNvPr>
          <xdr:cNvSpPr/>
        </xdr:nvSpPr>
        <xdr:spPr>
          <a:xfrm>
            <a:off x="2422525" y="1465570"/>
            <a:ext cx="2583392" cy="820430"/>
          </a:xfrm>
          <a:prstGeom prst="roundRect">
            <a:avLst/>
          </a:prstGeom>
          <a:solidFill>
            <a:schemeClr val="tx1"/>
          </a:solidFill>
          <a:ln>
            <a:noFill/>
          </a:ln>
          <a:effectLst>
            <a:outerShdw blurRad="76200" dir="18900000" sy="23000" kx="-1200000" algn="b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H12">
        <xdr:nvSpPr>
          <xdr:cNvPr id="12" name="TextBox 11">
            <a:extLst>
              <a:ext uri="{FF2B5EF4-FFF2-40B4-BE49-F238E27FC236}">
                <a16:creationId xmlns:a16="http://schemas.microsoft.com/office/drawing/2014/main" id="{49B3F77F-EE2C-418C-9A84-418953E252F3}"/>
              </a:ext>
            </a:extLst>
          </xdr:cNvPr>
          <xdr:cNvSpPr txBox="1"/>
        </xdr:nvSpPr>
        <xdr:spPr>
          <a:xfrm>
            <a:off x="2875570" y="1856278"/>
            <a:ext cx="1846482" cy="30934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1DC99D-23BA-4116-8331-CD08FC7E7C0C}" type="TxLink">
              <a:rPr lang="en-US" sz="2000" b="1" i="0" u="none" strike="noStrike">
                <a:solidFill>
                  <a:srgbClr val="D99021"/>
                </a:solidFill>
                <a:latin typeface="+mj-lt"/>
                <a:cs typeface="Arial"/>
              </a:rPr>
              <a:pPr algn="ctr"/>
              <a:t>Ghana</a:t>
            </a:fld>
            <a:endParaRPr lang="en-US" sz="2000" b="1">
              <a:solidFill>
                <a:srgbClr val="D99021"/>
              </a:solidFill>
              <a:latin typeface="+mj-lt"/>
            </a:endParaRPr>
          </a:p>
        </xdr:txBody>
      </xdr:sp>
      <xdr:sp macro="" textlink="">
        <xdr:nvSpPr>
          <xdr:cNvPr id="13" name="TextBox 12">
            <a:extLst>
              <a:ext uri="{FF2B5EF4-FFF2-40B4-BE49-F238E27FC236}">
                <a16:creationId xmlns:a16="http://schemas.microsoft.com/office/drawing/2014/main" id="{FB6A4F50-DAC5-4678-BD7A-3C199F39241B}"/>
              </a:ext>
            </a:extLst>
          </xdr:cNvPr>
          <xdr:cNvSpPr txBox="1"/>
        </xdr:nvSpPr>
        <xdr:spPr>
          <a:xfrm>
            <a:off x="2424929" y="1589504"/>
            <a:ext cx="2553501" cy="23351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rgbClr val="D99021"/>
                </a:solidFill>
              </a:rPr>
              <a:t> </a:t>
            </a:r>
            <a:r>
              <a:rPr lang="en-US" sz="1200" b="1">
                <a:solidFill>
                  <a:srgbClr val="D99021"/>
                </a:solidFill>
                <a:effectLst/>
                <a:latin typeface="+mn-lt"/>
                <a:ea typeface="+mn-ea"/>
                <a:cs typeface="+mn-cs"/>
              </a:rPr>
              <a:t>Country with highest profit in 2019</a:t>
            </a:r>
            <a:endParaRPr lang="en-US" sz="1200">
              <a:solidFill>
                <a:srgbClr val="D99021"/>
              </a:solidFill>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1200" b="1">
              <a:solidFill>
                <a:srgbClr val="D99021"/>
              </a:solidFill>
            </a:endParaRPr>
          </a:p>
        </xdr:txBody>
      </xdr:sp>
    </xdr:grpSp>
    <xdr:clientData/>
  </xdr:twoCellAnchor>
  <xdr:twoCellAnchor>
    <xdr:from>
      <xdr:col>0</xdr:col>
      <xdr:colOff>0</xdr:colOff>
      <xdr:row>9</xdr:row>
      <xdr:rowOff>10391</xdr:rowOff>
    </xdr:from>
    <xdr:to>
      <xdr:col>3</xdr:col>
      <xdr:colOff>552450</xdr:colOff>
      <xdr:row>14</xdr:row>
      <xdr:rowOff>76200</xdr:rowOff>
    </xdr:to>
    <xdr:grpSp>
      <xdr:nvGrpSpPr>
        <xdr:cNvPr id="44" name="Group 43">
          <a:extLst>
            <a:ext uri="{FF2B5EF4-FFF2-40B4-BE49-F238E27FC236}">
              <a16:creationId xmlns:a16="http://schemas.microsoft.com/office/drawing/2014/main" id="{7E1689BB-A998-4E1B-A039-024DB6DF8C56}"/>
            </a:ext>
          </a:extLst>
        </xdr:cNvPr>
        <xdr:cNvGrpSpPr/>
      </xdr:nvGrpSpPr>
      <xdr:grpSpPr>
        <a:xfrm>
          <a:off x="0" y="1363944"/>
          <a:ext cx="2357187" cy="817782"/>
          <a:chOff x="0" y="1439141"/>
          <a:chExt cx="2393950" cy="859559"/>
        </a:xfrm>
      </xdr:grpSpPr>
      <xdr:sp macro="" textlink="">
        <xdr:nvSpPr>
          <xdr:cNvPr id="15" name="Rectangle: Rounded Corners 14">
            <a:extLst>
              <a:ext uri="{FF2B5EF4-FFF2-40B4-BE49-F238E27FC236}">
                <a16:creationId xmlns:a16="http://schemas.microsoft.com/office/drawing/2014/main" id="{A6E6E5E9-EDE7-4380-B511-B69617E625FD}"/>
              </a:ext>
            </a:extLst>
          </xdr:cNvPr>
          <xdr:cNvSpPr/>
        </xdr:nvSpPr>
        <xdr:spPr>
          <a:xfrm>
            <a:off x="0" y="1439141"/>
            <a:ext cx="2393950" cy="859559"/>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D27">
        <xdr:nvSpPr>
          <xdr:cNvPr id="16" name="TextBox 15">
            <a:extLst>
              <a:ext uri="{FF2B5EF4-FFF2-40B4-BE49-F238E27FC236}">
                <a16:creationId xmlns:a16="http://schemas.microsoft.com/office/drawing/2014/main" id="{D8DB9C00-778C-422C-9F4C-00D8D09B6850}"/>
              </a:ext>
            </a:extLst>
          </xdr:cNvPr>
          <xdr:cNvSpPr txBox="1"/>
        </xdr:nvSpPr>
        <xdr:spPr>
          <a:xfrm>
            <a:off x="334958" y="1870508"/>
            <a:ext cx="1947728" cy="285461"/>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59E75E-294E-461B-907F-9268D5CE058E}" type="TxLink">
              <a:rPr lang="en-US" sz="2000" b="1" i="0" u="none" strike="noStrike">
                <a:solidFill>
                  <a:srgbClr val="D99021"/>
                </a:solidFill>
                <a:latin typeface="+mj-lt"/>
                <a:cs typeface="Arial"/>
              </a:rPr>
              <a:pPr algn="ctr"/>
              <a:t>$35,100.00</a:t>
            </a:fld>
            <a:endParaRPr lang="en-US" sz="2000" b="1">
              <a:solidFill>
                <a:srgbClr val="D99021"/>
              </a:solidFill>
              <a:latin typeface="+mj-lt"/>
            </a:endParaRPr>
          </a:p>
        </xdr:txBody>
      </xdr:sp>
      <xdr:sp macro="" textlink="">
        <xdr:nvSpPr>
          <xdr:cNvPr id="17" name="TextBox 16">
            <a:extLst>
              <a:ext uri="{FF2B5EF4-FFF2-40B4-BE49-F238E27FC236}">
                <a16:creationId xmlns:a16="http://schemas.microsoft.com/office/drawing/2014/main" id="{2E46A2A6-BE8E-4F59-915B-810B0302FD5A}"/>
              </a:ext>
            </a:extLst>
          </xdr:cNvPr>
          <xdr:cNvSpPr txBox="1"/>
        </xdr:nvSpPr>
        <xdr:spPr>
          <a:xfrm>
            <a:off x="26215" y="1552622"/>
            <a:ext cx="2295184" cy="22061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D99021"/>
                </a:solidFill>
              </a:rPr>
              <a:t> </a:t>
            </a:r>
            <a:r>
              <a:rPr lang="en-US" sz="1200" b="1">
                <a:solidFill>
                  <a:srgbClr val="D99021"/>
                </a:solidFill>
                <a:effectLst/>
                <a:latin typeface="+mn-lt"/>
                <a:ea typeface="+mn-ea"/>
                <a:cs typeface="+mn-cs"/>
              </a:rPr>
              <a:t>Minimum Profit for 2018</a:t>
            </a:r>
            <a:endParaRPr lang="en-US" sz="1200" b="1">
              <a:solidFill>
                <a:srgbClr val="D99021"/>
              </a:solidFill>
            </a:endParaRPr>
          </a:p>
        </xdr:txBody>
      </xdr:sp>
    </xdr:grpSp>
    <xdr:clientData/>
  </xdr:twoCellAnchor>
  <xdr:twoCellAnchor>
    <xdr:from>
      <xdr:col>0</xdr:col>
      <xdr:colOff>19050</xdr:colOff>
      <xdr:row>14</xdr:row>
      <xdr:rowOff>133350</xdr:rowOff>
    </xdr:from>
    <xdr:to>
      <xdr:col>6</xdr:col>
      <xdr:colOff>497417</xdr:colOff>
      <xdr:row>28</xdr:row>
      <xdr:rowOff>105833</xdr:rowOff>
    </xdr:to>
    <xdr:sp macro="" textlink="">
      <xdr:nvSpPr>
        <xdr:cNvPr id="19" name="Rectangle: Rounded Corners 18">
          <a:extLst>
            <a:ext uri="{FF2B5EF4-FFF2-40B4-BE49-F238E27FC236}">
              <a16:creationId xmlns:a16="http://schemas.microsoft.com/office/drawing/2014/main" id="{619C97D4-7E8A-4ED4-B4F2-1621DA591875}"/>
            </a:ext>
          </a:extLst>
        </xdr:cNvPr>
        <xdr:cNvSpPr/>
      </xdr:nvSpPr>
      <xdr:spPr>
        <a:xfrm>
          <a:off x="19050" y="2355850"/>
          <a:ext cx="4161367" cy="2194983"/>
        </a:xfrm>
        <a:prstGeom prst="roundRect">
          <a:avLst>
            <a:gd name="adj" fmla="val 2760"/>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386324</xdr:colOff>
      <xdr:row>15</xdr:row>
      <xdr:rowOff>89349</xdr:rowOff>
    </xdr:from>
    <xdr:to>
      <xdr:col>6</xdr:col>
      <xdr:colOff>237771</xdr:colOff>
      <xdr:row>18</xdr:row>
      <xdr:rowOff>30509</xdr:rowOff>
    </xdr:to>
    <xdr:sp macro="" textlink="">
      <xdr:nvSpPr>
        <xdr:cNvPr id="20" name="TextBox 19">
          <a:extLst>
            <a:ext uri="{FF2B5EF4-FFF2-40B4-BE49-F238E27FC236}">
              <a16:creationId xmlns:a16="http://schemas.microsoft.com/office/drawing/2014/main" id="{EF26FD7E-9A92-489A-8EA3-A4AA6FF0C6B9}"/>
            </a:ext>
          </a:extLst>
        </xdr:cNvPr>
        <xdr:cNvSpPr txBox="1"/>
      </xdr:nvSpPr>
      <xdr:spPr>
        <a:xfrm>
          <a:off x="386324" y="2518224"/>
          <a:ext cx="3509047" cy="42693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D99021"/>
              </a:solidFill>
            </a:rPr>
            <a:t>Months in each year with the least profit generated</a:t>
          </a:r>
        </a:p>
      </xdr:txBody>
    </xdr:sp>
    <xdr:clientData/>
  </xdr:twoCellAnchor>
  <xdr:twoCellAnchor>
    <xdr:from>
      <xdr:col>0</xdr:col>
      <xdr:colOff>190108</xdr:colOff>
      <xdr:row>18</xdr:row>
      <xdr:rowOff>157002</xdr:rowOff>
    </xdr:from>
    <xdr:to>
      <xdr:col>6</xdr:col>
      <xdr:colOff>495322</xdr:colOff>
      <xdr:row>28</xdr:row>
      <xdr:rowOff>110326</xdr:rowOff>
    </xdr:to>
    <xdr:graphicFrame macro="">
      <xdr:nvGraphicFramePr>
        <xdr:cNvPr id="21" name="Chart 20">
          <a:extLst>
            <a:ext uri="{FF2B5EF4-FFF2-40B4-BE49-F238E27FC236}">
              <a16:creationId xmlns:a16="http://schemas.microsoft.com/office/drawing/2014/main" id="{F1D51CD3-8394-404B-8C6D-FC1B38E9B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533401</xdr:colOff>
      <xdr:row>14</xdr:row>
      <xdr:rowOff>123825</xdr:rowOff>
    </xdr:from>
    <xdr:to>
      <xdr:col>13</xdr:col>
      <xdr:colOff>571500</xdr:colOff>
      <xdr:row>28</xdr:row>
      <xdr:rowOff>104775</xdr:rowOff>
    </xdr:to>
    <xdr:sp macro="" textlink="">
      <xdr:nvSpPr>
        <xdr:cNvPr id="23" name="Rectangle: Rounded Corners 22">
          <a:extLst>
            <a:ext uri="{FF2B5EF4-FFF2-40B4-BE49-F238E27FC236}">
              <a16:creationId xmlns:a16="http://schemas.microsoft.com/office/drawing/2014/main" id="{D30AA169-F003-4BFE-9EFE-D706477F48AB}"/>
            </a:ext>
          </a:extLst>
        </xdr:cNvPr>
        <xdr:cNvSpPr/>
      </xdr:nvSpPr>
      <xdr:spPr>
        <a:xfrm>
          <a:off x="4191001" y="2390775"/>
          <a:ext cx="4305299" cy="2247900"/>
        </a:xfrm>
        <a:prstGeom prst="roundRect">
          <a:avLst>
            <a:gd name="adj" fmla="val 3543"/>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261347</xdr:colOff>
      <xdr:row>14</xdr:row>
      <xdr:rowOff>153570</xdr:rowOff>
    </xdr:from>
    <xdr:to>
      <xdr:col>13</xdr:col>
      <xdr:colOff>249929</xdr:colOff>
      <xdr:row>18</xdr:row>
      <xdr:rowOff>3620</xdr:rowOff>
    </xdr:to>
    <xdr:sp macro="" textlink="">
      <xdr:nvSpPr>
        <xdr:cNvPr id="24" name="TextBox 23">
          <a:extLst>
            <a:ext uri="{FF2B5EF4-FFF2-40B4-BE49-F238E27FC236}">
              <a16:creationId xmlns:a16="http://schemas.microsoft.com/office/drawing/2014/main" id="{4A4A370E-31FA-48B7-9ED2-E99576AEFCED}"/>
            </a:ext>
          </a:extLst>
        </xdr:cNvPr>
        <xdr:cNvSpPr txBox="1"/>
      </xdr:nvSpPr>
      <xdr:spPr>
        <a:xfrm>
          <a:off x="4528547" y="2420520"/>
          <a:ext cx="3646182" cy="49775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D99021"/>
              </a:solidFill>
            </a:rPr>
            <a:t>Profit</a:t>
          </a:r>
          <a:r>
            <a:rPr lang="en-US" sz="1200" b="1" baseline="0">
              <a:solidFill>
                <a:srgbClr val="D99021"/>
              </a:solidFill>
            </a:rPr>
            <a:t> comparison between the anglophone and francophone territories</a:t>
          </a:r>
          <a:endParaRPr lang="en-US" sz="1200" b="1">
            <a:solidFill>
              <a:srgbClr val="D99021"/>
            </a:solidFill>
          </a:endParaRPr>
        </a:p>
      </xdr:txBody>
    </xdr:sp>
    <xdr:clientData/>
  </xdr:twoCellAnchor>
  <xdr:twoCellAnchor>
    <xdr:from>
      <xdr:col>7</xdr:col>
      <xdr:colOff>167062</xdr:colOff>
      <xdr:row>17</xdr:row>
      <xdr:rowOff>90556</xdr:rowOff>
    </xdr:from>
    <xdr:to>
      <xdr:col>13</xdr:col>
      <xdr:colOff>368519</xdr:colOff>
      <xdr:row>28</xdr:row>
      <xdr:rowOff>52670</xdr:rowOff>
    </xdr:to>
    <xdr:graphicFrame macro="">
      <xdr:nvGraphicFramePr>
        <xdr:cNvPr id="25" name="Chart 24">
          <a:extLst>
            <a:ext uri="{FF2B5EF4-FFF2-40B4-BE49-F238E27FC236}">
              <a16:creationId xmlns:a16="http://schemas.microsoft.com/office/drawing/2014/main" id="{E72529E7-B0A0-4D0C-A15B-9FBAC8587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124302</xdr:colOff>
      <xdr:row>9</xdr:row>
      <xdr:rowOff>15363</xdr:rowOff>
    </xdr:from>
    <xdr:to>
      <xdr:col>11</xdr:col>
      <xdr:colOff>596388</xdr:colOff>
      <xdr:row>14</xdr:row>
      <xdr:rowOff>49162</xdr:rowOff>
    </xdr:to>
    <xdr:grpSp>
      <xdr:nvGrpSpPr>
        <xdr:cNvPr id="46" name="Group 45">
          <a:extLst>
            <a:ext uri="{FF2B5EF4-FFF2-40B4-BE49-F238E27FC236}">
              <a16:creationId xmlns:a16="http://schemas.microsoft.com/office/drawing/2014/main" id="{B6B48F4D-3252-4294-B94E-61CDEC0F2229}"/>
            </a:ext>
          </a:extLst>
        </xdr:cNvPr>
        <xdr:cNvGrpSpPr/>
      </xdr:nvGrpSpPr>
      <xdr:grpSpPr>
        <a:xfrm>
          <a:off x="4936934" y="1368916"/>
          <a:ext cx="2276822" cy="785772"/>
          <a:chOff x="5034969" y="1444113"/>
          <a:chExt cx="2313586" cy="827549"/>
        </a:xfrm>
      </xdr:grpSpPr>
      <xdr:sp macro="" textlink="">
        <xdr:nvSpPr>
          <xdr:cNvPr id="33" name="Rectangle: Rounded Corners 32">
            <a:extLst>
              <a:ext uri="{FF2B5EF4-FFF2-40B4-BE49-F238E27FC236}">
                <a16:creationId xmlns:a16="http://schemas.microsoft.com/office/drawing/2014/main" id="{8DF2D1FE-E4EB-46F8-8D43-09068738F59E}"/>
              </a:ext>
            </a:extLst>
          </xdr:cNvPr>
          <xdr:cNvSpPr/>
        </xdr:nvSpPr>
        <xdr:spPr>
          <a:xfrm>
            <a:off x="5034969" y="1444113"/>
            <a:ext cx="2313586" cy="827549"/>
          </a:xfrm>
          <a:prstGeom prst="roundRect">
            <a:avLst/>
          </a:prstGeom>
          <a:solidFill>
            <a:schemeClr val="tx1"/>
          </a:solidFill>
          <a:ln>
            <a:noFill/>
          </a:ln>
          <a:effectLst>
            <a:outerShdw blurRad="76200" dir="18900000" sy="23000" kx="-1200000" algn="bl"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98BBBB68-5E44-4FDB-864D-9846145A3095}"/>
              </a:ext>
            </a:extLst>
          </xdr:cNvPr>
          <xdr:cNvSpPr txBox="1"/>
        </xdr:nvSpPr>
        <xdr:spPr>
          <a:xfrm>
            <a:off x="5078429" y="1489950"/>
            <a:ext cx="2241551" cy="48552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1">
                <a:solidFill>
                  <a:srgbClr val="D99021"/>
                </a:solidFill>
              </a:rPr>
              <a:t>Country with the highest consumption of beer</a:t>
            </a:r>
          </a:p>
        </xdr:txBody>
      </xdr:sp>
      <xdr:sp macro="" textlink="'Pivot Table'!C118">
        <xdr:nvSpPr>
          <xdr:cNvPr id="35" name="TextBox 34">
            <a:extLst>
              <a:ext uri="{FF2B5EF4-FFF2-40B4-BE49-F238E27FC236}">
                <a16:creationId xmlns:a16="http://schemas.microsoft.com/office/drawing/2014/main" id="{39E8C29E-AA78-4AF5-8B26-D7056D89755D}"/>
              </a:ext>
            </a:extLst>
          </xdr:cNvPr>
          <xdr:cNvSpPr txBox="1"/>
        </xdr:nvSpPr>
        <xdr:spPr>
          <a:xfrm>
            <a:off x="5080760" y="1943713"/>
            <a:ext cx="2107960" cy="296266"/>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713081-881E-4775-868F-5F58E70E4840}" type="TxLink">
              <a:rPr lang="en-US" sz="2000" b="1" i="0" u="none" strike="noStrike">
                <a:solidFill>
                  <a:srgbClr val="D99021"/>
                </a:solidFill>
                <a:latin typeface="+mj-lt"/>
                <a:cs typeface="Arial"/>
              </a:rPr>
              <a:pPr algn="ctr"/>
              <a:t>Senegal</a:t>
            </a:fld>
            <a:endParaRPr lang="en-US" sz="2000" b="1">
              <a:solidFill>
                <a:srgbClr val="D99021"/>
              </a:solidFill>
              <a:latin typeface="+mj-lt"/>
            </a:endParaRPr>
          </a:p>
        </xdr:txBody>
      </xdr:sp>
    </xdr:grpSp>
    <xdr:clientData/>
  </xdr:twoCellAnchor>
  <xdr:twoCellAnchor>
    <xdr:from>
      <xdr:col>3</xdr:col>
      <xdr:colOff>562682</xdr:colOff>
      <xdr:row>3</xdr:row>
      <xdr:rowOff>86589</xdr:rowOff>
    </xdr:from>
    <xdr:to>
      <xdr:col>8</xdr:col>
      <xdr:colOff>66675</xdr:colOff>
      <xdr:row>8</xdr:row>
      <xdr:rowOff>152400</xdr:rowOff>
    </xdr:to>
    <xdr:grpSp>
      <xdr:nvGrpSpPr>
        <xdr:cNvPr id="30" name="Group 29">
          <a:extLst>
            <a:ext uri="{FF2B5EF4-FFF2-40B4-BE49-F238E27FC236}">
              <a16:creationId xmlns:a16="http://schemas.microsoft.com/office/drawing/2014/main" id="{AD324F5E-E8E8-4087-AD01-7817E3462AF0}"/>
            </a:ext>
          </a:extLst>
        </xdr:cNvPr>
        <xdr:cNvGrpSpPr/>
      </xdr:nvGrpSpPr>
      <xdr:grpSpPr>
        <a:xfrm>
          <a:off x="2367419" y="537773"/>
          <a:ext cx="2511888" cy="817785"/>
          <a:chOff x="2404182" y="562839"/>
          <a:chExt cx="2573160" cy="859561"/>
        </a:xfrm>
      </xdr:grpSpPr>
      <xdr:sp macro="" textlink="">
        <xdr:nvSpPr>
          <xdr:cNvPr id="37" name="Rectangle: Rounded Corners 36">
            <a:extLst>
              <a:ext uri="{FF2B5EF4-FFF2-40B4-BE49-F238E27FC236}">
                <a16:creationId xmlns:a16="http://schemas.microsoft.com/office/drawing/2014/main" id="{2F3B829E-F504-4068-ABC8-930163AFBF9C}"/>
              </a:ext>
            </a:extLst>
          </xdr:cNvPr>
          <xdr:cNvSpPr/>
        </xdr:nvSpPr>
        <xdr:spPr>
          <a:xfrm>
            <a:off x="2404182" y="562839"/>
            <a:ext cx="2573160" cy="859561"/>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FD9450E1-7F6B-4D65-B9F0-6AC57F5CA4C8}"/>
              </a:ext>
            </a:extLst>
          </xdr:cNvPr>
          <xdr:cNvSpPr txBox="1"/>
        </xdr:nvSpPr>
        <xdr:spPr>
          <a:xfrm>
            <a:off x="2511561" y="640701"/>
            <a:ext cx="2414208" cy="36897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1">
                <a:solidFill>
                  <a:srgbClr val="D99021"/>
                </a:solidFill>
                <a:latin typeface="+mn-lt"/>
                <a:ea typeface="+mn-ea"/>
                <a:cs typeface="+mn-cs"/>
              </a:rPr>
              <a:t>Total Profit</a:t>
            </a:r>
          </a:p>
        </xdr:txBody>
      </xdr:sp>
      <xdr:sp macro="" textlink="'Cleaned Data'!R9">
        <xdr:nvSpPr>
          <xdr:cNvPr id="39" name="TextBox 38">
            <a:extLst>
              <a:ext uri="{FF2B5EF4-FFF2-40B4-BE49-F238E27FC236}">
                <a16:creationId xmlns:a16="http://schemas.microsoft.com/office/drawing/2014/main" id="{8F34F8F9-F3E4-4F17-8A1C-53C738DF36B3}"/>
              </a:ext>
            </a:extLst>
          </xdr:cNvPr>
          <xdr:cNvSpPr txBox="1"/>
        </xdr:nvSpPr>
        <xdr:spPr>
          <a:xfrm>
            <a:off x="2769422" y="873694"/>
            <a:ext cx="1959346" cy="495453"/>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D449D3-7379-4953-8F20-55C616BED94C}" type="TxLink">
              <a:rPr lang="en-US" sz="2000" b="1" i="0" u="none" strike="noStrike">
                <a:solidFill>
                  <a:srgbClr val="D99021"/>
                </a:solidFill>
                <a:latin typeface="+mj-lt"/>
                <a:cs typeface="Arial"/>
              </a:rPr>
              <a:pPr algn="ctr"/>
              <a:t>$105,587,420.00</a:t>
            </a:fld>
            <a:endParaRPr lang="en-US" sz="2000" b="1">
              <a:solidFill>
                <a:srgbClr val="D99021"/>
              </a:solidFill>
              <a:latin typeface="+mj-lt"/>
            </a:endParaRPr>
          </a:p>
        </xdr:txBody>
      </xdr:sp>
    </xdr:grpSp>
    <xdr:clientData/>
  </xdr:twoCellAnchor>
  <xdr:twoCellAnchor>
    <xdr:from>
      <xdr:col>0</xdr:col>
      <xdr:colOff>0</xdr:colOff>
      <xdr:row>3</xdr:row>
      <xdr:rowOff>96115</xdr:rowOff>
    </xdr:from>
    <xdr:to>
      <xdr:col>3</xdr:col>
      <xdr:colOff>533400</xdr:colOff>
      <xdr:row>8</xdr:row>
      <xdr:rowOff>142875</xdr:rowOff>
    </xdr:to>
    <xdr:grpSp>
      <xdr:nvGrpSpPr>
        <xdr:cNvPr id="31" name="Group 30">
          <a:extLst>
            <a:ext uri="{FF2B5EF4-FFF2-40B4-BE49-F238E27FC236}">
              <a16:creationId xmlns:a16="http://schemas.microsoft.com/office/drawing/2014/main" id="{6DEB3578-2421-4816-9F04-5AF3C2867E15}"/>
            </a:ext>
          </a:extLst>
        </xdr:cNvPr>
        <xdr:cNvGrpSpPr/>
      </xdr:nvGrpSpPr>
      <xdr:grpSpPr>
        <a:xfrm>
          <a:off x="0" y="547299"/>
          <a:ext cx="2338137" cy="798734"/>
          <a:chOff x="0" y="572365"/>
          <a:chExt cx="2374900" cy="840510"/>
        </a:xfrm>
      </xdr:grpSpPr>
      <xdr:sp macro="" textlink="">
        <xdr:nvSpPr>
          <xdr:cNvPr id="41" name="Rectangle: Rounded Corners 40">
            <a:extLst>
              <a:ext uri="{FF2B5EF4-FFF2-40B4-BE49-F238E27FC236}">
                <a16:creationId xmlns:a16="http://schemas.microsoft.com/office/drawing/2014/main" id="{EB276EA8-B0AD-445B-B306-594DE46227E3}"/>
              </a:ext>
            </a:extLst>
          </xdr:cNvPr>
          <xdr:cNvSpPr/>
        </xdr:nvSpPr>
        <xdr:spPr>
          <a:xfrm>
            <a:off x="0" y="572365"/>
            <a:ext cx="2374900" cy="840510"/>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TextBox 41">
            <a:extLst>
              <a:ext uri="{FF2B5EF4-FFF2-40B4-BE49-F238E27FC236}">
                <a16:creationId xmlns:a16="http://schemas.microsoft.com/office/drawing/2014/main" id="{AA26CB39-0F0E-4976-BF7E-A12E135F3606}"/>
              </a:ext>
            </a:extLst>
          </xdr:cNvPr>
          <xdr:cNvSpPr txBox="1"/>
        </xdr:nvSpPr>
        <xdr:spPr>
          <a:xfrm>
            <a:off x="28345" y="614953"/>
            <a:ext cx="2319832" cy="30881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D99021"/>
                </a:solidFill>
              </a:rPr>
              <a:t>Total</a:t>
            </a:r>
            <a:r>
              <a:rPr lang="en-US" sz="1200" b="1" baseline="0">
                <a:solidFill>
                  <a:srgbClr val="D99021"/>
                </a:solidFill>
              </a:rPr>
              <a:t> Sales</a:t>
            </a:r>
            <a:endParaRPr lang="en-US" sz="1200" b="1">
              <a:solidFill>
                <a:srgbClr val="D99021"/>
              </a:solidFill>
            </a:endParaRPr>
          </a:p>
        </xdr:txBody>
      </xdr:sp>
      <xdr:sp macro="" textlink="'Cleaned Data'!R7">
        <xdr:nvSpPr>
          <xdr:cNvPr id="43" name="TextBox 42">
            <a:extLst>
              <a:ext uri="{FF2B5EF4-FFF2-40B4-BE49-F238E27FC236}">
                <a16:creationId xmlns:a16="http://schemas.microsoft.com/office/drawing/2014/main" id="{65505255-99FC-428C-B425-9E03E27C0149}"/>
              </a:ext>
            </a:extLst>
          </xdr:cNvPr>
          <xdr:cNvSpPr txBox="1"/>
        </xdr:nvSpPr>
        <xdr:spPr>
          <a:xfrm>
            <a:off x="109327" y="885358"/>
            <a:ext cx="2076892" cy="49411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C4493FC-98F3-4356-B5CC-3F6BBDD25106}" type="TxLink">
              <a:rPr lang="en-US" sz="2000" b="1" i="0" u="none" strike="noStrike">
                <a:solidFill>
                  <a:srgbClr val="D99021"/>
                </a:solidFill>
                <a:latin typeface="+mj-lt"/>
                <a:cs typeface="Arial"/>
              </a:rPr>
              <a:pPr algn="ctr"/>
              <a:t>$241,892,650.00</a:t>
            </a:fld>
            <a:endParaRPr lang="en-US" sz="2000" b="1">
              <a:solidFill>
                <a:srgbClr val="D99021"/>
              </a:solidFill>
              <a:latin typeface="+mj-lt"/>
            </a:endParaRPr>
          </a:p>
        </xdr:txBody>
      </xdr:sp>
    </xdr:grpSp>
    <xdr:clientData/>
  </xdr:twoCellAnchor>
  <xdr:twoCellAnchor>
    <xdr:from>
      <xdr:col>12</xdr:col>
      <xdr:colOff>10345</xdr:colOff>
      <xdr:row>0</xdr:row>
      <xdr:rowOff>0</xdr:rowOff>
    </xdr:from>
    <xdr:to>
      <xdr:col>13</xdr:col>
      <xdr:colOff>590550</xdr:colOff>
      <xdr:row>14</xdr:row>
      <xdr:rowOff>95250</xdr:rowOff>
    </xdr:to>
    <xdr:sp macro="" textlink="">
      <xdr:nvSpPr>
        <xdr:cNvPr id="26" name="Rectangle: Rounded Corners 25">
          <a:extLst>
            <a:ext uri="{FF2B5EF4-FFF2-40B4-BE49-F238E27FC236}">
              <a16:creationId xmlns:a16="http://schemas.microsoft.com/office/drawing/2014/main" id="{8788C19F-1803-4E95-8029-968AFC2F010E}"/>
            </a:ext>
          </a:extLst>
        </xdr:cNvPr>
        <xdr:cNvSpPr/>
      </xdr:nvSpPr>
      <xdr:spPr>
        <a:xfrm>
          <a:off x="7325545" y="0"/>
          <a:ext cx="1189805" cy="2362200"/>
        </a:xfrm>
        <a:prstGeom prst="roundRect">
          <a:avLst>
            <a:gd name="adj" fmla="val 3033"/>
          </a:avLst>
        </a:prstGeom>
        <a:solidFill>
          <a:srgbClr val="3A3A3A"/>
        </a:solidFill>
        <a:ln>
          <a:noFill/>
        </a:ln>
        <a:effectLst>
          <a:outerShdw blurRad="152400" dist="317500" dir="5400000" sx="90000" sy="-19000"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xdr:colOff>
      <xdr:row>28</xdr:row>
      <xdr:rowOff>120650</xdr:rowOff>
    </xdr:from>
    <xdr:to>
      <xdr:col>6</xdr:col>
      <xdr:colOff>498475</xdr:colOff>
      <xdr:row>48</xdr:row>
      <xdr:rowOff>0</xdr:rowOff>
    </xdr:to>
    <xdr:grpSp>
      <xdr:nvGrpSpPr>
        <xdr:cNvPr id="28" name="Group 27">
          <a:extLst>
            <a:ext uri="{FF2B5EF4-FFF2-40B4-BE49-F238E27FC236}">
              <a16:creationId xmlns:a16="http://schemas.microsoft.com/office/drawing/2014/main" id="{1F5DC78E-46BA-404F-9B06-6ED0B356DAE3}"/>
            </a:ext>
          </a:extLst>
        </xdr:cNvPr>
        <xdr:cNvGrpSpPr/>
      </xdr:nvGrpSpPr>
      <xdr:grpSpPr>
        <a:xfrm>
          <a:off x="19050" y="4331703"/>
          <a:ext cx="4088899" cy="2887244"/>
          <a:chOff x="0" y="4597400"/>
          <a:chExt cx="4187825" cy="2997200"/>
        </a:xfrm>
      </xdr:grpSpPr>
      <xdr:sp macro="" textlink="">
        <xdr:nvSpPr>
          <xdr:cNvPr id="48" name="Rectangle: Rounded Corners 47">
            <a:extLst>
              <a:ext uri="{FF2B5EF4-FFF2-40B4-BE49-F238E27FC236}">
                <a16:creationId xmlns:a16="http://schemas.microsoft.com/office/drawing/2014/main" id="{A210F6E3-F746-4CCD-B212-4168E76A15CA}"/>
              </a:ext>
            </a:extLst>
          </xdr:cNvPr>
          <xdr:cNvSpPr/>
        </xdr:nvSpPr>
        <xdr:spPr>
          <a:xfrm>
            <a:off x="0" y="4597400"/>
            <a:ext cx="4187825" cy="2997200"/>
          </a:xfrm>
          <a:prstGeom prst="roundRect">
            <a:avLst>
              <a:gd name="adj" fmla="val 1449"/>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56" name="Chart 55">
            <a:extLst>
              <a:ext uri="{FF2B5EF4-FFF2-40B4-BE49-F238E27FC236}">
                <a16:creationId xmlns:a16="http://schemas.microsoft.com/office/drawing/2014/main" id="{04C17FEF-2A1A-4CF8-BD16-33298E2186DD}"/>
              </a:ext>
            </a:extLst>
          </xdr:cNvPr>
          <xdr:cNvGraphicFramePr>
            <a:graphicFrameLocks/>
          </xdr:cNvGraphicFramePr>
        </xdr:nvGraphicFramePr>
        <xdr:xfrm>
          <a:off x="29457" y="5405435"/>
          <a:ext cx="3726283" cy="2036501"/>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57" name="TextBox 56">
            <a:extLst>
              <a:ext uri="{FF2B5EF4-FFF2-40B4-BE49-F238E27FC236}">
                <a16:creationId xmlns:a16="http://schemas.microsoft.com/office/drawing/2014/main" id="{47F35C19-D552-4730-A35C-FAB7C28D987E}"/>
              </a:ext>
            </a:extLst>
          </xdr:cNvPr>
          <xdr:cNvSpPr txBox="1"/>
        </xdr:nvSpPr>
        <xdr:spPr>
          <a:xfrm>
            <a:off x="29455" y="4823762"/>
            <a:ext cx="3827091" cy="436253"/>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D99021"/>
                </a:solidFill>
                <a:latin typeface="+mn-lt"/>
              </a:rPr>
              <a:t>Profit generated in each month for 2019</a:t>
            </a:r>
          </a:p>
        </xdr:txBody>
      </xdr:sp>
    </xdr:grpSp>
    <xdr:clientData/>
  </xdr:twoCellAnchor>
  <xdr:twoCellAnchor>
    <xdr:from>
      <xdr:col>6</xdr:col>
      <xdr:colOff>542924</xdr:colOff>
      <xdr:row>28</xdr:row>
      <xdr:rowOff>120650</xdr:rowOff>
    </xdr:from>
    <xdr:to>
      <xdr:col>13</xdr:col>
      <xdr:colOff>581025</xdr:colOff>
      <xdr:row>47</xdr:row>
      <xdr:rowOff>142323</xdr:rowOff>
    </xdr:to>
    <xdr:grpSp>
      <xdr:nvGrpSpPr>
        <xdr:cNvPr id="3" name="Group 2">
          <a:extLst>
            <a:ext uri="{FF2B5EF4-FFF2-40B4-BE49-F238E27FC236}">
              <a16:creationId xmlns:a16="http://schemas.microsoft.com/office/drawing/2014/main" id="{AA1436FE-3451-4998-98C4-BDE5592918C4}"/>
            </a:ext>
          </a:extLst>
        </xdr:cNvPr>
        <xdr:cNvGrpSpPr/>
      </xdr:nvGrpSpPr>
      <xdr:grpSpPr>
        <a:xfrm>
          <a:off x="4152398" y="4331703"/>
          <a:ext cx="4249153" cy="2879173"/>
          <a:chOff x="4200524" y="4670465"/>
          <a:chExt cx="4305301" cy="3098248"/>
        </a:xfrm>
        <a:solidFill>
          <a:schemeClr val="tx1"/>
        </a:solidFill>
      </xdr:grpSpPr>
      <xdr:sp macro="" textlink="">
        <xdr:nvSpPr>
          <xdr:cNvPr id="2" name="Rectangle: Rounded Corners 1">
            <a:extLst>
              <a:ext uri="{FF2B5EF4-FFF2-40B4-BE49-F238E27FC236}">
                <a16:creationId xmlns:a16="http://schemas.microsoft.com/office/drawing/2014/main" id="{6BAB7B7E-AA2A-42A5-BAA9-AA01A30FB8F4}"/>
              </a:ext>
            </a:extLst>
          </xdr:cNvPr>
          <xdr:cNvSpPr/>
        </xdr:nvSpPr>
        <xdr:spPr>
          <a:xfrm>
            <a:off x="4200524" y="4670465"/>
            <a:ext cx="4305301" cy="3098248"/>
          </a:xfrm>
          <a:prstGeom prst="roundRect">
            <a:avLst>
              <a:gd name="adj" fmla="val 2132"/>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0" name="Chart 69">
            <a:extLst>
              <a:ext uri="{FF2B5EF4-FFF2-40B4-BE49-F238E27FC236}">
                <a16:creationId xmlns:a16="http://schemas.microsoft.com/office/drawing/2014/main" id="{3CF3A1CD-F926-4311-8E6C-D5E866A9A362}"/>
              </a:ext>
            </a:extLst>
          </xdr:cNvPr>
          <xdr:cNvGraphicFramePr>
            <a:graphicFrameLocks/>
          </xdr:cNvGraphicFramePr>
        </xdr:nvGraphicFramePr>
        <xdr:xfrm>
          <a:off x="4362450" y="5248275"/>
          <a:ext cx="4038600" cy="2445302"/>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71" name="TextBox 70">
            <a:extLst>
              <a:ext uri="{FF2B5EF4-FFF2-40B4-BE49-F238E27FC236}">
                <a16:creationId xmlns:a16="http://schemas.microsoft.com/office/drawing/2014/main" id="{977E9B29-339E-4095-B05C-4BE408E9AD81}"/>
              </a:ext>
            </a:extLst>
          </xdr:cNvPr>
          <xdr:cNvSpPr txBox="1"/>
        </xdr:nvSpPr>
        <xdr:spPr>
          <a:xfrm>
            <a:off x="4610100" y="4752975"/>
            <a:ext cx="3381375" cy="3143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D99021"/>
                </a:solidFill>
                <a:latin typeface="+mn-lt"/>
              </a:rPr>
              <a:t>Country with the highest profit in Q4 in 2019</a:t>
            </a:r>
          </a:p>
        </xdr:txBody>
      </xdr:sp>
    </xdr:grpSp>
    <xdr:clientData/>
  </xdr:twoCellAnchor>
  <xdr:twoCellAnchor editAs="oneCell">
    <xdr:from>
      <xdr:col>12</xdr:col>
      <xdr:colOff>10346</xdr:colOff>
      <xdr:row>0</xdr:row>
      <xdr:rowOff>0</xdr:rowOff>
    </xdr:from>
    <xdr:to>
      <xdr:col>13</xdr:col>
      <xdr:colOff>581026</xdr:colOff>
      <xdr:row>6</xdr:row>
      <xdr:rowOff>76200</xdr:rowOff>
    </xdr:to>
    <mc:AlternateContent xmlns:mc="http://schemas.openxmlformats.org/markup-compatibility/2006" xmlns:a14="http://schemas.microsoft.com/office/drawing/2010/main">
      <mc:Choice Requires="a14">
        <xdr:graphicFrame macro="">
          <xdr:nvGraphicFramePr>
            <xdr:cNvPr id="74" name="YEARS">
              <a:extLst>
                <a:ext uri="{FF2B5EF4-FFF2-40B4-BE49-F238E27FC236}">
                  <a16:creationId xmlns:a16="http://schemas.microsoft.com/office/drawing/2014/main" id="{712AB72D-FA90-45A8-813F-6D106A27D7DA}"/>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7376346" y="0"/>
              <a:ext cx="1184513" cy="1028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10345</xdr:colOff>
      <xdr:row>6</xdr:row>
      <xdr:rowOff>66675</xdr:rowOff>
    </xdr:from>
    <xdr:to>
      <xdr:col>13</xdr:col>
      <xdr:colOff>600075</xdr:colOff>
      <xdr:row>14</xdr:row>
      <xdr:rowOff>95250</xdr:rowOff>
    </xdr:to>
    <mc:AlternateContent xmlns:mc="http://schemas.openxmlformats.org/markup-compatibility/2006" xmlns:a14="http://schemas.microsoft.com/office/drawing/2010/main">
      <mc:Choice Requires="a14">
        <xdr:graphicFrame macro="">
          <xdr:nvGraphicFramePr>
            <xdr:cNvPr id="75" name="COUNTRIES 1">
              <a:extLst>
                <a:ext uri="{FF2B5EF4-FFF2-40B4-BE49-F238E27FC236}">
                  <a16:creationId xmlns:a16="http://schemas.microsoft.com/office/drawing/2014/main" id="{6E9F93EB-7285-459D-9DCA-5B258C3468F0}"/>
                </a:ext>
              </a:extLst>
            </xdr:cNvPr>
            <xdr:cNvGraphicFramePr/>
          </xdr:nvGraphicFramePr>
          <xdr:xfrm>
            <a:off x="0" y="0"/>
            <a:ext cx="0" cy="0"/>
          </xdr:xfrm>
          <a:graphic>
            <a:graphicData uri="http://schemas.microsoft.com/office/drawing/2010/slicer">
              <sle:slicer xmlns:sle="http://schemas.microsoft.com/office/drawing/2010/slicer" name="COUNTRIES 1"/>
            </a:graphicData>
          </a:graphic>
        </xdr:graphicFrame>
      </mc:Choice>
      <mc:Fallback xmlns="">
        <xdr:sp macro="" textlink="">
          <xdr:nvSpPr>
            <xdr:cNvPr id="0" name=""/>
            <xdr:cNvSpPr>
              <a:spLocks noTextEdit="1"/>
            </xdr:cNvSpPr>
          </xdr:nvSpPr>
          <xdr:spPr>
            <a:xfrm>
              <a:off x="7376345" y="1019175"/>
              <a:ext cx="1203563" cy="1298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184355</xdr:colOff>
      <xdr:row>0</xdr:row>
      <xdr:rowOff>76814</xdr:rowOff>
    </xdr:from>
    <xdr:to>
      <xdr:col>1</xdr:col>
      <xdr:colOff>0</xdr:colOff>
      <xdr:row>2</xdr:row>
      <xdr:rowOff>158749</xdr:rowOff>
    </xdr:to>
    <xdr:pic>
      <xdr:nvPicPr>
        <xdr:cNvPr id="27" name="Graphic 26" descr="City with solid fill">
          <a:extLst>
            <a:ext uri="{FF2B5EF4-FFF2-40B4-BE49-F238E27FC236}">
              <a16:creationId xmlns:a16="http://schemas.microsoft.com/office/drawing/2014/main" id="{87284396-74E2-4C36-8973-ED75D1DEBF4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84355" y="76814"/>
          <a:ext cx="430161" cy="4301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0</xdr:colOff>
      <xdr:row>50</xdr:row>
      <xdr:rowOff>38100</xdr:rowOff>
    </xdr:to>
    <xdr:sp macro="" textlink="">
      <xdr:nvSpPr>
        <xdr:cNvPr id="4" name="Rectangle: Rounded Corners 3">
          <a:extLst>
            <a:ext uri="{FF2B5EF4-FFF2-40B4-BE49-F238E27FC236}">
              <a16:creationId xmlns:a16="http://schemas.microsoft.com/office/drawing/2014/main" id="{A6A26E91-CA19-4CF0-B4EA-E230C7304225}"/>
            </a:ext>
          </a:extLst>
        </xdr:cNvPr>
        <xdr:cNvSpPr/>
      </xdr:nvSpPr>
      <xdr:spPr>
        <a:xfrm>
          <a:off x="0" y="0"/>
          <a:ext cx="8534400" cy="8134350"/>
        </a:xfrm>
        <a:prstGeom prst="roundRect">
          <a:avLst>
            <a:gd name="adj" fmla="val 593"/>
          </a:avLst>
        </a:prstGeom>
        <a:solidFill>
          <a:srgbClr val="D1C7B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0</xdr:col>
      <xdr:colOff>1</xdr:colOff>
      <xdr:row>3</xdr:row>
      <xdr:rowOff>90713</xdr:rowOff>
    </xdr:from>
    <xdr:to>
      <xdr:col>3</xdr:col>
      <xdr:colOff>544287</xdr:colOff>
      <xdr:row>8</xdr:row>
      <xdr:rowOff>147411</xdr:rowOff>
    </xdr:to>
    <xdr:sp macro="" textlink="">
      <xdr:nvSpPr>
        <xdr:cNvPr id="2" name="Rectangle: Rounded Corners 1">
          <a:extLst>
            <a:ext uri="{FF2B5EF4-FFF2-40B4-BE49-F238E27FC236}">
              <a16:creationId xmlns:a16="http://schemas.microsoft.com/office/drawing/2014/main" id="{AE1F641C-CD44-49E5-A47E-1EA077DE5DD4}"/>
            </a:ext>
          </a:extLst>
        </xdr:cNvPr>
        <xdr:cNvSpPr/>
      </xdr:nvSpPr>
      <xdr:spPr>
        <a:xfrm>
          <a:off x="1" y="566963"/>
          <a:ext cx="2381250" cy="850448"/>
        </a:xfrm>
        <a:prstGeom prst="round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2000" b="1" i="0" u="none" strike="noStrike">
            <a:solidFill>
              <a:srgbClr val="D99021"/>
            </a:solidFill>
            <a:latin typeface="+mj-lt"/>
            <a:ea typeface="+mn-ea"/>
            <a:cs typeface="Arial"/>
          </a:endParaRPr>
        </a:p>
      </xdr:txBody>
    </xdr:sp>
    <xdr:clientData/>
  </xdr:twoCellAnchor>
  <xdr:twoCellAnchor>
    <xdr:from>
      <xdr:col>0</xdr:col>
      <xdr:colOff>0</xdr:colOff>
      <xdr:row>0</xdr:row>
      <xdr:rowOff>0</xdr:rowOff>
    </xdr:from>
    <xdr:to>
      <xdr:col>11</xdr:col>
      <xdr:colOff>581025</xdr:colOff>
      <xdr:row>3</xdr:row>
      <xdr:rowOff>56854</xdr:rowOff>
    </xdr:to>
    <xdr:sp macro="" textlink="">
      <xdr:nvSpPr>
        <xdr:cNvPr id="5" name="Rectangle: Rounded Corners 4">
          <a:extLst>
            <a:ext uri="{FF2B5EF4-FFF2-40B4-BE49-F238E27FC236}">
              <a16:creationId xmlns:a16="http://schemas.microsoft.com/office/drawing/2014/main" id="{F4EC611D-9DA7-4A68-A358-DA361BB9E15D}"/>
            </a:ext>
          </a:extLst>
        </xdr:cNvPr>
        <xdr:cNvSpPr/>
      </xdr:nvSpPr>
      <xdr:spPr>
        <a:xfrm>
          <a:off x="0" y="0"/>
          <a:ext cx="7286625" cy="542629"/>
        </a:xfrm>
        <a:prstGeom prst="roundRect">
          <a:avLst/>
        </a:prstGeom>
        <a:solidFill>
          <a:schemeClr val="tx1"/>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solidFill>
                <a:srgbClr val="D99021"/>
              </a:solidFill>
              <a:latin typeface="Berlin Sans FB" panose="020E0602020502020306" pitchFamily="34" charset="0"/>
            </a:rPr>
            <a:t>HAVEN BREW(BRAND</a:t>
          </a:r>
          <a:r>
            <a:rPr lang="en-US" sz="3200" baseline="0">
              <a:solidFill>
                <a:srgbClr val="D99021"/>
              </a:solidFill>
              <a:latin typeface="Berlin Sans FB" panose="020E0602020502020306" pitchFamily="34" charset="0"/>
            </a:rPr>
            <a:t> ANALYSIS)</a:t>
          </a:r>
          <a:endParaRPr lang="en-US" sz="3200">
            <a:solidFill>
              <a:srgbClr val="D99021"/>
            </a:solidFill>
            <a:latin typeface="Berlin Sans FB" panose="020E0602020502020306" pitchFamily="34" charset="0"/>
          </a:endParaRPr>
        </a:p>
      </xdr:txBody>
    </xdr:sp>
    <xdr:clientData/>
  </xdr:twoCellAnchor>
  <xdr:twoCellAnchor>
    <xdr:from>
      <xdr:col>6</xdr:col>
      <xdr:colOff>585392</xdr:colOff>
      <xdr:row>25</xdr:row>
      <xdr:rowOff>9923</xdr:rowOff>
    </xdr:from>
    <xdr:to>
      <xdr:col>13</xdr:col>
      <xdr:colOff>590551</xdr:colOff>
      <xdr:row>39</xdr:row>
      <xdr:rowOff>1</xdr:rowOff>
    </xdr:to>
    <xdr:sp macro="" textlink="">
      <xdr:nvSpPr>
        <xdr:cNvPr id="6" name="Rectangle: Rounded Corners 5">
          <a:extLst>
            <a:ext uri="{FF2B5EF4-FFF2-40B4-BE49-F238E27FC236}">
              <a16:creationId xmlns:a16="http://schemas.microsoft.com/office/drawing/2014/main" id="{F71F5C89-1E8B-4AAC-848A-FD2B79FF5E17}"/>
            </a:ext>
          </a:extLst>
        </xdr:cNvPr>
        <xdr:cNvSpPr/>
      </xdr:nvSpPr>
      <xdr:spPr>
        <a:xfrm>
          <a:off x="4216798" y="3978673"/>
          <a:ext cx="4241800" cy="2212578"/>
        </a:xfrm>
        <a:prstGeom prst="roundRect">
          <a:avLst>
            <a:gd name="adj" fmla="val 5733"/>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2000" b="1" i="0" u="none" strike="noStrike">
            <a:solidFill>
              <a:srgbClr val="D99021"/>
            </a:solidFill>
            <a:latin typeface="+mj-lt"/>
            <a:ea typeface="+mn-ea"/>
            <a:cs typeface="Arial"/>
          </a:endParaRPr>
        </a:p>
      </xdr:txBody>
    </xdr:sp>
    <xdr:clientData/>
  </xdr:twoCellAnchor>
  <xdr:twoCellAnchor>
    <xdr:from>
      <xdr:col>6</xdr:col>
      <xdr:colOff>47625</xdr:colOff>
      <xdr:row>9</xdr:row>
      <xdr:rowOff>38100</xdr:rowOff>
    </xdr:from>
    <xdr:to>
      <xdr:col>12</xdr:col>
      <xdr:colOff>0</xdr:colOff>
      <xdr:row>24</xdr:row>
      <xdr:rowOff>148828</xdr:rowOff>
    </xdr:to>
    <xdr:grpSp>
      <xdr:nvGrpSpPr>
        <xdr:cNvPr id="23" name="Group 22">
          <a:extLst>
            <a:ext uri="{FF2B5EF4-FFF2-40B4-BE49-F238E27FC236}">
              <a16:creationId xmlns:a16="http://schemas.microsoft.com/office/drawing/2014/main" id="{8195F69F-D8A7-48CD-988B-C5B6648B470B}"/>
            </a:ext>
          </a:extLst>
        </xdr:cNvPr>
        <xdr:cNvGrpSpPr/>
      </xdr:nvGrpSpPr>
      <xdr:grpSpPr>
        <a:xfrm>
          <a:off x="3684443" y="1466850"/>
          <a:ext cx="3589193" cy="2491978"/>
          <a:chOff x="6366164" y="3925166"/>
          <a:chExt cx="4214379" cy="2796020"/>
        </a:xfrm>
      </xdr:grpSpPr>
      <xdr:sp macro="" textlink="">
        <xdr:nvSpPr>
          <xdr:cNvPr id="24" name="Rectangle: Rounded Corners 23">
            <a:extLst>
              <a:ext uri="{FF2B5EF4-FFF2-40B4-BE49-F238E27FC236}">
                <a16:creationId xmlns:a16="http://schemas.microsoft.com/office/drawing/2014/main" id="{176FC72B-4013-4794-B884-A955718EF48A}"/>
              </a:ext>
            </a:extLst>
          </xdr:cNvPr>
          <xdr:cNvSpPr/>
        </xdr:nvSpPr>
        <xdr:spPr>
          <a:xfrm>
            <a:off x="6366164" y="3925166"/>
            <a:ext cx="4214379" cy="2796020"/>
          </a:xfrm>
          <a:prstGeom prst="roundRect">
            <a:avLst>
              <a:gd name="adj" fmla="val 3543"/>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2000" b="1" i="0" u="none" strike="noStrike">
              <a:solidFill>
                <a:srgbClr val="D99021"/>
              </a:solidFill>
              <a:latin typeface="+mj-lt"/>
              <a:ea typeface="+mn-ea"/>
              <a:cs typeface="Arial"/>
            </a:endParaRPr>
          </a:p>
        </xdr:txBody>
      </xdr:sp>
      <xdr:graphicFrame macro="">
        <xdr:nvGraphicFramePr>
          <xdr:cNvPr id="26" name="Chart 25">
            <a:extLst>
              <a:ext uri="{FF2B5EF4-FFF2-40B4-BE49-F238E27FC236}">
                <a16:creationId xmlns:a16="http://schemas.microsoft.com/office/drawing/2014/main" id="{4DFA591D-F568-45AE-BB20-03F1B70DD22F}"/>
              </a:ext>
            </a:extLst>
          </xdr:cNvPr>
          <xdr:cNvGraphicFramePr>
            <a:graphicFrameLocks/>
          </xdr:cNvGraphicFramePr>
        </xdr:nvGraphicFramePr>
        <xdr:xfrm>
          <a:off x="6604289" y="4488007"/>
          <a:ext cx="3777561" cy="2168367"/>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3</xdr:col>
      <xdr:colOff>562682</xdr:colOff>
      <xdr:row>3</xdr:row>
      <xdr:rowOff>86589</xdr:rowOff>
    </xdr:from>
    <xdr:to>
      <xdr:col>8</xdr:col>
      <xdr:colOff>66675</xdr:colOff>
      <xdr:row>8</xdr:row>
      <xdr:rowOff>152400</xdr:rowOff>
    </xdr:to>
    <xdr:grpSp>
      <xdr:nvGrpSpPr>
        <xdr:cNvPr id="3" name="Group 2">
          <a:extLst>
            <a:ext uri="{FF2B5EF4-FFF2-40B4-BE49-F238E27FC236}">
              <a16:creationId xmlns:a16="http://schemas.microsoft.com/office/drawing/2014/main" id="{4C20106E-24AC-4ECE-AEC8-4FA8E28510C6}"/>
            </a:ext>
          </a:extLst>
        </xdr:cNvPr>
        <xdr:cNvGrpSpPr/>
      </xdr:nvGrpSpPr>
      <xdr:grpSpPr>
        <a:xfrm>
          <a:off x="2381091" y="562839"/>
          <a:ext cx="2534675" cy="859561"/>
          <a:chOff x="2391482" y="581889"/>
          <a:chExt cx="2551993" cy="891311"/>
        </a:xfrm>
      </xdr:grpSpPr>
      <xdr:sp macro="" textlink="">
        <xdr:nvSpPr>
          <xdr:cNvPr id="36" name="Rectangle: Rounded Corners 35">
            <a:extLst>
              <a:ext uri="{FF2B5EF4-FFF2-40B4-BE49-F238E27FC236}">
                <a16:creationId xmlns:a16="http://schemas.microsoft.com/office/drawing/2014/main" id="{B0D78A65-3C40-439A-A4D4-8455938B5BD6}"/>
              </a:ext>
            </a:extLst>
          </xdr:cNvPr>
          <xdr:cNvSpPr/>
        </xdr:nvSpPr>
        <xdr:spPr>
          <a:xfrm>
            <a:off x="2391482" y="581889"/>
            <a:ext cx="2551993" cy="891311"/>
          </a:xfrm>
          <a:prstGeom prst="round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2000" b="1" i="0" u="none" strike="noStrike">
              <a:solidFill>
                <a:srgbClr val="D99021"/>
              </a:solidFill>
              <a:latin typeface="+mj-lt"/>
              <a:ea typeface="+mn-ea"/>
              <a:cs typeface="Arial"/>
            </a:endParaRPr>
          </a:p>
        </xdr:txBody>
      </xdr:sp>
      <xdr:sp macro="" textlink="">
        <xdr:nvSpPr>
          <xdr:cNvPr id="37" name="TextBox 36">
            <a:extLst>
              <a:ext uri="{FF2B5EF4-FFF2-40B4-BE49-F238E27FC236}">
                <a16:creationId xmlns:a16="http://schemas.microsoft.com/office/drawing/2014/main" id="{2D463CDD-EB4E-4554-BD33-2906910F133C}"/>
              </a:ext>
            </a:extLst>
          </xdr:cNvPr>
          <xdr:cNvSpPr txBox="1"/>
        </xdr:nvSpPr>
        <xdr:spPr>
          <a:xfrm>
            <a:off x="2426953" y="664396"/>
            <a:ext cx="2506597" cy="382126"/>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rgbClr val="D99021"/>
                </a:solidFill>
                <a:latin typeface="+mn-lt"/>
                <a:ea typeface="+mn-ea"/>
                <a:cs typeface="Arial"/>
              </a:rPr>
              <a:t>Highest sales rep of budweiser(senegal)</a:t>
            </a:r>
          </a:p>
        </xdr:txBody>
      </xdr:sp>
      <xdr:sp macro="" textlink="'Pivot Table'!H118">
        <xdr:nvSpPr>
          <xdr:cNvPr id="38" name="TextBox 37">
            <a:extLst>
              <a:ext uri="{FF2B5EF4-FFF2-40B4-BE49-F238E27FC236}">
                <a16:creationId xmlns:a16="http://schemas.microsoft.com/office/drawing/2014/main" id="{611E96D8-A379-41A3-9823-FCD0F1B43435}"/>
              </a:ext>
            </a:extLst>
          </xdr:cNvPr>
          <xdr:cNvSpPr txBox="1"/>
        </xdr:nvSpPr>
        <xdr:spPr>
          <a:xfrm>
            <a:off x="2752490" y="904847"/>
            <a:ext cx="1898739" cy="51413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C3627BB-93C7-4742-81E4-6D206D78A1C8}" type="TxLink">
              <a:rPr lang="en-US" sz="2000" b="1" i="0" u="none" strike="noStrike">
                <a:solidFill>
                  <a:srgbClr val="D99021"/>
                </a:solidFill>
                <a:latin typeface="+mj-lt"/>
                <a:ea typeface="+mn-ea"/>
                <a:cs typeface="Arial"/>
              </a:rPr>
              <a:pPr marL="0" indent="0" algn="ctr"/>
              <a:t>Jones</a:t>
            </a:fld>
            <a:endParaRPr lang="en-US" sz="2000" b="1" i="0" u="none" strike="noStrike">
              <a:solidFill>
                <a:srgbClr val="D99021"/>
              </a:solidFill>
              <a:latin typeface="+mj-lt"/>
              <a:ea typeface="+mn-ea"/>
              <a:cs typeface="Arial"/>
            </a:endParaRPr>
          </a:p>
        </xdr:txBody>
      </xdr:sp>
    </xdr:grpSp>
    <xdr:clientData/>
  </xdr:twoCellAnchor>
  <xdr:twoCellAnchor>
    <xdr:from>
      <xdr:col>11</xdr:col>
      <xdr:colOff>602232</xdr:colOff>
      <xdr:row>0</xdr:row>
      <xdr:rowOff>0</xdr:rowOff>
    </xdr:from>
    <xdr:to>
      <xdr:col>14</xdr:col>
      <xdr:colOff>1056</xdr:colOff>
      <xdr:row>24</xdr:row>
      <xdr:rowOff>128984</xdr:rowOff>
    </xdr:to>
    <xdr:grpSp>
      <xdr:nvGrpSpPr>
        <xdr:cNvPr id="47" name="Group 46">
          <a:extLst>
            <a:ext uri="{FF2B5EF4-FFF2-40B4-BE49-F238E27FC236}">
              <a16:creationId xmlns:a16="http://schemas.microsoft.com/office/drawing/2014/main" id="{4D68C2B3-B8B8-4F35-A205-7A46B39D26B2}"/>
            </a:ext>
          </a:extLst>
        </xdr:cNvPr>
        <xdr:cNvGrpSpPr/>
      </xdr:nvGrpSpPr>
      <xdr:grpSpPr>
        <a:xfrm>
          <a:off x="7269732" y="0"/>
          <a:ext cx="1217233" cy="3938984"/>
          <a:chOff x="11337097" y="0"/>
          <a:chExt cx="1759778" cy="5655469"/>
        </a:xfrm>
      </xdr:grpSpPr>
      <xdr:sp macro="" textlink="">
        <xdr:nvSpPr>
          <xdr:cNvPr id="48" name="Rectangle: Rounded Corners 47">
            <a:extLst>
              <a:ext uri="{FF2B5EF4-FFF2-40B4-BE49-F238E27FC236}">
                <a16:creationId xmlns:a16="http://schemas.microsoft.com/office/drawing/2014/main" id="{C26E31BC-D2D8-42F1-8F5C-B5C075E3A5FF}"/>
              </a:ext>
            </a:extLst>
          </xdr:cNvPr>
          <xdr:cNvSpPr/>
        </xdr:nvSpPr>
        <xdr:spPr>
          <a:xfrm>
            <a:off x="11380210" y="0"/>
            <a:ext cx="1716665" cy="5655469"/>
          </a:xfrm>
          <a:prstGeom prst="roundRect">
            <a:avLst>
              <a:gd name="adj" fmla="val 3033"/>
            </a:avLst>
          </a:prstGeom>
          <a:solidFill>
            <a:schemeClr val="tx1"/>
          </a:solidFill>
          <a:ln>
            <a:noFill/>
          </a:ln>
          <a:effectLst>
            <a:outerShdw blurRad="152400" dist="317500" dir="5400000" sx="90000" sy="-19000" rotWithShape="0">
              <a:prstClr val="black">
                <a:alpha val="15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a14="http://schemas.microsoft.com/office/drawing/2010/main" Requires="a14">
          <xdr:graphicFrame macro="">
            <xdr:nvGraphicFramePr>
              <xdr:cNvPr id="49" name="YEARS 4">
                <a:extLst>
                  <a:ext uri="{FF2B5EF4-FFF2-40B4-BE49-F238E27FC236}">
                    <a16:creationId xmlns:a16="http://schemas.microsoft.com/office/drawing/2014/main" id="{CE2700D6-1007-4968-B8F9-4EC82D546700}"/>
                  </a:ext>
                </a:extLst>
              </xdr:cNvPr>
              <xdr:cNvGraphicFramePr/>
            </xdr:nvGraphicFramePr>
            <xdr:xfrm>
              <a:off x="11337097" y="0"/>
              <a:ext cx="1758042" cy="1459057"/>
            </xdr:xfrm>
            <a:graphic>
              <a:graphicData uri="http://schemas.microsoft.com/office/drawing/2010/slicer">
                <sle:slicer xmlns:sle="http://schemas.microsoft.com/office/drawing/2010/slicer" name="YEARS 4"/>
              </a:graphicData>
            </a:graphic>
          </xdr:graphicFrame>
        </mc:Choice>
        <mc:Fallback>
          <xdr:sp macro="" textlink="">
            <xdr:nvSpPr>
              <xdr:cNvPr id="0" name=""/>
              <xdr:cNvSpPr>
                <a:spLocks noTextEdit="1"/>
              </xdr:cNvSpPr>
            </xdr:nvSpPr>
            <xdr:spPr>
              <a:xfrm>
                <a:off x="7269732" y="0"/>
                <a:ext cx="1216032" cy="1016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xdr:colOff>
      <xdr:row>9</xdr:row>
      <xdr:rowOff>47625</xdr:rowOff>
    </xdr:from>
    <xdr:to>
      <xdr:col>6</xdr:col>
      <xdr:colOff>19050</xdr:colOff>
      <xdr:row>24</xdr:row>
      <xdr:rowOff>142924</xdr:rowOff>
    </xdr:to>
    <xdr:sp macro="" textlink="">
      <xdr:nvSpPr>
        <xdr:cNvPr id="20" name="Rectangle: Rounded Corners 19">
          <a:extLst>
            <a:ext uri="{FF2B5EF4-FFF2-40B4-BE49-F238E27FC236}">
              <a16:creationId xmlns:a16="http://schemas.microsoft.com/office/drawing/2014/main" id="{A826ADAA-BEDE-4F8E-9A4D-A26C68841301}"/>
            </a:ext>
          </a:extLst>
        </xdr:cNvPr>
        <xdr:cNvSpPr/>
      </xdr:nvSpPr>
      <xdr:spPr>
        <a:xfrm>
          <a:off x="1" y="1568552"/>
          <a:ext cx="3706146" cy="2630178"/>
        </a:xfrm>
        <a:prstGeom prst="roundRect">
          <a:avLst>
            <a:gd name="adj" fmla="val 2760"/>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1100" b="1" i="0" u="none" strike="noStrike">
            <a:solidFill>
              <a:srgbClr val="D99021"/>
            </a:solidFill>
            <a:latin typeface="+mn-lt"/>
            <a:ea typeface="+mn-ea"/>
            <a:cs typeface="Arial"/>
          </a:endParaRPr>
        </a:p>
      </xdr:txBody>
    </xdr:sp>
    <xdr:clientData/>
  </xdr:twoCellAnchor>
  <xdr:twoCellAnchor>
    <xdr:from>
      <xdr:col>0</xdr:col>
      <xdr:colOff>0</xdr:colOff>
      <xdr:row>10</xdr:row>
      <xdr:rowOff>10996</xdr:rowOff>
    </xdr:from>
    <xdr:to>
      <xdr:col>5</xdr:col>
      <xdr:colOff>519124</xdr:colOff>
      <xdr:row>13</xdr:row>
      <xdr:rowOff>29202</xdr:rowOff>
    </xdr:to>
    <xdr:sp macro="" textlink="">
      <xdr:nvSpPr>
        <xdr:cNvPr id="59" name="TextBox 58">
          <a:extLst>
            <a:ext uri="{FF2B5EF4-FFF2-40B4-BE49-F238E27FC236}">
              <a16:creationId xmlns:a16="http://schemas.microsoft.com/office/drawing/2014/main" id="{BD6B76B7-2439-4A72-9092-E1B07C7B623E}"/>
            </a:ext>
          </a:extLst>
        </xdr:cNvPr>
        <xdr:cNvSpPr txBox="1"/>
      </xdr:nvSpPr>
      <xdr:spPr>
        <a:xfrm>
          <a:off x="0" y="1700915"/>
          <a:ext cx="3591705" cy="52518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rgbClr val="D99021"/>
              </a:solidFill>
              <a:latin typeface="+mn-lt"/>
              <a:ea typeface="+mn-ea"/>
              <a:cs typeface="Arial"/>
            </a:rPr>
            <a:t>Top three Brands consumed in the francophone territories</a:t>
          </a:r>
        </a:p>
      </xdr:txBody>
    </xdr:sp>
    <xdr:clientData/>
  </xdr:twoCellAnchor>
  <xdr:twoCellAnchor>
    <xdr:from>
      <xdr:col>0</xdr:col>
      <xdr:colOff>0</xdr:colOff>
      <xdr:row>13</xdr:row>
      <xdr:rowOff>104350</xdr:rowOff>
    </xdr:from>
    <xdr:to>
      <xdr:col>5</xdr:col>
      <xdr:colOff>184602</xdr:colOff>
      <xdr:row>25</xdr:row>
      <xdr:rowOff>39688</xdr:rowOff>
    </xdr:to>
    <xdr:graphicFrame macro="">
      <xdr:nvGraphicFramePr>
        <xdr:cNvPr id="60" name="Chart 59">
          <a:extLst>
            <a:ext uri="{FF2B5EF4-FFF2-40B4-BE49-F238E27FC236}">
              <a16:creationId xmlns:a16="http://schemas.microsoft.com/office/drawing/2014/main" id="{933845CE-22EF-4BA0-8B52-AA8FF337A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90715</xdr:colOff>
      <xdr:row>3</xdr:row>
      <xdr:rowOff>85725</xdr:rowOff>
    </xdr:from>
    <xdr:to>
      <xdr:col>11</xdr:col>
      <xdr:colOff>561975</xdr:colOff>
      <xdr:row>8</xdr:row>
      <xdr:rowOff>142875</xdr:rowOff>
    </xdr:to>
    <xdr:sp macro="" textlink="">
      <xdr:nvSpPr>
        <xdr:cNvPr id="61" name="Rectangle: Rounded Corners 60">
          <a:extLst>
            <a:ext uri="{FF2B5EF4-FFF2-40B4-BE49-F238E27FC236}">
              <a16:creationId xmlns:a16="http://schemas.microsoft.com/office/drawing/2014/main" id="{22A953A7-B690-4587-B638-0D5879E30056}"/>
            </a:ext>
          </a:extLst>
        </xdr:cNvPr>
        <xdr:cNvSpPr/>
      </xdr:nvSpPr>
      <xdr:spPr>
        <a:xfrm>
          <a:off x="4989286" y="561975"/>
          <a:ext cx="2308225" cy="850900"/>
        </a:xfrm>
        <a:prstGeom prst="round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2000" b="1" i="0" u="none" strike="noStrike">
            <a:solidFill>
              <a:srgbClr val="D99021"/>
            </a:solidFill>
            <a:latin typeface="+mj-lt"/>
            <a:ea typeface="+mn-ea"/>
            <a:cs typeface="Arial"/>
          </a:endParaRPr>
        </a:p>
      </xdr:txBody>
    </xdr:sp>
    <xdr:clientData/>
  </xdr:twoCellAnchor>
  <xdr:twoCellAnchor>
    <xdr:from>
      <xdr:col>6</xdr:col>
      <xdr:colOff>66675</xdr:colOff>
      <xdr:row>12</xdr:row>
      <xdr:rowOff>76200</xdr:rowOff>
    </xdr:from>
    <xdr:to>
      <xdr:col>11</xdr:col>
      <xdr:colOff>552450</xdr:colOff>
      <xdr:row>27</xdr:row>
      <xdr:rowOff>9525</xdr:rowOff>
    </xdr:to>
    <xdr:graphicFrame macro="">
      <xdr:nvGraphicFramePr>
        <xdr:cNvPr id="64" name="Chart 63">
          <a:extLst>
            <a:ext uri="{FF2B5EF4-FFF2-40B4-BE49-F238E27FC236}">
              <a16:creationId xmlns:a16="http://schemas.microsoft.com/office/drawing/2014/main" id="{C68BD864-9586-435C-BF17-48E7D9E49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106101</xdr:colOff>
      <xdr:row>10</xdr:row>
      <xdr:rowOff>66674</xdr:rowOff>
    </xdr:from>
    <xdr:to>
      <xdr:col>11</xdr:col>
      <xdr:colOff>561974</xdr:colOff>
      <xdr:row>13</xdr:row>
      <xdr:rowOff>57150</xdr:rowOff>
    </xdr:to>
    <xdr:sp macro="" textlink="">
      <xdr:nvSpPr>
        <xdr:cNvPr id="65" name="TextBox 64">
          <a:extLst>
            <a:ext uri="{FF2B5EF4-FFF2-40B4-BE49-F238E27FC236}">
              <a16:creationId xmlns:a16="http://schemas.microsoft.com/office/drawing/2014/main" id="{4CA11586-AAE3-437D-B32D-D27239EDFBBB}"/>
            </a:ext>
          </a:extLst>
        </xdr:cNvPr>
        <xdr:cNvSpPr txBox="1"/>
      </xdr:nvSpPr>
      <xdr:spPr>
        <a:xfrm>
          <a:off x="3763701" y="1685924"/>
          <a:ext cx="3503873" cy="476251"/>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rgbClr val="D99021"/>
              </a:solidFill>
              <a:latin typeface="+mn-lt"/>
              <a:ea typeface="+mn-ea"/>
              <a:cs typeface="Arial"/>
            </a:rPr>
            <a:t>Beers consumed in the most oil-rich country in west africa</a:t>
          </a:r>
        </a:p>
      </xdr:txBody>
    </xdr:sp>
    <xdr:clientData/>
  </xdr:twoCellAnchor>
  <xdr:twoCellAnchor>
    <xdr:from>
      <xdr:col>8</xdr:col>
      <xdr:colOff>314325</xdr:colOff>
      <xdr:row>3</xdr:row>
      <xdr:rowOff>85725</xdr:rowOff>
    </xdr:from>
    <xdr:to>
      <xdr:col>11</xdr:col>
      <xdr:colOff>276225</xdr:colOff>
      <xdr:row>6</xdr:row>
      <xdr:rowOff>133350</xdr:rowOff>
    </xdr:to>
    <xdr:sp macro="" textlink="">
      <xdr:nvSpPr>
        <xdr:cNvPr id="71" name="TextBox 70">
          <a:extLst>
            <a:ext uri="{FF2B5EF4-FFF2-40B4-BE49-F238E27FC236}">
              <a16:creationId xmlns:a16="http://schemas.microsoft.com/office/drawing/2014/main" id="{65300F61-E224-4963-9FCD-72B19DCFA12D}"/>
            </a:ext>
          </a:extLst>
        </xdr:cNvPr>
        <xdr:cNvSpPr txBox="1"/>
      </xdr:nvSpPr>
      <xdr:spPr>
        <a:xfrm>
          <a:off x="5191125" y="571500"/>
          <a:ext cx="1790700" cy="5334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rgbClr val="D99021"/>
              </a:solidFill>
              <a:latin typeface="+mn-lt"/>
              <a:ea typeface="+mn-ea"/>
              <a:cs typeface="Arial"/>
            </a:rPr>
            <a:t>Malt brand preference in 2018-2019(Anglophone)</a:t>
          </a:r>
        </a:p>
      </xdr:txBody>
    </xdr:sp>
    <xdr:clientData/>
  </xdr:twoCellAnchor>
  <xdr:twoCellAnchor>
    <xdr:from>
      <xdr:col>8</xdr:col>
      <xdr:colOff>238125</xdr:colOff>
      <xdr:row>6</xdr:row>
      <xdr:rowOff>85725</xdr:rowOff>
    </xdr:from>
    <xdr:to>
      <xdr:col>11</xdr:col>
      <xdr:colOff>352425</xdr:colOff>
      <xdr:row>8</xdr:row>
      <xdr:rowOff>76200</xdr:rowOff>
    </xdr:to>
    <xdr:sp macro="" textlink="'Pivot Table'!C79">
      <xdr:nvSpPr>
        <xdr:cNvPr id="72" name="TextBox 71">
          <a:extLst>
            <a:ext uri="{FF2B5EF4-FFF2-40B4-BE49-F238E27FC236}">
              <a16:creationId xmlns:a16="http://schemas.microsoft.com/office/drawing/2014/main" id="{D60EBD01-F48F-4C6A-9F60-08CDB3A5AFA4}"/>
            </a:ext>
          </a:extLst>
        </xdr:cNvPr>
        <xdr:cNvSpPr txBox="1"/>
      </xdr:nvSpPr>
      <xdr:spPr>
        <a:xfrm>
          <a:off x="5136696" y="1038225"/>
          <a:ext cx="1951265" cy="30797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282B55-B87F-40D0-8F49-F3D7A6013B85}" type="TxLink">
            <a:rPr lang="en-US" sz="2000" b="1" i="0" u="none" strike="noStrike">
              <a:solidFill>
                <a:srgbClr val="D99021"/>
              </a:solidFill>
              <a:latin typeface="+mj-lt"/>
              <a:ea typeface="+mn-ea"/>
              <a:cs typeface="Arial"/>
            </a:rPr>
            <a:pPr marL="0" indent="0" algn="ctr"/>
            <a:t>grand malt</a:t>
          </a:fld>
          <a:endParaRPr lang="en-US" sz="2000" b="1" i="0" u="none" strike="noStrike">
            <a:solidFill>
              <a:srgbClr val="D99021"/>
            </a:solidFill>
            <a:latin typeface="+mj-lt"/>
            <a:ea typeface="+mn-ea"/>
            <a:cs typeface="Arial"/>
          </a:endParaRPr>
        </a:p>
      </xdr:txBody>
    </xdr:sp>
    <xdr:clientData/>
  </xdr:twoCellAnchor>
  <xdr:twoCellAnchor>
    <xdr:from>
      <xdr:col>0</xdr:col>
      <xdr:colOff>0</xdr:colOff>
      <xdr:row>25</xdr:row>
      <xdr:rowOff>9921</xdr:rowOff>
    </xdr:from>
    <xdr:to>
      <xdr:col>7</xdr:col>
      <xdr:colOff>0</xdr:colOff>
      <xdr:row>39</xdr:row>
      <xdr:rowOff>49609</xdr:rowOff>
    </xdr:to>
    <xdr:grpSp>
      <xdr:nvGrpSpPr>
        <xdr:cNvPr id="85" name="Group 84">
          <a:extLst>
            <a:ext uri="{FF2B5EF4-FFF2-40B4-BE49-F238E27FC236}">
              <a16:creationId xmlns:a16="http://schemas.microsoft.com/office/drawing/2014/main" id="{F6E6F427-8D75-4F39-A06E-D7C8D0D16A24}"/>
            </a:ext>
          </a:extLst>
        </xdr:cNvPr>
        <xdr:cNvGrpSpPr/>
      </xdr:nvGrpSpPr>
      <xdr:grpSpPr>
        <a:xfrm>
          <a:off x="0" y="3978671"/>
          <a:ext cx="4242955" cy="2262188"/>
          <a:chOff x="0" y="3978671"/>
          <a:chExt cx="3731859" cy="2301876"/>
        </a:xfrm>
      </xdr:grpSpPr>
      <xdr:sp macro="" textlink="">
        <xdr:nvSpPr>
          <xdr:cNvPr id="54" name="Rectangle: Rounded Corners 53">
            <a:extLst>
              <a:ext uri="{FF2B5EF4-FFF2-40B4-BE49-F238E27FC236}">
                <a16:creationId xmlns:a16="http://schemas.microsoft.com/office/drawing/2014/main" id="{D4334017-601C-4833-8551-5188953425F6}"/>
              </a:ext>
            </a:extLst>
          </xdr:cNvPr>
          <xdr:cNvSpPr/>
        </xdr:nvSpPr>
        <xdr:spPr>
          <a:xfrm>
            <a:off x="1" y="3978671"/>
            <a:ext cx="3671094" cy="2252267"/>
          </a:xfrm>
          <a:prstGeom prst="roundRect">
            <a:avLst>
              <a:gd name="adj" fmla="val 3446"/>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2000" b="1" i="0" u="none" strike="noStrike">
              <a:solidFill>
                <a:srgbClr val="D99021"/>
              </a:solidFill>
              <a:latin typeface="+mj-lt"/>
              <a:ea typeface="+mn-ea"/>
              <a:cs typeface="Arial"/>
            </a:endParaRPr>
          </a:p>
        </xdr:txBody>
      </xdr:sp>
      <xdr:graphicFrame macro="">
        <xdr:nvGraphicFramePr>
          <xdr:cNvPr id="73" name="Chart 72">
            <a:extLst>
              <a:ext uri="{FF2B5EF4-FFF2-40B4-BE49-F238E27FC236}">
                <a16:creationId xmlns:a16="http://schemas.microsoft.com/office/drawing/2014/main" id="{72AC15A4-5A04-45CE-9D37-CB20721F79D9}"/>
              </a:ext>
            </a:extLst>
          </xdr:cNvPr>
          <xdr:cNvGraphicFramePr>
            <a:graphicFrameLocks/>
          </xdr:cNvGraphicFramePr>
        </xdr:nvGraphicFramePr>
        <xdr:xfrm>
          <a:off x="0" y="4379183"/>
          <a:ext cx="3731859" cy="1901364"/>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74" name="TextBox 73">
            <a:extLst>
              <a:ext uri="{FF2B5EF4-FFF2-40B4-BE49-F238E27FC236}">
                <a16:creationId xmlns:a16="http://schemas.microsoft.com/office/drawing/2014/main" id="{0F602392-798C-4CD9-B440-58C06EC69B9D}"/>
              </a:ext>
            </a:extLst>
          </xdr:cNvPr>
          <xdr:cNvSpPr txBox="1"/>
        </xdr:nvSpPr>
        <xdr:spPr>
          <a:xfrm>
            <a:off x="81382" y="4044838"/>
            <a:ext cx="3460727" cy="251334"/>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rgbClr val="D99021"/>
                </a:solidFill>
                <a:latin typeface="+mn-lt"/>
                <a:ea typeface="+mn-ea"/>
                <a:cs typeface="Arial"/>
              </a:rPr>
              <a:t>Top two choices in Ghana</a:t>
            </a:r>
          </a:p>
        </xdr:txBody>
      </xdr:sp>
    </xdr:grpSp>
    <xdr:clientData/>
  </xdr:twoCellAnchor>
  <xdr:twoCellAnchor>
    <xdr:from>
      <xdr:col>7</xdr:col>
      <xdr:colOff>9921</xdr:colOff>
      <xdr:row>39</xdr:row>
      <xdr:rowOff>48021</xdr:rowOff>
    </xdr:from>
    <xdr:to>
      <xdr:col>13</xdr:col>
      <xdr:colOff>591577</xdr:colOff>
      <xdr:row>50</xdr:row>
      <xdr:rowOff>13441</xdr:rowOff>
    </xdr:to>
    <xdr:sp macro="" textlink="">
      <xdr:nvSpPr>
        <xdr:cNvPr id="66" name="Rectangle: Rounded Corners 65">
          <a:extLst>
            <a:ext uri="{FF2B5EF4-FFF2-40B4-BE49-F238E27FC236}">
              <a16:creationId xmlns:a16="http://schemas.microsoft.com/office/drawing/2014/main" id="{EAE63F2B-EAE5-474D-B95A-6CD11A94BE19}"/>
            </a:ext>
          </a:extLst>
        </xdr:cNvPr>
        <xdr:cNvSpPr/>
      </xdr:nvSpPr>
      <xdr:spPr>
        <a:xfrm>
          <a:off x="4252876" y="6239271"/>
          <a:ext cx="4218474" cy="1711670"/>
        </a:xfrm>
        <a:prstGeom prst="roundRect">
          <a:avLst>
            <a:gd name="adj" fmla="val 5810"/>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US" sz="2000" b="1" i="0" u="none" strike="noStrike">
            <a:solidFill>
              <a:srgbClr val="D99021"/>
            </a:solidFill>
            <a:latin typeface="+mj-lt"/>
            <a:ea typeface="+mn-ea"/>
            <a:cs typeface="Arial"/>
          </a:endParaRPr>
        </a:p>
      </xdr:txBody>
    </xdr:sp>
    <xdr:clientData/>
  </xdr:twoCellAnchor>
  <xdr:twoCellAnchor>
    <xdr:from>
      <xdr:col>7</xdr:col>
      <xdr:colOff>9921</xdr:colOff>
      <xdr:row>41</xdr:row>
      <xdr:rowOff>18590</xdr:rowOff>
    </xdr:from>
    <xdr:to>
      <xdr:col>13</xdr:col>
      <xdr:colOff>577345</xdr:colOff>
      <xdr:row>51</xdr:row>
      <xdr:rowOff>3571</xdr:rowOff>
    </xdr:to>
    <xdr:graphicFrame macro="">
      <xdr:nvGraphicFramePr>
        <xdr:cNvPr id="75" name="Chart 74">
          <a:extLst>
            <a:ext uri="{FF2B5EF4-FFF2-40B4-BE49-F238E27FC236}">
              <a16:creationId xmlns:a16="http://schemas.microsoft.com/office/drawing/2014/main" id="{7CF13174-5FB0-4893-9AC9-FF6C8ECCD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138002</xdr:colOff>
      <xdr:row>39</xdr:row>
      <xdr:rowOff>144926</xdr:rowOff>
    </xdr:from>
    <xdr:to>
      <xdr:col>13</xdr:col>
      <xdr:colOff>548883</xdr:colOff>
      <xdr:row>41</xdr:row>
      <xdr:rowOff>134875</xdr:rowOff>
    </xdr:to>
    <xdr:sp macro="" textlink="">
      <xdr:nvSpPr>
        <xdr:cNvPr id="76" name="TextBox 75">
          <a:extLst>
            <a:ext uri="{FF2B5EF4-FFF2-40B4-BE49-F238E27FC236}">
              <a16:creationId xmlns:a16="http://schemas.microsoft.com/office/drawing/2014/main" id="{5A2BE3D5-7278-4085-A9AB-A5CCDE9D699C}"/>
            </a:ext>
          </a:extLst>
        </xdr:cNvPr>
        <xdr:cNvSpPr txBox="1"/>
      </xdr:nvSpPr>
      <xdr:spPr>
        <a:xfrm>
          <a:off x="4380957" y="6336176"/>
          <a:ext cx="4047699" cy="30744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rgbClr val="D99021"/>
              </a:solidFill>
              <a:latin typeface="+mn-lt"/>
              <a:ea typeface="+mn-ea"/>
              <a:cs typeface="Arial"/>
            </a:rPr>
            <a:t>Budweiser consumption in the regions in nigeria</a:t>
          </a:r>
        </a:p>
      </xdr:txBody>
    </xdr:sp>
    <xdr:clientData/>
  </xdr:twoCellAnchor>
  <xdr:twoCellAnchor editAs="oneCell">
    <xdr:from>
      <xdr:col>12</xdr:col>
      <xdr:colOff>8544</xdr:colOff>
      <xdr:row>6</xdr:row>
      <xdr:rowOff>75335</xdr:rowOff>
    </xdr:from>
    <xdr:to>
      <xdr:col>13</xdr:col>
      <xdr:colOff>587006</xdr:colOff>
      <xdr:row>13</xdr:row>
      <xdr:rowOff>92653</xdr:rowOff>
    </xdr:to>
    <mc:AlternateContent xmlns:mc="http://schemas.openxmlformats.org/markup-compatibility/2006" xmlns:a14="http://schemas.microsoft.com/office/drawing/2010/main">
      <mc:Choice Requires="a14">
        <xdr:graphicFrame macro="">
          <xdr:nvGraphicFramePr>
            <xdr:cNvPr id="77" name="BRANDS">
              <a:extLst>
                <a:ext uri="{FF2B5EF4-FFF2-40B4-BE49-F238E27FC236}">
                  <a16:creationId xmlns:a16="http://schemas.microsoft.com/office/drawing/2014/main" id="{73276761-54C0-47EE-A1B8-C40CF9CED0B8}"/>
                </a:ext>
              </a:extLst>
            </xdr:cNvPr>
            <xdr:cNvGraphicFramePr/>
          </xdr:nvGraphicFramePr>
          <xdr:xfrm>
            <a:off x="0" y="0"/>
            <a:ext cx="0" cy="0"/>
          </xdr:xfrm>
          <a:graphic>
            <a:graphicData uri="http://schemas.microsoft.com/office/drawing/2010/slicer">
              <sle:slicer xmlns:sle="http://schemas.microsoft.com/office/drawing/2010/slicer" name="BRANDS"/>
            </a:graphicData>
          </a:graphic>
        </xdr:graphicFrame>
      </mc:Choice>
      <mc:Fallback xmlns="">
        <xdr:sp macro="" textlink="">
          <xdr:nvSpPr>
            <xdr:cNvPr id="0" name=""/>
            <xdr:cNvSpPr>
              <a:spLocks noTextEdit="1"/>
            </xdr:cNvSpPr>
          </xdr:nvSpPr>
          <xdr:spPr>
            <a:xfrm>
              <a:off x="7356401" y="1027835"/>
              <a:ext cx="1216099" cy="11285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29354</xdr:colOff>
      <xdr:row>13</xdr:row>
      <xdr:rowOff>143714</xdr:rowOff>
    </xdr:from>
    <xdr:to>
      <xdr:col>13</xdr:col>
      <xdr:colOff>587007</xdr:colOff>
      <xdr:row>19</xdr:row>
      <xdr:rowOff>56129</xdr:rowOff>
    </xdr:to>
    <mc:AlternateContent xmlns:mc="http://schemas.openxmlformats.org/markup-compatibility/2006">
      <mc:Choice xmlns:a14="http://schemas.microsoft.com/office/drawing/2010/main" Requires="a14">
        <xdr:graphicFrame macro="">
          <xdr:nvGraphicFramePr>
            <xdr:cNvPr id="78" name="COUNTRIES">
              <a:extLst>
                <a:ext uri="{FF2B5EF4-FFF2-40B4-BE49-F238E27FC236}">
                  <a16:creationId xmlns:a16="http://schemas.microsoft.com/office/drawing/2014/main" id="{576EABBD-3562-4775-886E-B3388E456400}"/>
                </a:ext>
              </a:extLst>
            </xdr:cNvPr>
            <xdr:cNvGraphicFramePr/>
          </xdr:nvGraphicFramePr>
          <xdr:xfrm>
            <a:off x="0" y="0"/>
            <a:ext cx="0" cy="0"/>
          </xdr:xfrm>
          <a:graphic>
            <a:graphicData uri="http://schemas.microsoft.com/office/drawing/2010/slicer">
              <sle:slicer xmlns:sle="http://schemas.microsoft.com/office/drawing/2010/slicer" name="COUNTRIES"/>
            </a:graphicData>
          </a:graphic>
        </xdr:graphicFrame>
      </mc:Choice>
      <mc:Fallback>
        <xdr:sp macro="" textlink="">
          <xdr:nvSpPr>
            <xdr:cNvPr id="0" name=""/>
            <xdr:cNvSpPr>
              <a:spLocks noTextEdit="1"/>
            </xdr:cNvSpPr>
          </xdr:nvSpPr>
          <xdr:spPr>
            <a:xfrm>
              <a:off x="7302990" y="2207464"/>
              <a:ext cx="1163790" cy="864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39</xdr:row>
      <xdr:rowOff>47625</xdr:rowOff>
    </xdr:from>
    <xdr:to>
      <xdr:col>6</xdr:col>
      <xdr:colOff>561974</xdr:colOff>
      <xdr:row>50</xdr:row>
      <xdr:rowOff>9525</xdr:rowOff>
    </xdr:to>
    <xdr:sp macro="" textlink="">
      <xdr:nvSpPr>
        <xdr:cNvPr id="79" name="Rectangle: Rounded Corners 78">
          <a:extLst>
            <a:ext uri="{FF2B5EF4-FFF2-40B4-BE49-F238E27FC236}">
              <a16:creationId xmlns:a16="http://schemas.microsoft.com/office/drawing/2014/main" id="{55E8355E-B537-4919-9E90-55AADE85270E}"/>
            </a:ext>
          </a:extLst>
        </xdr:cNvPr>
        <xdr:cNvSpPr/>
      </xdr:nvSpPr>
      <xdr:spPr>
        <a:xfrm>
          <a:off x="0" y="6362700"/>
          <a:ext cx="4219574" cy="1743075"/>
        </a:xfrm>
        <a:prstGeom prst="roundRect">
          <a:avLst>
            <a:gd name="adj" fmla="val 5131"/>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57151</xdr:colOff>
      <xdr:row>27</xdr:row>
      <xdr:rowOff>133350</xdr:rowOff>
    </xdr:from>
    <xdr:to>
      <xdr:col>13</xdr:col>
      <xdr:colOff>476251</xdr:colOff>
      <xdr:row>38</xdr:row>
      <xdr:rowOff>156766</xdr:rowOff>
    </xdr:to>
    <mc:AlternateContent xmlns:mc="http://schemas.openxmlformats.org/markup-compatibility/2006">
      <mc:Choice xmlns:cx2="http://schemas.microsoft.com/office/drawing/2015/10/21/chartex" Requires="cx2">
        <xdr:graphicFrame macro="">
          <xdr:nvGraphicFramePr>
            <xdr:cNvPr id="82" name="Chart 81">
              <a:extLst>
                <a:ext uri="{FF2B5EF4-FFF2-40B4-BE49-F238E27FC236}">
                  <a16:creationId xmlns:a16="http://schemas.microsoft.com/office/drawing/2014/main" id="{A54B333A-96AE-431C-A329-C34407D6466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324351" y="4505325"/>
              <a:ext cx="4076700" cy="180459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302417</xdr:colOff>
      <xdr:row>25</xdr:row>
      <xdr:rowOff>107949</xdr:rowOff>
    </xdr:from>
    <xdr:to>
      <xdr:col>13</xdr:col>
      <xdr:colOff>84137</xdr:colOff>
      <xdr:row>27</xdr:row>
      <xdr:rowOff>58341</xdr:rowOff>
    </xdr:to>
    <xdr:sp macro="" textlink="">
      <xdr:nvSpPr>
        <xdr:cNvPr id="83" name="TextBox 82">
          <a:extLst>
            <a:ext uri="{FF2B5EF4-FFF2-40B4-BE49-F238E27FC236}">
              <a16:creationId xmlns:a16="http://schemas.microsoft.com/office/drawing/2014/main" id="{8506B35A-AF0F-4AB1-ABEF-90DBE29FB42A}"/>
            </a:ext>
          </a:extLst>
        </xdr:cNvPr>
        <xdr:cNvSpPr txBox="1"/>
      </xdr:nvSpPr>
      <xdr:spPr>
        <a:xfrm>
          <a:off x="4569617" y="4156074"/>
          <a:ext cx="3439320" cy="274242"/>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rgbClr val="D99021"/>
              </a:solidFill>
              <a:latin typeface="+mn-lt"/>
              <a:ea typeface="+mn-ea"/>
              <a:cs typeface="Arial"/>
            </a:rPr>
            <a:t> Brands with the highest revenue in Nigeria (2019)</a:t>
          </a:r>
        </a:p>
      </xdr:txBody>
    </xdr:sp>
    <xdr:clientData/>
  </xdr:twoCellAnchor>
  <xdr:twoCellAnchor>
    <xdr:from>
      <xdr:col>0</xdr:col>
      <xdr:colOff>161925</xdr:colOff>
      <xdr:row>39</xdr:row>
      <xdr:rowOff>123825</xdr:rowOff>
    </xdr:from>
    <xdr:to>
      <xdr:col>6</xdr:col>
      <xdr:colOff>476250</xdr:colOff>
      <xdr:row>41</xdr:row>
      <xdr:rowOff>104775</xdr:rowOff>
    </xdr:to>
    <xdr:sp macro="" textlink="">
      <xdr:nvSpPr>
        <xdr:cNvPr id="86" name="TextBox 85">
          <a:extLst>
            <a:ext uri="{FF2B5EF4-FFF2-40B4-BE49-F238E27FC236}">
              <a16:creationId xmlns:a16="http://schemas.microsoft.com/office/drawing/2014/main" id="{47409735-9EF5-4CA0-B0EE-0BBCC50D0BCC}"/>
            </a:ext>
          </a:extLst>
        </xdr:cNvPr>
        <xdr:cNvSpPr txBox="1"/>
      </xdr:nvSpPr>
      <xdr:spPr>
        <a:xfrm>
          <a:off x="161925" y="6438900"/>
          <a:ext cx="3971925" cy="3048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rgbClr val="D99021"/>
              </a:solidFill>
              <a:latin typeface="+mn-lt"/>
              <a:ea typeface="+mn-ea"/>
              <a:cs typeface="Arial"/>
            </a:rPr>
            <a:t>Favourite brand in south-south region(Nigeria)</a:t>
          </a:r>
        </a:p>
      </xdr:txBody>
    </xdr:sp>
    <xdr:clientData/>
  </xdr:twoCellAnchor>
  <xdr:twoCellAnchor>
    <xdr:from>
      <xdr:col>0</xdr:col>
      <xdr:colOff>28576</xdr:colOff>
      <xdr:row>41</xdr:row>
      <xdr:rowOff>114300</xdr:rowOff>
    </xdr:from>
    <xdr:to>
      <xdr:col>6</xdr:col>
      <xdr:colOff>476250</xdr:colOff>
      <xdr:row>50</xdr:row>
      <xdr:rowOff>76200</xdr:rowOff>
    </xdr:to>
    <xdr:graphicFrame macro="">
      <xdr:nvGraphicFramePr>
        <xdr:cNvPr id="89" name="Chart 88">
          <a:extLst>
            <a:ext uri="{FF2B5EF4-FFF2-40B4-BE49-F238E27FC236}">
              <a16:creationId xmlns:a16="http://schemas.microsoft.com/office/drawing/2014/main" id="{791C6FF8-128B-4DB5-9EE0-9C436D3429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13304</xdr:colOff>
      <xdr:row>19</xdr:row>
      <xdr:rowOff>19050</xdr:rowOff>
    </xdr:from>
    <xdr:to>
      <xdr:col>13</xdr:col>
      <xdr:colOff>598080</xdr:colOff>
      <xdr:row>24</xdr:row>
      <xdr:rowOff>99681</xdr:rowOff>
    </xdr:to>
    <mc:AlternateContent xmlns:mc="http://schemas.openxmlformats.org/markup-compatibility/2006" xmlns:a14="http://schemas.microsoft.com/office/drawing/2010/main">
      <mc:Choice Requires="a14">
        <xdr:graphicFrame macro="">
          <xdr:nvGraphicFramePr>
            <xdr:cNvPr id="90" name="TERRITORY">
              <a:extLst>
                <a:ext uri="{FF2B5EF4-FFF2-40B4-BE49-F238E27FC236}">
                  <a16:creationId xmlns:a16="http://schemas.microsoft.com/office/drawing/2014/main" id="{C5A6FE3B-0297-4805-A3F5-CCAB34845906}"/>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7361162" y="3035300"/>
              <a:ext cx="1199091" cy="908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68036</xdr:colOff>
      <xdr:row>4</xdr:row>
      <xdr:rowOff>0</xdr:rowOff>
    </xdr:from>
    <xdr:to>
      <xdr:col>3</xdr:col>
      <xdr:colOff>510268</xdr:colOff>
      <xdr:row>6</xdr:row>
      <xdr:rowOff>68036</xdr:rowOff>
    </xdr:to>
    <xdr:sp macro="" textlink="">
      <xdr:nvSpPr>
        <xdr:cNvPr id="87" name="TextBox 86">
          <a:extLst>
            <a:ext uri="{FF2B5EF4-FFF2-40B4-BE49-F238E27FC236}">
              <a16:creationId xmlns:a16="http://schemas.microsoft.com/office/drawing/2014/main" id="{0D16A5FC-F2D7-4313-9DAA-7AB558E5CD07}"/>
            </a:ext>
          </a:extLst>
        </xdr:cNvPr>
        <xdr:cNvSpPr txBox="1"/>
      </xdr:nvSpPr>
      <xdr:spPr>
        <a:xfrm>
          <a:off x="68036" y="635000"/>
          <a:ext cx="2279196" cy="385536"/>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rgbClr val="D99021"/>
              </a:solidFill>
              <a:latin typeface="+mn-lt"/>
              <a:ea typeface="+mn-ea"/>
              <a:cs typeface="Arial"/>
            </a:rPr>
            <a:t>Brand with highest profit in Senegal</a:t>
          </a:r>
        </a:p>
      </xdr:txBody>
    </xdr:sp>
    <xdr:clientData/>
  </xdr:twoCellAnchor>
  <xdr:twoCellAnchor>
    <xdr:from>
      <xdr:col>0</xdr:col>
      <xdr:colOff>158750</xdr:colOff>
      <xdr:row>5</xdr:row>
      <xdr:rowOff>147411</xdr:rowOff>
    </xdr:from>
    <xdr:to>
      <xdr:col>3</xdr:col>
      <xdr:colOff>351518</xdr:colOff>
      <xdr:row>8</xdr:row>
      <xdr:rowOff>68036</xdr:rowOff>
    </xdr:to>
    <xdr:sp macro="" textlink="'Pivot Table'!H41">
      <xdr:nvSpPr>
        <xdr:cNvPr id="88" name="TextBox 87">
          <a:extLst>
            <a:ext uri="{FF2B5EF4-FFF2-40B4-BE49-F238E27FC236}">
              <a16:creationId xmlns:a16="http://schemas.microsoft.com/office/drawing/2014/main" id="{D05C8ABF-C283-468D-9B77-8F7327CE715C}"/>
            </a:ext>
          </a:extLst>
        </xdr:cNvPr>
        <xdr:cNvSpPr txBox="1"/>
      </xdr:nvSpPr>
      <xdr:spPr>
        <a:xfrm>
          <a:off x="158750" y="941161"/>
          <a:ext cx="2029732" cy="39687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BE0DA5-1A45-45BF-9F64-3267398CC965}" type="TxLink">
            <a:rPr lang="en-US" sz="2000" b="1" i="0" u="none" strike="noStrike">
              <a:solidFill>
                <a:srgbClr val="D99021"/>
              </a:solidFill>
              <a:latin typeface="+mj-lt"/>
              <a:cs typeface="Arial"/>
            </a:rPr>
            <a:pPr algn="ctr"/>
            <a:t>castle lite</a:t>
          </a:fld>
          <a:endParaRPr lang="en-US" sz="2000" b="1">
            <a:solidFill>
              <a:srgbClr val="D99021"/>
            </a:solidFill>
            <a:latin typeface="+mj-lt"/>
          </a:endParaRPr>
        </a:p>
      </xdr:txBody>
    </xdr:sp>
    <xdr:clientData/>
  </xdr:twoCellAnchor>
  <xdr:twoCellAnchor editAs="oneCell">
    <xdr:from>
      <xdr:col>0</xdr:col>
      <xdr:colOff>1</xdr:colOff>
      <xdr:row>0</xdr:row>
      <xdr:rowOff>0</xdr:rowOff>
    </xdr:from>
    <xdr:to>
      <xdr:col>0</xdr:col>
      <xdr:colOff>552451</xdr:colOff>
      <xdr:row>3</xdr:row>
      <xdr:rowOff>64978</xdr:rowOff>
    </xdr:to>
    <xdr:pic>
      <xdr:nvPicPr>
        <xdr:cNvPr id="8" name="Graphic 7" descr="Bar chart with solid fill">
          <a:extLst>
            <a:ext uri="{FF2B5EF4-FFF2-40B4-BE49-F238E27FC236}">
              <a16:creationId xmlns:a16="http://schemas.microsoft.com/office/drawing/2014/main" id="{FA647F6D-76A9-4BC7-BE58-B2175FC489D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 y="0"/>
          <a:ext cx="552450" cy="550753"/>
        </a:xfrm>
        <a:prstGeom prst="rect">
          <a:avLst/>
        </a:prstGeom>
      </xdr:spPr>
    </xdr:pic>
    <xdr:clientData/>
  </xdr:twoCellAnchor>
  <xdr:twoCellAnchor editAs="oneCell">
    <xdr:from>
      <xdr:col>4</xdr:col>
      <xdr:colOff>241300</xdr:colOff>
      <xdr:row>5</xdr:row>
      <xdr:rowOff>50801</xdr:rowOff>
    </xdr:from>
    <xdr:to>
      <xdr:col>5</xdr:col>
      <xdr:colOff>180964</xdr:colOff>
      <xdr:row>8</xdr:row>
      <xdr:rowOff>114301</xdr:rowOff>
    </xdr:to>
    <xdr:pic>
      <xdr:nvPicPr>
        <xdr:cNvPr id="10" name="Graphic 9" descr="Male profile with solid fill">
          <a:extLst>
            <a:ext uri="{FF2B5EF4-FFF2-40B4-BE49-F238E27FC236}">
              <a16:creationId xmlns:a16="http://schemas.microsoft.com/office/drawing/2014/main" id="{95837EDA-590D-4A55-9AFB-4BBAF0D09FC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2679700" y="876301"/>
          <a:ext cx="549264" cy="5588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iola" refreshedDate="46003.391854629626" createdVersion="7" refreshedVersion="7" minRefreshableVersion="3" recordCount="1047" xr:uid="{1909BB38-7255-47E3-8E5C-0007B243F07D}">
  <cacheSource type="worksheet">
    <worksheetSource ref="A1:N1048" sheet="Cleaned Data"/>
  </cacheSource>
  <cacheFields count="14">
    <cacheField name="SALES_ID" numFmtId="0">
      <sharedItems containsSemiMixedTypes="0" containsString="0" containsNumber="1" containsInteger="1" minValue="10101" maxValue="11147"/>
    </cacheField>
    <cacheField name="SALES_REP" numFmtId="0">
      <sharedItems/>
    </cacheField>
    <cacheField name="EMAILS" numFmtId="0">
      <sharedItems/>
    </cacheField>
    <cacheField name="BRANDS" numFmtId="0">
      <sharedItems count="7">
        <s v="trophy"/>
        <s v="budweiser"/>
        <s v="castle lite"/>
        <s v="eagle lager"/>
        <s v="hero"/>
        <s v="beta malt"/>
        <s v="grand malt"/>
      </sharedItems>
    </cacheField>
    <cacheField name="PLANT_COST" numFmtId="164">
      <sharedItems containsSemiMixedTypes="0" containsString="0" containsNumber="1" containsInteger="1" minValue="80" maxValue="250"/>
    </cacheField>
    <cacheField name="UNIT_PRICE" numFmtId="164">
      <sharedItems containsSemiMixedTypes="0" containsString="0" containsNumber="1" containsInteger="1" minValue="150" maxValue="500"/>
    </cacheField>
    <cacheField name="QUANTITY" numFmtId="2">
      <sharedItems containsSemiMixedTypes="0" containsString="0" containsNumber="1" containsInteger="1" minValue="700" maxValue="1000"/>
    </cacheField>
    <cacheField name="COST" numFmtId="164">
      <sharedItems containsSemiMixedTypes="0" containsString="0" containsNumber="1" containsInteger="1" minValue="105300" maxValue="499500"/>
    </cacheField>
    <cacheField name="PROFIT" numFmtId="164">
      <sharedItems containsSemiMixedTypes="0" containsString="0" containsNumber="1" containsInteger="1" minValue="35000" maxValue="269190"/>
    </cacheField>
    <cacheField name="COUNTRIES" numFmtId="0">
      <sharedItems count="5">
        <s v="Ghana"/>
        <s v="Nigeria"/>
        <s v="Togo"/>
        <s v="Benin"/>
        <s v="Senegal"/>
      </sharedItems>
    </cacheField>
    <cacheField name="REGION" numFmtId="0">
      <sharedItems count="6">
        <s v="Southeast"/>
        <s v="west"/>
        <s v="southsouth"/>
        <s v="northwest"/>
        <s v="northeast"/>
        <s v="northcentral"/>
      </sharedItems>
    </cacheField>
    <cacheField name="MONTHS" numFmtId="0">
      <sharedItems count="12">
        <s v="January"/>
        <s v="February"/>
        <s v="March"/>
        <s v="April"/>
        <s v="May"/>
        <s v="June"/>
        <s v="July"/>
        <s v="August"/>
        <s v="September"/>
        <s v="October"/>
        <s v="November"/>
        <s v="December"/>
      </sharedItems>
    </cacheField>
    <cacheField name="YEARS" numFmtId="0">
      <sharedItems containsSemiMixedTypes="0" containsString="0" containsNumber="1" containsInteger="1" minValue="2017" maxValue="2019" count="3">
        <n v="2019"/>
        <n v="2018"/>
        <n v="2017"/>
      </sharedItems>
    </cacheField>
    <cacheField name="TERRITORY" numFmtId="0">
      <sharedItems count="2">
        <s v="Anglophone"/>
        <s v="Francophone"/>
      </sharedItems>
    </cacheField>
  </cacheFields>
  <extLst>
    <ext xmlns:x14="http://schemas.microsoft.com/office/spreadsheetml/2009/9/main" uri="{725AE2AE-9491-48be-B2B4-4EB974FC3084}">
      <x14:pivotCacheDefinition pivotCacheId="15427325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iola" refreshedDate="46006.050546874998" createdVersion="7" refreshedVersion="7" minRefreshableVersion="3" recordCount="1047" xr:uid="{D46B0F51-AC60-4034-9F25-7A54FF5437CA}">
  <cacheSource type="worksheet">
    <worksheetSource ref="A1:O1048" sheet="Cleaned Data"/>
  </cacheSource>
  <cacheFields count="15">
    <cacheField name="SALES_ID" numFmtId="0">
      <sharedItems containsSemiMixedTypes="0" containsString="0" containsNumber="1" containsInteger="1" minValue="10101" maxValue="11147"/>
    </cacheField>
    <cacheField name="SALES_REP" numFmtId="0">
      <sharedItems count="11">
        <s v="Jardine"/>
        <s v="Gill"/>
        <s v="Sorvino"/>
        <s v="Jones"/>
        <s v="Andrews"/>
        <s v="Thompson"/>
        <s v="Morgan"/>
        <s v="Howard"/>
        <s v="Parent"/>
        <s v="Smith"/>
        <s v="Kivell"/>
      </sharedItems>
    </cacheField>
    <cacheField name="EMAILS" numFmtId="0">
      <sharedItems/>
    </cacheField>
    <cacheField name="BRANDS" numFmtId="0">
      <sharedItems count="7">
        <s v="trophy"/>
        <s v="budweiser"/>
        <s v="castle lite"/>
        <s v="eagle lager"/>
        <s v="hero"/>
        <s v="beta malt"/>
        <s v="grand malt"/>
      </sharedItems>
    </cacheField>
    <cacheField name="PLANT_COST" numFmtId="164">
      <sharedItems containsSemiMixedTypes="0" containsString="0" containsNumber="1" containsInteger="1" minValue="80" maxValue="250"/>
    </cacheField>
    <cacheField name="UNIT_PRICE" numFmtId="164">
      <sharedItems containsSemiMixedTypes="0" containsString="0" containsNumber="1" containsInteger="1" minValue="150" maxValue="500"/>
    </cacheField>
    <cacheField name="QUANTITY" numFmtId="0">
      <sharedItems containsSemiMixedTypes="0" containsString="0" containsNumber="1" containsInteger="1" minValue="700" maxValue="1000"/>
    </cacheField>
    <cacheField name="COST" numFmtId="164">
      <sharedItems containsSemiMixedTypes="0" containsString="0" containsNumber="1" containsInteger="1" minValue="105300" maxValue="499500"/>
    </cacheField>
    <cacheField name="PROFIT" numFmtId="164">
      <sharedItems containsSemiMixedTypes="0" containsString="0" containsNumber="1" containsInteger="1" minValue="35000" maxValue="269190"/>
    </cacheField>
    <cacheField name="COUNTRIES" numFmtId="0">
      <sharedItems count="5">
        <s v="Ghana"/>
        <s v="Nigeria"/>
        <s v="Togo"/>
        <s v="Benin"/>
        <s v="Senegal"/>
      </sharedItems>
    </cacheField>
    <cacheField name="REGION" numFmtId="0">
      <sharedItems/>
    </cacheField>
    <cacheField name="MONTHS" numFmtId="0">
      <sharedItems/>
    </cacheField>
    <cacheField name="YEARS" numFmtId="0">
      <sharedItems containsSemiMixedTypes="0" containsString="0" containsNumber="1" containsInteger="1" minValue="2017" maxValue="2019"/>
    </cacheField>
    <cacheField name="TERRITORY" numFmtId="0">
      <sharedItems/>
    </cacheField>
    <cacheField name="Brand Type" numFmtId="164">
      <sharedItems count="2">
        <s v="Beer"/>
        <s v="Malt"/>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iola" refreshedDate="46006.064864351851" createdVersion="7" refreshedVersion="7" minRefreshableVersion="3" recordCount="1047" xr:uid="{6F7C6F25-D9C2-4D8C-872D-EE167AA06333}">
  <cacheSource type="worksheet">
    <worksheetSource ref="A1:P1048" sheet="Cleaned Data"/>
  </cacheSource>
  <cacheFields count="16">
    <cacheField name="SALES_ID" numFmtId="0">
      <sharedItems containsSemiMixedTypes="0" containsString="0" containsNumber="1" containsInteger="1" minValue="10101" maxValue="11147"/>
    </cacheField>
    <cacheField name="SALES_REP" numFmtId="0">
      <sharedItems/>
    </cacheField>
    <cacheField name="EMAILS" numFmtId="0">
      <sharedItems/>
    </cacheField>
    <cacheField name="BRANDS" numFmtId="0">
      <sharedItems count="7">
        <s v="trophy"/>
        <s v="budweiser"/>
        <s v="castle lite"/>
        <s v="eagle lager"/>
        <s v="hero"/>
        <s v="beta malt"/>
        <s v="grand malt"/>
      </sharedItems>
    </cacheField>
    <cacheField name="PLANT_COST" numFmtId="164">
      <sharedItems containsSemiMixedTypes="0" containsString="0" containsNumber="1" containsInteger="1" minValue="80" maxValue="250"/>
    </cacheField>
    <cacheField name="UNIT_PRICE" numFmtId="164">
      <sharedItems containsSemiMixedTypes="0" containsString="0" containsNumber="1" containsInteger="1" minValue="150" maxValue="500"/>
    </cacheField>
    <cacheField name="QUANTITY" numFmtId="0">
      <sharedItems containsSemiMixedTypes="0" containsString="0" containsNumber="1" containsInteger="1" minValue="700" maxValue="1000" count="298">
        <n v="725"/>
        <n v="815"/>
        <n v="937"/>
        <n v="765"/>
        <n v="836"/>
        <n v="798"/>
        <n v="954"/>
        <n v="812"/>
        <n v="700"/>
        <n v="745"/>
        <n v="861"/>
        <n v="902"/>
        <n v="731"/>
        <n v="843"/>
        <n v="939"/>
        <n v="709"/>
        <n v="837"/>
        <n v="910"/>
        <n v="996"/>
        <n v="898"/>
        <n v="860"/>
        <n v="859"/>
        <n v="857"/>
        <n v="715"/>
        <n v="999"/>
        <n v="982"/>
        <n v="920"/>
        <n v="875"/>
        <n v="945"/>
        <n v="794"/>
        <n v="826"/>
        <n v="1000"/>
        <n v="804"/>
        <n v="890"/>
        <n v="870"/>
        <n v="821"/>
        <n v="950"/>
        <n v="784"/>
        <n v="894"/>
        <n v="827"/>
        <n v="779"/>
        <n v="835"/>
        <n v="801"/>
        <n v="710"/>
        <n v="952"/>
        <n v="891"/>
        <n v="781"/>
        <n v="845"/>
        <n v="719"/>
        <n v="878"/>
        <n v="832"/>
        <n v="766"/>
        <n v="726"/>
        <n v="962"/>
        <n v="776"/>
        <n v="872"/>
        <n v="831"/>
        <n v="847"/>
        <n v="931"/>
        <n v="768"/>
        <n v="736"/>
        <n v="780"/>
        <n v="918"/>
        <n v="769"/>
        <n v="712"/>
        <n v="940"/>
        <n v="948"/>
        <n v="869"/>
        <n v="727"/>
        <n v="833"/>
        <n v="974"/>
        <n v="713"/>
        <n v="729"/>
        <n v="946"/>
        <n v="739"/>
        <n v="795"/>
        <n v="701"/>
        <n v="773"/>
        <n v="892"/>
        <n v="704"/>
        <n v="879"/>
        <n v="993"/>
        <n v="820"/>
        <n v="981"/>
        <n v="722"/>
        <n v="849"/>
        <n v="959"/>
        <n v="896"/>
        <n v="856"/>
        <n v="817"/>
        <n v="805"/>
        <n v="828"/>
        <n v="990"/>
        <n v="903"/>
        <n v="751"/>
        <n v="720"/>
        <n v="777"/>
        <n v="848"/>
        <n v="874"/>
        <n v="855"/>
        <n v="971"/>
        <n v="957"/>
        <n v="917"/>
        <n v="914"/>
        <n v="763"/>
        <n v="951"/>
        <n v="810"/>
        <n v="886"/>
        <n v="984"/>
        <n v="901"/>
        <n v="934"/>
        <n v="840"/>
        <n v="966"/>
        <n v="968"/>
        <n v="791"/>
        <n v="774"/>
        <n v="992"/>
        <n v="881"/>
        <n v="975"/>
        <n v="733"/>
        <n v="924"/>
        <n v="744"/>
        <n v="754"/>
        <n v="792"/>
        <n v="838"/>
        <n v="963"/>
        <n v="995"/>
        <n v="941"/>
        <n v="930"/>
        <n v="909"/>
        <n v="961"/>
        <n v="944"/>
        <n v="885"/>
        <n v="854"/>
        <n v="991"/>
        <n v="814"/>
        <n v="863"/>
        <n v="829"/>
        <n v="747"/>
        <n v="803"/>
        <n v="750"/>
        <n v="850"/>
        <n v="708"/>
        <n v="972"/>
        <n v="989"/>
        <n v="936"/>
        <n v="947"/>
        <n v="762"/>
        <n v="742"/>
        <n v="983"/>
        <n v="786"/>
        <n v="897"/>
        <n v="764"/>
        <n v="841"/>
        <n v="867"/>
        <n v="721"/>
        <n v="755"/>
        <n v="865"/>
        <n v="912"/>
        <n v="818"/>
        <n v="824"/>
        <n v="913"/>
        <n v="706"/>
        <n v="819"/>
        <n v="760"/>
        <n v="723"/>
        <n v="852"/>
        <n v="735"/>
        <n v="882"/>
        <n v="922"/>
        <n v="702"/>
        <n v="899"/>
        <n v="738"/>
        <n v="783"/>
        <n v="985"/>
        <n v="907"/>
        <n v="718"/>
        <n v="816"/>
        <n v="928"/>
        <n v="788"/>
        <n v="728"/>
        <n v="711"/>
        <n v="717"/>
        <n v="862"/>
        <n v="703"/>
        <n v="807"/>
        <n v="949"/>
        <n v="724"/>
        <n v="933"/>
        <n v="958"/>
        <n v="998"/>
        <n v="973"/>
        <n v="748"/>
        <n v="825"/>
        <n v="997"/>
        <n v="789"/>
        <n v="987"/>
        <n v="772"/>
        <n v="778"/>
        <n v="716"/>
        <n v="775"/>
        <n v="895"/>
        <n v="929"/>
        <n v="759"/>
        <n v="790"/>
        <n v="756"/>
        <n v="888"/>
        <n v="761"/>
        <n v="980"/>
        <n v="797"/>
        <n v="967"/>
        <n v="705"/>
        <n v="994"/>
        <n v="943"/>
        <n v="960"/>
        <n v="842"/>
        <n v="796"/>
        <n v="926"/>
        <n v="808"/>
        <n v="883"/>
        <n v="956"/>
        <n v="730"/>
        <n v="741"/>
        <n v="906"/>
        <n v="770"/>
        <n v="884"/>
        <n v="787"/>
        <n v="986"/>
        <n v="938"/>
        <n v="868"/>
        <n v="900"/>
        <n v="889"/>
        <n v="844"/>
        <n v="707"/>
        <n v="740"/>
        <n v="809"/>
        <n v="916"/>
        <n v="734"/>
        <n v="964"/>
        <n v="746"/>
        <n v="942"/>
        <n v="887"/>
        <n v="853"/>
        <n v="970"/>
        <n v="753"/>
        <n v="977"/>
        <n v="925"/>
        <n v="911"/>
        <n v="811"/>
        <n v="822"/>
        <n v="757"/>
        <n v="846"/>
        <n v="737"/>
        <n v="877"/>
        <n v="793"/>
        <n v="802"/>
        <n v="919"/>
        <n v="953"/>
        <n v="908"/>
        <n v="743"/>
        <n v="813"/>
        <n v="866"/>
        <n v="905"/>
        <n v="965"/>
        <n v="851"/>
        <n v="969"/>
        <n v="830"/>
        <n v="834"/>
        <n v="749"/>
        <n v="732"/>
        <n v="782"/>
        <n v="927"/>
        <n v="988"/>
        <n v="864"/>
        <n v="893"/>
        <n v="976"/>
        <n v="758"/>
        <n v="785"/>
        <n v="752"/>
        <n v="932"/>
        <n v="767"/>
        <n v="904"/>
        <n v="771"/>
        <n v="923"/>
        <n v="823"/>
        <n v="839"/>
        <n v="978"/>
        <n v="955"/>
        <n v="873"/>
        <n v="880"/>
        <n v="921"/>
        <n v="799"/>
        <n v="858"/>
        <n v="871"/>
        <n v="979"/>
        <n v="800"/>
        <n v="876"/>
        <n v="935"/>
      </sharedItems>
    </cacheField>
    <cacheField name="COST" numFmtId="164">
      <sharedItems containsSemiMixedTypes="0" containsString="0" containsNumber="1" containsInteger="1" minValue="105300" maxValue="499500"/>
    </cacheField>
    <cacheField name="PROFIT" numFmtId="164">
      <sharedItems containsSemiMixedTypes="0" containsString="0" containsNumber="1" containsInteger="1" minValue="35000" maxValue="269190" count="762">
        <n v="36250"/>
        <n v="203750"/>
        <n v="252990"/>
        <n v="61200"/>
        <n v="41800"/>
        <n v="55860"/>
        <n v="57240"/>
        <n v="40600"/>
        <n v="175000"/>
        <n v="201150"/>
        <n v="68880"/>
        <n v="45100"/>
        <n v="51170"/>
        <n v="50580"/>
        <n v="46950"/>
        <n v="177250"/>
        <n v="225990"/>
        <n v="72800"/>
        <n v="49800"/>
        <n v="53880"/>
        <n v="43000"/>
        <n v="214750"/>
        <n v="231390"/>
        <n v="57200"/>
        <n v="49950"/>
        <n v="68740"/>
        <n v="55200"/>
        <n v="43750"/>
        <n v="236250"/>
        <n v="214380"/>
        <n v="66080"/>
        <n v="50000"/>
        <n v="56280"/>
        <n v="53400"/>
        <n v="43500"/>
        <n v="205250"/>
        <n v="256500"/>
        <n v="62720"/>
        <n v="62580"/>
        <n v="49620"/>
        <n v="38950"/>
        <n v="208750"/>
        <n v="216270"/>
        <n v="56800"/>
        <n v="47600"/>
        <n v="62370"/>
        <n v="46860"/>
        <n v="42250"/>
        <n v="179750"/>
        <n v="237060"/>
        <n v="66560"/>
        <n v="38300"/>
        <n v="50820"/>
        <n v="57720"/>
        <n v="46000"/>
        <n v="194000"/>
        <n v="235440"/>
        <n v="66480"/>
        <n v="42350"/>
        <n v="65170"/>
        <n v="46080"/>
        <n v="36800"/>
        <n v="195000"/>
        <n v="247860"/>
        <n v="61520"/>
        <n v="35600"/>
        <n v="53760"/>
        <n v="56400"/>
        <n v="47400"/>
        <n v="217250"/>
        <n v="196290"/>
        <n v="66640"/>
        <n v="48700"/>
        <n v="49910"/>
        <n v="43740"/>
        <n v="47300"/>
        <n v="184750"/>
        <n v="214650"/>
        <n v="56080"/>
        <n v="38650"/>
        <n v="56070"/>
        <n v="53520"/>
        <n v="36950"/>
        <n v="176000"/>
        <n v="237330"/>
        <n v="79440"/>
        <n v="41000"/>
        <n v="60830"/>
        <n v="54120"/>
        <n v="49050"/>
        <n v="180500"/>
        <n v="229230"/>
        <n v="47950"/>
        <n v="51360"/>
        <n v="40850"/>
        <n v="182250"/>
        <n v="217350"/>
        <n v="66240"/>
        <n v="49500"/>
        <n v="58170"/>
        <n v="54180"/>
        <n v="37550"/>
        <n v="247500"/>
        <n v="57600"/>
        <n v="38850"/>
        <n v="59360"/>
        <n v="52440"/>
        <n v="230850"/>
        <n v="77680"/>
        <n v="47850"/>
        <n v="53830"/>
        <n v="42600"/>
        <n v="45850"/>
        <n v="181750"/>
        <n v="207360"/>
        <n v="69600"/>
        <n v="45700"/>
        <n v="53410"/>
        <n v="57060"/>
        <n v="40500"/>
        <n v="221500"/>
        <n v="265680"/>
        <n v="77920"/>
        <n v="45050"/>
        <n v="65380"/>
        <n v="49920"/>
        <n v="42000"/>
        <n v="241500"/>
        <n v="224640"/>
        <n v="77440"/>
        <n v="39550"/>
        <n v="59520"/>
        <n v="44050"/>
        <n v="243750"/>
        <n v="197910"/>
        <n v="62080"/>
        <n v="46200"/>
        <n v="52080"/>
        <n v="45240"/>
        <n v="39600"/>
        <n v="209500"/>
        <n v="260010"/>
        <n v="79600"/>
        <n v="47050"/>
        <n v="65100"/>
        <n v="46800"/>
        <n v="36450"/>
        <n v="227250"/>
        <n v="259470"/>
        <n v="58320"/>
        <n v="47200"/>
        <n v="68670"/>
        <n v="45780"/>
        <n v="44250"/>
        <n v="213500"/>
        <n v="79280"/>
        <n v="62860"/>
        <n v="56700"/>
        <n v="40700"/>
        <n v="215750"/>
        <n v="223830"/>
        <n v="59760"/>
        <n v="48050"/>
        <n v="56210"/>
        <n v="52500"/>
        <n v="37500"/>
        <n v="212500"/>
        <n v="191700"/>
        <n v="70480"/>
        <n v="49560"/>
        <n v="243000"/>
        <n v="267030"/>
        <n v="74880"/>
        <n v="66290"/>
        <n v="45720"/>
        <n v="37100"/>
        <n v="225500"/>
        <n v="226800"/>
        <n v="61840"/>
        <n v="46700"/>
        <n v="68810"/>
        <n v="39300"/>
        <n v="210750"/>
        <n v="242190"/>
        <n v="58640"/>
        <n v="58520"/>
        <n v="38200"/>
        <n v="230000"/>
        <n v="67280"/>
        <n v="40050"/>
        <n v="60690"/>
        <n v="43260"/>
        <n v="37750"/>
        <n v="234250"/>
        <n v="233550"/>
        <n v="58880"/>
        <n v="49100"/>
        <n v="59500"/>
        <n v="45600"/>
        <n v="220250"/>
        <n v="220860"/>
        <n v="62480"/>
        <n v="45500"/>
        <n v="49280"/>
        <n v="49440"/>
        <n v="35500"/>
        <n v="228250"/>
        <n v="265410"/>
        <n v="56480"/>
        <n v="40950"/>
        <n v="53340"/>
        <n v="43600"/>
        <n v="180750"/>
        <n v="246510"/>
        <n v="68160"/>
        <n v="42800"/>
        <n v="57890"/>
        <n v="44100"/>
        <n v="220500"/>
        <n v="73760"/>
        <n v="41900"/>
        <n v="60130"/>
        <n v="57000"/>
        <n v="35300"/>
        <n v="175500"/>
        <n v="242730"/>
        <n v="59040"/>
        <n v="54810"/>
        <n v="49860"/>
        <n v="43450"/>
        <n v="187500"/>
        <n v="251370"/>
        <n v="77760"/>
        <n v="49250"/>
        <n v="57820"/>
        <n v="54420"/>
        <n v="35200"/>
        <n v="193860"/>
        <n v="70320"/>
        <n v="40800"/>
        <n v="44640"/>
        <n v="200250"/>
        <n v="194400"/>
        <n v="78640"/>
        <n v="49450"/>
        <n v="69720"/>
        <n v="48060"/>
        <n v="42850"/>
        <n v="232000"/>
        <n v="212760"/>
        <n v="63600"/>
        <n v="43250"/>
        <n v="43680"/>
        <n v="56880"/>
        <n v="35850"/>
        <n v="60340"/>
        <n v="42180"/>
        <n v="48100"/>
        <n v="201750"/>
        <n v="75920"/>
        <n v="36200"/>
        <n v="50190"/>
        <n v="55980"/>
        <n v="46500"/>
        <n v="239750"/>
        <n v="248940"/>
        <n v="76560"/>
        <n v="47900"/>
        <n v="54880"/>
        <n v="57960"/>
        <n v="39200"/>
        <n v="249500"/>
        <n v="256770"/>
        <n v="77840"/>
        <n v="52360"/>
        <n v="42950"/>
        <n v="206250"/>
        <n v="269190"/>
        <n v="63120"/>
        <n v="54110"/>
        <n v="47160"/>
        <n v="49550"/>
        <n v="266490"/>
        <n v="61760"/>
        <n v="38000"/>
        <n v="54460"/>
        <n v="42960"/>
        <n v="38750"/>
        <n v="215000"/>
        <n v="241650"/>
        <n v="74320"/>
        <n v="37950"/>
        <n v="53550"/>
        <n v="51660"/>
        <n v="39500"/>
        <n v="207750"/>
        <n v="60480"/>
        <n v="44400"/>
        <n v="45660"/>
        <n v="206000"/>
        <n v="209250"/>
        <n v="78400"/>
        <n v="41400"/>
        <n v="49770"/>
        <n v="49020"/>
        <n v="41450"/>
        <n v="218000"/>
        <n v="193050"/>
        <n v="75120"/>
        <n v="44550"/>
        <n v="51520"/>
        <n v="47820"/>
        <n v="45650"/>
        <n v="177500"/>
        <n v="76160"/>
        <n v="48350"/>
        <n v="61530"/>
        <n v="42300"/>
        <n v="43900"/>
        <n v="225750"/>
        <n v="213570"/>
        <n v="71600"/>
        <n v="55300"/>
        <n v="43320"/>
        <n v="212250"/>
        <n v="198720"/>
        <n v="67440"/>
        <n v="43080"/>
        <n v="35000"/>
        <n v="206750"/>
        <n v="203850"/>
        <n v="64240"/>
        <n v="36550"/>
        <n v="63700"/>
        <n v="44820"/>
        <n v="49700"/>
        <n v="245500"/>
        <n v="258660"/>
        <n v="75440"/>
        <n v="59640"/>
        <n v="49600"/>
        <n v="240000"/>
        <n v="227340"/>
        <n v="60000"/>
        <n v="39800"/>
        <n v="51240"/>
        <n v="46300"/>
        <n v="202000"/>
        <n v="238410"/>
        <n v="76640"/>
        <n v="49200"/>
        <n v="57360"/>
        <n v="46550"/>
        <n v="179500"/>
        <n v="209520"/>
        <n v="66880"/>
        <n v="36500"/>
        <n v="51870"/>
        <n v="58920"/>
        <n v="226500"/>
        <n v="244890"/>
        <n v="56960"/>
        <n v="53900"/>
        <n v="208250"/>
        <n v="198450"/>
        <n v="70720"/>
        <n v="52920"/>
        <n v="47220"/>
        <n v="40200"/>
        <n v="246500"/>
        <n v="231120"/>
        <n v="66800"/>
        <n v="46900"/>
        <n v="50330"/>
        <n v="235750"/>
        <n v="76000"/>
        <n v="62230"/>
        <n v="56340"/>
        <n v="47500"/>
        <n v="186250"/>
        <n v="251910"/>
        <n v="61670"/>
        <n v="42200"/>
        <n v="197500"/>
        <n v="242460"/>
        <n v="65440"/>
        <n v="35350"/>
        <n v="49840"/>
        <n v="59460"/>
        <n v="45000"/>
        <n v="202500"/>
        <n v="199800"/>
        <n v="72720"/>
        <n v="41200"/>
        <n v="56630"/>
        <n v="49140"/>
        <n v="214920"/>
        <n v="73280"/>
        <n v="51380"/>
        <n v="37350"/>
        <n v="199500"/>
        <n v="36050"/>
        <n v="49630"/>
        <n v="43140"/>
        <n v="190500"/>
        <n v="260280"/>
        <n v="74480"/>
        <n v="52220"/>
        <n v="56520"/>
        <n v="221750"/>
        <n v="189810"/>
        <n v="74400"/>
        <n v="43350"/>
        <n v="59710"/>
        <n v="47640"/>
        <n v="194500"/>
        <n v="253530"/>
        <n v="61040"/>
        <n v="48500"/>
        <n v="56560"/>
        <n v="57120"/>
        <n v="45900"/>
        <n v="233500"/>
        <n v="203310"/>
        <n v="59200"/>
        <n v="68390"/>
        <n v="58080"/>
        <n v="39850"/>
        <n v="231500"/>
        <n v="249750"/>
        <n v="72880"/>
        <n v="35450"/>
        <n v="55370"/>
        <n v="42120"/>
        <n v="46100"/>
        <n v="239250"/>
        <n v="218970"/>
        <n v="49900"/>
        <n v="41100"/>
        <n v="180250"/>
        <n v="240300"/>
        <n v="68800"/>
        <n v="64120"/>
        <n v="51300"/>
        <n v="35750"/>
        <n v="235000"/>
        <n v="228690"/>
        <n v="71120"/>
        <n v="46400"/>
        <n v="66010"/>
        <n v="37850"/>
        <n v="198750"/>
        <n v="253800"/>
        <n v="71920"/>
        <n v="45350"/>
        <n v="65030"/>
        <n v="180000"/>
        <n v="67680"/>
        <n v="46850"/>
        <n v="61180"/>
        <n v="49320"/>
        <n v="36850"/>
        <n v="189750"/>
        <n v="236790"/>
        <n v="69920"/>
        <n v="38150"/>
        <n v="55510"/>
        <n v="56220"/>
        <n v="235500"/>
        <n v="220050"/>
        <n v="228500"/>
        <n v="220590"/>
        <n v="73040"/>
        <n v="35250"/>
        <n v="67480"/>
        <n v="53460"/>
        <n v="48850"/>
        <n v="237000"/>
        <n v="202770"/>
        <n v="66160"/>
        <n v="47150"/>
        <n v="63070"/>
        <n v="200500"/>
        <n v="248130"/>
        <n v="65920"/>
        <n v="48660"/>
        <n v="209000"/>
        <n v="257310"/>
        <n v="72640"/>
        <n v="64960"/>
        <n v="255690"/>
        <n v="59440"/>
        <n v="39400"/>
        <n v="47040"/>
        <n v="40650"/>
        <n v="240030"/>
        <n v="62640"/>
        <n v="43300"/>
        <n v="58800"/>
        <n v="54300"/>
        <n v="219500"/>
        <n v="221130"/>
        <n v="44850"/>
        <n v="52710"/>
        <n v="45550"/>
        <n v="182500"/>
        <n v="246240"/>
        <n v="60400"/>
        <n v="63980"/>
        <n v="38700"/>
        <n v="187000"/>
        <n v="217890"/>
        <n v="70160"/>
        <n v="48250"/>
        <n v="50960"/>
        <n v="47520"/>
        <n v="268650"/>
        <n v="68080"/>
        <n v="69090"/>
        <n v="46560"/>
        <n v="48450"/>
        <n v="212490"/>
        <n v="72080"/>
        <n v="36900"/>
        <n v="221000"/>
        <n v="208440"/>
        <n v="60960"/>
        <n v="41500"/>
        <n v="69650"/>
        <n v="48720"/>
        <n v="49650"/>
        <n v="235250"/>
        <n v="66720"/>
        <n v="42150"/>
        <n v="52430"/>
        <n v="51540"/>
        <n v="204000"/>
        <n v="56160"/>
        <n v="42480"/>
        <n v="210060"/>
        <n v="58560"/>
        <n v="65730"/>
        <n v="223560"/>
        <n v="56000"/>
        <n v="51590"/>
        <n v="59160"/>
        <n v="36650"/>
        <n v="192250"/>
        <n v="211140"/>
        <n v="49000"/>
        <n v="52850"/>
        <n v="48240"/>
        <n v="41050"/>
        <n v="192000"/>
        <n v="250830"/>
        <n v="75040"/>
        <n v="38800"/>
        <n v="58100"/>
        <n v="52860"/>
        <n v="42700"/>
        <n v="250290"/>
        <n v="79040"/>
        <n v="43200"/>
        <n v="206500"/>
        <n v="233280"/>
        <n v="58960"/>
        <n v="63140"/>
        <n v="53280"/>
        <n v="44650"/>
        <n v="200880"/>
        <n v="76720"/>
        <n v="48800"/>
        <n v="65800"/>
        <n v="45400"/>
        <n v="216500"/>
        <n v="64160"/>
        <n v="49260"/>
        <n v="236500"/>
        <n v="61600"/>
        <n v="204500"/>
        <n v="60640"/>
        <n v="39350"/>
        <n v="47100"/>
        <n v="35050"/>
        <n v="189250"/>
        <n v="218700"/>
        <n v="57480"/>
        <n v="243250"/>
        <n v="60160"/>
        <n v="54390"/>
        <n v="230500"/>
        <n v="48300"/>
        <n v="46600"/>
        <n v="222750"/>
        <n v="216810"/>
        <n v="62510"/>
        <n v="195750"/>
        <n v="191160"/>
        <n v="39900"/>
        <n v="49300"/>
        <n v="191750"/>
        <n v="68720"/>
        <n v="52320"/>
        <n v="184500"/>
        <n v="79760"/>
        <n v="42100"/>
        <n v="60620"/>
        <n v="54240"/>
        <n v="212000"/>
        <n v="249480"/>
        <n v="78160"/>
        <n v="38550"/>
        <n v="46150"/>
        <n v="206820"/>
        <n v="56320"/>
        <n v="41150"/>
        <n v="55680"/>
        <n v="45150"/>
        <n v="229000"/>
        <n v="266760"/>
        <n v="72400"/>
        <n v="47350"/>
        <n v="64820"/>
        <n v="42400"/>
        <n v="190620"/>
        <n v="40900"/>
        <n v="238000"/>
        <n v="226530"/>
        <n v="56040"/>
        <n v="198250"/>
        <n v="71200"/>
        <n v="68460"/>
        <n v="41750"/>
        <n v="267840"/>
        <n v="46250"/>
        <n v="69790"/>
        <n v="47760"/>
        <n v="37050"/>
        <n v="212220"/>
        <n v="68480"/>
        <n v="45950"/>
        <n v="56140"/>
        <n v="51840"/>
        <n v="199000"/>
        <n v="249210"/>
        <n v="79200"/>
        <n v="232740"/>
        <n v="77040"/>
        <n v="42450"/>
        <n v="65660"/>
        <n v="55080"/>
        <n v="36400"/>
        <n v="239760"/>
        <n v="59680"/>
        <n v="66360"/>
        <n v="55140"/>
        <n v="44350"/>
        <n v="196000"/>
        <n v="75840"/>
        <n v="57300"/>
        <n v="47750"/>
        <n v="191250"/>
        <n v="239490"/>
        <n v="55790"/>
        <n v="47460"/>
        <n v="38400"/>
        <n v="67060"/>
        <n v="46350"/>
        <n v="229750"/>
        <n v="224100"/>
        <n v="47700"/>
        <n v="64330"/>
        <n v="57470"/>
        <n v="213840"/>
        <n v="70800"/>
        <n v="48650"/>
        <n v="52380"/>
        <n v="175250"/>
        <n v="263790"/>
        <n v="57660"/>
        <n v="35100"/>
        <n v="246000"/>
        <n v="232470"/>
        <n v="78720"/>
        <n v="59430"/>
        <n v="197640"/>
        <n v="79680"/>
        <n v="38500"/>
        <n v="54950"/>
        <n v="39650"/>
        <n v="223250"/>
        <n v="237600"/>
        <n v="73680"/>
        <n v="42550"/>
        <n v="60200"/>
        <n v="49080"/>
        <n v="45300"/>
        <n v="56240"/>
        <n v="35800"/>
        <n v="62650"/>
        <n v="58860"/>
        <n v="39950"/>
        <n v="193500"/>
        <n v="74240"/>
        <n v="53270"/>
        <n v="50940"/>
        <n v="251100"/>
        <n v="75600"/>
        <n v="51030"/>
        <n v="56460"/>
        <n v="36750"/>
        <n v="231930"/>
        <n v="63360"/>
        <n v="43700"/>
        <n v="55440"/>
        <n v="231660"/>
        <n v="43550"/>
        <n v="35550"/>
        <n v="208500"/>
        <n v="264330"/>
        <n v="68640"/>
        <n v="37900"/>
        <n v="181250"/>
        <n v="58240"/>
        <n v="55620"/>
        <n v="41250"/>
        <n v="210330"/>
        <n v="37150"/>
        <n v="224370"/>
        <n v="67760"/>
        <n v="63280"/>
        <n v="228000"/>
        <n v="225180"/>
        <n v="73120"/>
        <n v="43150"/>
        <n v="58450"/>
        <n v="49750"/>
        <n v="248750"/>
        <n v="68560"/>
        <n v="54600"/>
        <n v="208170"/>
        <n v="55020"/>
        <n v="183500"/>
        <n v="36350"/>
        <n v="54480"/>
        <n v="38350"/>
        <n v="211750"/>
        <n v="261360"/>
        <n v="58940"/>
        <n v="50880"/>
        <n v="49400"/>
        <n v="219000"/>
        <n v="54530"/>
        <n v="54000"/>
        <n v="47650"/>
        <n v="194670"/>
        <n v="56770"/>
        <n v="57780"/>
        <n v="209750"/>
        <n v="51800"/>
        <n v="44600"/>
        <n v="74800"/>
      </sharedItems>
    </cacheField>
    <cacheField name="COUNTRIES" numFmtId="0">
      <sharedItems count="5">
        <s v="Ghana"/>
        <s v="Nigeria"/>
        <s v="Togo"/>
        <s v="Benin"/>
        <s v="Senegal"/>
      </sharedItems>
    </cacheField>
    <cacheField name="REGION" numFmtId="0">
      <sharedItems count="6">
        <s v="Southeast"/>
        <s v="west"/>
        <s v="southsouth"/>
        <s v="northwest"/>
        <s v="northeast"/>
        <s v="northcentral"/>
      </sharedItems>
    </cacheField>
    <cacheField name="MONTHS" numFmtId="0">
      <sharedItems count="12">
        <s v="January"/>
        <s v="February"/>
        <s v="March"/>
        <s v="April"/>
        <s v="May"/>
        <s v="June"/>
        <s v="July"/>
        <s v="August"/>
        <s v="September"/>
        <s v="October"/>
        <s v="November"/>
        <s v="December"/>
      </sharedItems>
    </cacheField>
    <cacheField name="YEARS" numFmtId="0">
      <sharedItems containsSemiMixedTypes="0" containsString="0" containsNumber="1" containsInteger="1" minValue="2017" maxValue="2019" count="3">
        <n v="2019"/>
        <n v="2018"/>
        <n v="2017"/>
      </sharedItems>
    </cacheField>
    <cacheField name="TERRITORY" numFmtId="0">
      <sharedItems count="2">
        <s v="Anglophone"/>
        <s v="Francophone"/>
      </sharedItems>
    </cacheField>
    <cacheField name="Brand Type" numFmtId="164">
      <sharedItems/>
    </cacheField>
    <cacheField name="QUARTERS" numFmtId="0">
      <sharedItems count="4">
        <s v="Q1"/>
        <s v="Q2"/>
        <s v="Q3"/>
        <s v="Q4"/>
      </sharedItems>
    </cacheField>
  </cacheFields>
  <extLst>
    <ext xmlns:x14="http://schemas.microsoft.com/office/spreadsheetml/2009/9/main" uri="{725AE2AE-9491-48be-B2B4-4EB974FC3084}">
      <x14:pivotCacheDefinition pivotCacheId="720622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7">
  <r>
    <n v="10101"/>
    <s v="Jardine"/>
    <s v="jard@gmail.com"/>
    <x v="0"/>
    <n v="150"/>
    <n v="200"/>
    <n v="725"/>
    <n v="145000"/>
    <n v="36250"/>
    <x v="0"/>
    <x v="0"/>
    <x v="0"/>
    <x v="0"/>
    <x v="0"/>
  </r>
  <r>
    <n v="10102"/>
    <s v="Gill"/>
    <s v="gillhell@uk.com"/>
    <x v="1"/>
    <n v="250"/>
    <n v="500"/>
    <n v="815"/>
    <n v="407500"/>
    <n v="203750"/>
    <x v="1"/>
    <x v="1"/>
    <x v="1"/>
    <x v="1"/>
    <x v="0"/>
  </r>
  <r>
    <n v="10103"/>
    <s v="Sorvino"/>
    <s v="sorvi2000@gmail.com"/>
    <x v="2"/>
    <n v="180"/>
    <n v="450"/>
    <n v="937"/>
    <n v="421650"/>
    <n v="252990"/>
    <x v="2"/>
    <x v="2"/>
    <x v="2"/>
    <x v="1"/>
    <x v="1"/>
  </r>
  <r>
    <n v="10104"/>
    <s v="Jones"/>
    <s v="jone.ai@yahoo.com"/>
    <x v="3"/>
    <n v="170"/>
    <n v="250"/>
    <n v="765"/>
    <n v="191250"/>
    <n v="61200"/>
    <x v="3"/>
    <x v="3"/>
    <x v="3"/>
    <x v="1"/>
    <x v="1"/>
  </r>
  <r>
    <n v="10105"/>
    <s v="Andrews"/>
    <s v="andy@gmail.com"/>
    <x v="4"/>
    <n v="150"/>
    <n v="200"/>
    <n v="836"/>
    <n v="167200"/>
    <n v="41800"/>
    <x v="4"/>
    <x v="4"/>
    <x v="4"/>
    <x v="2"/>
    <x v="1"/>
  </r>
  <r>
    <n v="10106"/>
    <s v="Jardine"/>
    <s v="jard@gmail.com"/>
    <x v="5"/>
    <n v="80"/>
    <n v="150"/>
    <n v="798"/>
    <n v="119700"/>
    <n v="55860"/>
    <x v="0"/>
    <x v="5"/>
    <x v="5"/>
    <x v="0"/>
    <x v="0"/>
  </r>
  <r>
    <n v="10107"/>
    <s v="Thompson"/>
    <s v="thomp@uk.com"/>
    <x v="6"/>
    <n v="90"/>
    <n v="150"/>
    <n v="954"/>
    <n v="143100"/>
    <n v="57240"/>
    <x v="1"/>
    <x v="0"/>
    <x v="6"/>
    <x v="2"/>
    <x v="0"/>
  </r>
  <r>
    <n v="10108"/>
    <s v="Jones"/>
    <s v="jone.ai@yahoo.com"/>
    <x v="0"/>
    <n v="150"/>
    <n v="200"/>
    <n v="812"/>
    <n v="162400"/>
    <n v="40600"/>
    <x v="2"/>
    <x v="1"/>
    <x v="7"/>
    <x v="1"/>
    <x v="1"/>
  </r>
  <r>
    <n v="10109"/>
    <s v="Morgan"/>
    <s v="morganny@gmail.com"/>
    <x v="1"/>
    <n v="250"/>
    <n v="500"/>
    <n v="700"/>
    <n v="350000"/>
    <n v="175000"/>
    <x v="3"/>
    <x v="2"/>
    <x v="8"/>
    <x v="0"/>
    <x v="1"/>
  </r>
  <r>
    <n v="10110"/>
    <s v="Howard"/>
    <s v="howard_freeman@yahoo.com"/>
    <x v="2"/>
    <n v="180"/>
    <n v="450"/>
    <n v="745"/>
    <n v="335250"/>
    <n v="201150"/>
    <x v="4"/>
    <x v="3"/>
    <x v="9"/>
    <x v="2"/>
    <x v="1"/>
  </r>
  <r>
    <n v="10111"/>
    <s v="Parent"/>
    <s v="parentty@uk.com"/>
    <x v="3"/>
    <n v="170"/>
    <n v="250"/>
    <n v="861"/>
    <n v="215250"/>
    <n v="68880"/>
    <x v="0"/>
    <x v="4"/>
    <x v="10"/>
    <x v="2"/>
    <x v="0"/>
  </r>
  <r>
    <n v="10112"/>
    <s v="Jones"/>
    <s v="jone.ai@yahoo.com"/>
    <x v="4"/>
    <n v="150"/>
    <n v="200"/>
    <n v="902"/>
    <n v="180400"/>
    <n v="45100"/>
    <x v="1"/>
    <x v="5"/>
    <x v="11"/>
    <x v="0"/>
    <x v="0"/>
  </r>
  <r>
    <n v="10113"/>
    <s v="Smith"/>
    <s v="smithMan@yahoo.com"/>
    <x v="5"/>
    <n v="80"/>
    <n v="150"/>
    <n v="731"/>
    <n v="109650"/>
    <n v="51170"/>
    <x v="2"/>
    <x v="0"/>
    <x v="0"/>
    <x v="1"/>
    <x v="1"/>
  </r>
  <r>
    <n v="10114"/>
    <s v="Jones"/>
    <s v="jone.ai@yahoo.com"/>
    <x v="6"/>
    <n v="90"/>
    <n v="150"/>
    <n v="843"/>
    <n v="126450"/>
    <n v="50580"/>
    <x v="3"/>
    <x v="1"/>
    <x v="1"/>
    <x v="2"/>
    <x v="1"/>
  </r>
  <r>
    <n v="10115"/>
    <s v="Morgan"/>
    <s v="morganny@gmail.com"/>
    <x v="0"/>
    <n v="150"/>
    <n v="200"/>
    <n v="939"/>
    <n v="187800"/>
    <n v="46950"/>
    <x v="4"/>
    <x v="2"/>
    <x v="2"/>
    <x v="1"/>
    <x v="1"/>
  </r>
  <r>
    <n v="10116"/>
    <s v="Jones"/>
    <s v="jone.ai@yahoo.com"/>
    <x v="1"/>
    <n v="250"/>
    <n v="500"/>
    <n v="709"/>
    <n v="354500"/>
    <n v="177250"/>
    <x v="0"/>
    <x v="3"/>
    <x v="3"/>
    <x v="0"/>
    <x v="0"/>
  </r>
  <r>
    <n v="10117"/>
    <s v="Parent"/>
    <s v="parentty@uk.com"/>
    <x v="2"/>
    <n v="180"/>
    <n v="450"/>
    <n v="837"/>
    <n v="376650"/>
    <n v="225990"/>
    <x v="1"/>
    <x v="4"/>
    <x v="4"/>
    <x v="2"/>
    <x v="0"/>
  </r>
  <r>
    <n v="10118"/>
    <s v="Kivell"/>
    <s v="kivel_go@yahoo.com"/>
    <x v="3"/>
    <n v="170"/>
    <n v="250"/>
    <n v="910"/>
    <n v="227500"/>
    <n v="72800"/>
    <x v="2"/>
    <x v="5"/>
    <x v="5"/>
    <x v="1"/>
    <x v="1"/>
  </r>
  <r>
    <n v="10119"/>
    <s v="Smith"/>
    <s v="smithMan@yahoo.com"/>
    <x v="4"/>
    <n v="150"/>
    <n v="200"/>
    <n v="996"/>
    <n v="199200"/>
    <n v="49800"/>
    <x v="3"/>
    <x v="0"/>
    <x v="6"/>
    <x v="0"/>
    <x v="1"/>
  </r>
  <r>
    <n v="10120"/>
    <s v="Parent"/>
    <s v="parentty@uk.com"/>
    <x v="5"/>
    <n v="80"/>
    <n v="150"/>
    <n v="731"/>
    <n v="109650"/>
    <n v="51170"/>
    <x v="4"/>
    <x v="1"/>
    <x v="7"/>
    <x v="2"/>
    <x v="1"/>
  </r>
  <r>
    <n v="10121"/>
    <s v="Gill"/>
    <s v="gillhell@uk.com"/>
    <x v="6"/>
    <n v="90"/>
    <n v="150"/>
    <n v="898"/>
    <n v="134700"/>
    <n v="53880"/>
    <x v="0"/>
    <x v="2"/>
    <x v="8"/>
    <x v="2"/>
    <x v="0"/>
  </r>
  <r>
    <n v="10122"/>
    <s v="Smith"/>
    <s v="smithMan@yahoo.com"/>
    <x v="0"/>
    <n v="150"/>
    <n v="200"/>
    <n v="860"/>
    <n v="172000"/>
    <n v="43000"/>
    <x v="1"/>
    <x v="3"/>
    <x v="9"/>
    <x v="1"/>
    <x v="0"/>
  </r>
  <r>
    <n v="10123"/>
    <s v="Jones"/>
    <s v="jone.ai@yahoo.com"/>
    <x v="1"/>
    <n v="250"/>
    <n v="500"/>
    <n v="859"/>
    <n v="429500"/>
    <n v="214750"/>
    <x v="2"/>
    <x v="4"/>
    <x v="10"/>
    <x v="2"/>
    <x v="1"/>
  </r>
  <r>
    <n v="10124"/>
    <s v="Sorvino"/>
    <s v="sorvi2000@gmail.com"/>
    <x v="2"/>
    <n v="180"/>
    <n v="450"/>
    <n v="857"/>
    <n v="385650"/>
    <n v="231390"/>
    <x v="3"/>
    <x v="5"/>
    <x v="11"/>
    <x v="2"/>
    <x v="1"/>
  </r>
  <r>
    <n v="10125"/>
    <s v="Jardine"/>
    <s v="jard@gmail.com"/>
    <x v="3"/>
    <n v="170"/>
    <n v="250"/>
    <n v="715"/>
    <n v="178750"/>
    <n v="57200"/>
    <x v="4"/>
    <x v="0"/>
    <x v="0"/>
    <x v="1"/>
    <x v="1"/>
  </r>
  <r>
    <n v="10126"/>
    <s v="Andrews"/>
    <s v="andy@gmail.com"/>
    <x v="4"/>
    <n v="150"/>
    <n v="200"/>
    <n v="999"/>
    <n v="199800"/>
    <n v="49950"/>
    <x v="0"/>
    <x v="1"/>
    <x v="1"/>
    <x v="1"/>
    <x v="0"/>
  </r>
  <r>
    <n v="10127"/>
    <s v="Howard"/>
    <s v="howard_freeman@yahoo.com"/>
    <x v="5"/>
    <n v="80"/>
    <n v="150"/>
    <n v="982"/>
    <n v="147300"/>
    <n v="68740"/>
    <x v="1"/>
    <x v="2"/>
    <x v="2"/>
    <x v="2"/>
    <x v="0"/>
  </r>
  <r>
    <n v="10128"/>
    <s v="Gill"/>
    <s v="gillhell@uk.com"/>
    <x v="6"/>
    <n v="90"/>
    <n v="150"/>
    <n v="920"/>
    <n v="138000"/>
    <n v="55200"/>
    <x v="2"/>
    <x v="3"/>
    <x v="3"/>
    <x v="1"/>
    <x v="1"/>
  </r>
  <r>
    <n v="10129"/>
    <s v="Gill"/>
    <s v="gillhell@uk.com"/>
    <x v="0"/>
    <n v="150"/>
    <n v="200"/>
    <n v="875"/>
    <n v="175000"/>
    <n v="43750"/>
    <x v="3"/>
    <x v="4"/>
    <x v="4"/>
    <x v="2"/>
    <x v="1"/>
  </r>
  <r>
    <n v="10130"/>
    <s v="Kivell"/>
    <s v="kivel_go@yahoo.com"/>
    <x v="1"/>
    <n v="250"/>
    <n v="500"/>
    <n v="945"/>
    <n v="472500"/>
    <n v="236250"/>
    <x v="4"/>
    <x v="5"/>
    <x v="5"/>
    <x v="0"/>
    <x v="1"/>
  </r>
  <r>
    <n v="10131"/>
    <s v="Jones"/>
    <s v="jone.ai@yahoo.com"/>
    <x v="2"/>
    <n v="180"/>
    <n v="450"/>
    <n v="794"/>
    <n v="357300"/>
    <n v="214380"/>
    <x v="0"/>
    <x v="0"/>
    <x v="6"/>
    <x v="0"/>
    <x v="0"/>
  </r>
  <r>
    <n v="10132"/>
    <s v="Morgan"/>
    <s v="morganny@gmail.com"/>
    <x v="3"/>
    <n v="170"/>
    <n v="250"/>
    <n v="826"/>
    <n v="206500"/>
    <n v="66080"/>
    <x v="1"/>
    <x v="1"/>
    <x v="7"/>
    <x v="2"/>
    <x v="0"/>
  </r>
  <r>
    <n v="10133"/>
    <s v="Kivell"/>
    <s v="kivel_go@yahoo.com"/>
    <x v="4"/>
    <n v="150"/>
    <n v="200"/>
    <n v="1000"/>
    <n v="200000"/>
    <n v="50000"/>
    <x v="2"/>
    <x v="2"/>
    <x v="8"/>
    <x v="0"/>
    <x v="1"/>
  </r>
  <r>
    <n v="10134"/>
    <s v="Sorvino"/>
    <s v="sorvi2000@gmail.com"/>
    <x v="5"/>
    <n v="80"/>
    <n v="150"/>
    <n v="804"/>
    <n v="120600"/>
    <n v="56280"/>
    <x v="3"/>
    <x v="3"/>
    <x v="9"/>
    <x v="1"/>
    <x v="1"/>
  </r>
  <r>
    <n v="10135"/>
    <s v="Gill"/>
    <s v="gillhell@uk.com"/>
    <x v="6"/>
    <n v="90"/>
    <n v="150"/>
    <n v="890"/>
    <n v="133500"/>
    <n v="53400"/>
    <x v="4"/>
    <x v="4"/>
    <x v="10"/>
    <x v="2"/>
    <x v="1"/>
  </r>
  <r>
    <n v="10136"/>
    <s v="Sorvino"/>
    <s v="sorvi2000@gmail.com"/>
    <x v="0"/>
    <n v="150"/>
    <n v="200"/>
    <n v="870"/>
    <n v="174000"/>
    <n v="43500"/>
    <x v="0"/>
    <x v="5"/>
    <x v="11"/>
    <x v="2"/>
    <x v="0"/>
  </r>
  <r>
    <n v="10137"/>
    <s v="Thompson"/>
    <s v="thomp@uk.com"/>
    <x v="1"/>
    <n v="250"/>
    <n v="500"/>
    <n v="821"/>
    <n v="410500"/>
    <n v="205250"/>
    <x v="1"/>
    <x v="0"/>
    <x v="0"/>
    <x v="2"/>
    <x v="0"/>
  </r>
  <r>
    <n v="10138"/>
    <s v="Andrews"/>
    <s v="andy@gmail.com"/>
    <x v="2"/>
    <n v="180"/>
    <n v="450"/>
    <n v="950"/>
    <n v="427500"/>
    <n v="256500"/>
    <x v="2"/>
    <x v="1"/>
    <x v="1"/>
    <x v="1"/>
    <x v="1"/>
  </r>
  <r>
    <n v="10139"/>
    <s v="Jardine"/>
    <s v="jard@gmail.com"/>
    <x v="3"/>
    <n v="170"/>
    <n v="250"/>
    <n v="784"/>
    <n v="196000"/>
    <n v="62720"/>
    <x v="3"/>
    <x v="2"/>
    <x v="2"/>
    <x v="0"/>
    <x v="1"/>
  </r>
  <r>
    <n v="10140"/>
    <s v="Jardine"/>
    <s v="jard@gmail.com"/>
    <x v="4"/>
    <n v="150"/>
    <n v="200"/>
    <n v="999"/>
    <n v="199800"/>
    <n v="49950"/>
    <x v="4"/>
    <x v="3"/>
    <x v="3"/>
    <x v="0"/>
    <x v="1"/>
  </r>
  <r>
    <n v="10141"/>
    <s v="Andrews"/>
    <s v="andy@gmail.com"/>
    <x v="5"/>
    <n v="80"/>
    <n v="150"/>
    <n v="894"/>
    <n v="134100"/>
    <n v="62580"/>
    <x v="0"/>
    <x v="4"/>
    <x v="4"/>
    <x v="0"/>
    <x v="0"/>
  </r>
  <r>
    <n v="10142"/>
    <s v="Jardine"/>
    <s v="jard@gmail.com"/>
    <x v="6"/>
    <n v="90"/>
    <n v="150"/>
    <n v="827"/>
    <n v="124050"/>
    <n v="49620"/>
    <x v="1"/>
    <x v="5"/>
    <x v="5"/>
    <x v="2"/>
    <x v="0"/>
  </r>
  <r>
    <n v="10143"/>
    <s v="Gill"/>
    <s v="gillhell@uk.com"/>
    <x v="0"/>
    <n v="150"/>
    <n v="200"/>
    <n v="779"/>
    <n v="155800"/>
    <n v="38950"/>
    <x v="2"/>
    <x v="0"/>
    <x v="6"/>
    <x v="1"/>
    <x v="1"/>
  </r>
  <r>
    <n v="10144"/>
    <s v="Sorvino"/>
    <s v="sorvi2000@gmail.com"/>
    <x v="1"/>
    <n v="250"/>
    <n v="500"/>
    <n v="835"/>
    <n v="417500"/>
    <n v="208750"/>
    <x v="3"/>
    <x v="1"/>
    <x v="7"/>
    <x v="2"/>
    <x v="1"/>
  </r>
  <r>
    <n v="10145"/>
    <s v="Jones"/>
    <s v="jone.ai@yahoo.com"/>
    <x v="2"/>
    <n v="180"/>
    <n v="450"/>
    <n v="801"/>
    <n v="360450"/>
    <n v="216270"/>
    <x v="4"/>
    <x v="2"/>
    <x v="8"/>
    <x v="1"/>
    <x v="1"/>
  </r>
  <r>
    <n v="10146"/>
    <s v="Andrews"/>
    <s v="andy@gmail.com"/>
    <x v="3"/>
    <n v="170"/>
    <n v="250"/>
    <n v="710"/>
    <n v="177500"/>
    <n v="56800"/>
    <x v="0"/>
    <x v="3"/>
    <x v="9"/>
    <x v="2"/>
    <x v="0"/>
  </r>
  <r>
    <n v="10147"/>
    <s v="Jardine"/>
    <s v="jard@gmail.com"/>
    <x v="4"/>
    <n v="150"/>
    <n v="200"/>
    <n v="952"/>
    <n v="190400"/>
    <n v="47600"/>
    <x v="1"/>
    <x v="4"/>
    <x v="10"/>
    <x v="2"/>
    <x v="0"/>
  </r>
  <r>
    <n v="10148"/>
    <s v="Thompson"/>
    <s v="thomp@uk.com"/>
    <x v="5"/>
    <n v="80"/>
    <n v="150"/>
    <n v="891"/>
    <n v="133650"/>
    <n v="62370"/>
    <x v="2"/>
    <x v="5"/>
    <x v="11"/>
    <x v="2"/>
    <x v="1"/>
  </r>
  <r>
    <n v="10149"/>
    <s v="Jones"/>
    <s v="jone.ai@yahoo.com"/>
    <x v="6"/>
    <n v="90"/>
    <n v="150"/>
    <n v="781"/>
    <n v="117150"/>
    <n v="46860"/>
    <x v="3"/>
    <x v="0"/>
    <x v="0"/>
    <x v="1"/>
    <x v="1"/>
  </r>
  <r>
    <n v="10150"/>
    <s v="Morgan"/>
    <s v="morganny@gmail.com"/>
    <x v="0"/>
    <n v="150"/>
    <n v="200"/>
    <n v="845"/>
    <n v="169000"/>
    <n v="42250"/>
    <x v="4"/>
    <x v="1"/>
    <x v="1"/>
    <x v="0"/>
    <x v="1"/>
  </r>
  <r>
    <n v="10151"/>
    <s v="Howard"/>
    <s v="howard_freeman@yahoo.com"/>
    <x v="1"/>
    <n v="250"/>
    <n v="500"/>
    <n v="719"/>
    <n v="359500"/>
    <n v="179750"/>
    <x v="0"/>
    <x v="2"/>
    <x v="2"/>
    <x v="1"/>
    <x v="0"/>
  </r>
  <r>
    <n v="10152"/>
    <s v="Parent"/>
    <s v="parentty@uk.com"/>
    <x v="2"/>
    <n v="180"/>
    <n v="450"/>
    <n v="878"/>
    <n v="395100"/>
    <n v="237060"/>
    <x v="1"/>
    <x v="3"/>
    <x v="3"/>
    <x v="0"/>
    <x v="0"/>
  </r>
  <r>
    <n v="10153"/>
    <s v="Jones"/>
    <s v="jone.ai@yahoo.com"/>
    <x v="3"/>
    <n v="170"/>
    <n v="250"/>
    <n v="832"/>
    <n v="208000"/>
    <n v="66560"/>
    <x v="2"/>
    <x v="4"/>
    <x v="4"/>
    <x v="1"/>
    <x v="1"/>
  </r>
  <r>
    <n v="10154"/>
    <s v="Smith"/>
    <s v="smithMan@yahoo.com"/>
    <x v="4"/>
    <n v="150"/>
    <n v="200"/>
    <n v="766"/>
    <n v="153200"/>
    <n v="38300"/>
    <x v="3"/>
    <x v="5"/>
    <x v="5"/>
    <x v="2"/>
    <x v="1"/>
  </r>
  <r>
    <n v="10155"/>
    <s v="Jones"/>
    <s v="jone.ai@yahoo.com"/>
    <x v="5"/>
    <n v="80"/>
    <n v="150"/>
    <n v="726"/>
    <n v="108900"/>
    <n v="50820"/>
    <x v="4"/>
    <x v="0"/>
    <x v="6"/>
    <x v="1"/>
    <x v="1"/>
  </r>
  <r>
    <n v="10156"/>
    <s v="Morgan"/>
    <s v="morganny@gmail.com"/>
    <x v="6"/>
    <n v="90"/>
    <n v="150"/>
    <n v="962"/>
    <n v="144300"/>
    <n v="57720"/>
    <x v="0"/>
    <x v="1"/>
    <x v="7"/>
    <x v="2"/>
    <x v="0"/>
  </r>
  <r>
    <n v="10157"/>
    <s v="Jones"/>
    <s v="jone.ai@yahoo.com"/>
    <x v="0"/>
    <n v="150"/>
    <n v="200"/>
    <n v="920"/>
    <n v="184000"/>
    <n v="46000"/>
    <x v="1"/>
    <x v="2"/>
    <x v="8"/>
    <x v="1"/>
    <x v="0"/>
  </r>
  <r>
    <n v="10158"/>
    <s v="Parent"/>
    <s v="parentty@uk.com"/>
    <x v="1"/>
    <n v="250"/>
    <n v="500"/>
    <n v="776"/>
    <n v="388000"/>
    <n v="194000"/>
    <x v="2"/>
    <x v="3"/>
    <x v="9"/>
    <x v="2"/>
    <x v="1"/>
  </r>
  <r>
    <n v="10159"/>
    <s v="Kivell"/>
    <s v="kivel_go@yahoo.com"/>
    <x v="2"/>
    <n v="180"/>
    <n v="450"/>
    <n v="872"/>
    <n v="392400"/>
    <n v="235440"/>
    <x v="3"/>
    <x v="4"/>
    <x v="10"/>
    <x v="1"/>
    <x v="1"/>
  </r>
  <r>
    <n v="10160"/>
    <s v="Smith"/>
    <s v="smithMan@yahoo.com"/>
    <x v="3"/>
    <n v="170"/>
    <n v="250"/>
    <n v="831"/>
    <n v="207750"/>
    <n v="66480"/>
    <x v="4"/>
    <x v="5"/>
    <x v="11"/>
    <x v="2"/>
    <x v="1"/>
  </r>
  <r>
    <n v="10161"/>
    <s v="Parent"/>
    <s v="parentty@uk.com"/>
    <x v="4"/>
    <n v="150"/>
    <n v="200"/>
    <n v="847"/>
    <n v="169400"/>
    <n v="42350"/>
    <x v="0"/>
    <x v="0"/>
    <x v="0"/>
    <x v="0"/>
    <x v="0"/>
  </r>
  <r>
    <n v="10162"/>
    <s v="Gill"/>
    <s v="gillhell@uk.com"/>
    <x v="5"/>
    <n v="80"/>
    <n v="150"/>
    <n v="931"/>
    <n v="139650"/>
    <n v="65170"/>
    <x v="1"/>
    <x v="1"/>
    <x v="1"/>
    <x v="1"/>
    <x v="0"/>
  </r>
  <r>
    <n v="10163"/>
    <s v="Smith"/>
    <s v="smithMan@yahoo.com"/>
    <x v="6"/>
    <n v="90"/>
    <n v="150"/>
    <n v="768"/>
    <n v="115200"/>
    <n v="46080"/>
    <x v="2"/>
    <x v="2"/>
    <x v="2"/>
    <x v="2"/>
    <x v="1"/>
  </r>
  <r>
    <n v="10164"/>
    <s v="Jones"/>
    <s v="jone.ai@yahoo.com"/>
    <x v="0"/>
    <n v="150"/>
    <n v="200"/>
    <n v="736"/>
    <n v="147200"/>
    <n v="36800"/>
    <x v="3"/>
    <x v="3"/>
    <x v="3"/>
    <x v="2"/>
    <x v="1"/>
  </r>
  <r>
    <n v="10165"/>
    <s v="Sorvino"/>
    <s v="sorvi2000@gmail.com"/>
    <x v="1"/>
    <n v="250"/>
    <n v="500"/>
    <n v="780"/>
    <n v="390000"/>
    <n v="195000"/>
    <x v="4"/>
    <x v="4"/>
    <x v="4"/>
    <x v="0"/>
    <x v="1"/>
  </r>
  <r>
    <n v="10166"/>
    <s v="Jardine"/>
    <s v="jard@gmail.com"/>
    <x v="2"/>
    <n v="180"/>
    <n v="450"/>
    <n v="918"/>
    <n v="413100"/>
    <n v="247860"/>
    <x v="0"/>
    <x v="5"/>
    <x v="5"/>
    <x v="2"/>
    <x v="0"/>
  </r>
  <r>
    <n v="10167"/>
    <s v="Andrews"/>
    <s v="andy@gmail.com"/>
    <x v="3"/>
    <n v="170"/>
    <n v="250"/>
    <n v="769"/>
    <n v="192250"/>
    <n v="61520"/>
    <x v="1"/>
    <x v="0"/>
    <x v="6"/>
    <x v="0"/>
    <x v="0"/>
  </r>
  <r>
    <n v="10168"/>
    <s v="Howard"/>
    <s v="howard_freeman@yahoo.com"/>
    <x v="4"/>
    <n v="150"/>
    <n v="200"/>
    <n v="712"/>
    <n v="142400"/>
    <n v="35600"/>
    <x v="2"/>
    <x v="1"/>
    <x v="7"/>
    <x v="0"/>
    <x v="1"/>
  </r>
  <r>
    <n v="10169"/>
    <s v="Gill"/>
    <s v="gillhell@uk.com"/>
    <x v="5"/>
    <n v="80"/>
    <n v="150"/>
    <n v="768"/>
    <n v="115200"/>
    <n v="53760"/>
    <x v="3"/>
    <x v="2"/>
    <x v="8"/>
    <x v="2"/>
    <x v="1"/>
  </r>
  <r>
    <n v="10170"/>
    <s v="Gill"/>
    <s v="gillhell@uk.com"/>
    <x v="6"/>
    <n v="90"/>
    <n v="150"/>
    <n v="940"/>
    <n v="141000"/>
    <n v="56400"/>
    <x v="4"/>
    <x v="3"/>
    <x v="9"/>
    <x v="1"/>
    <x v="1"/>
  </r>
  <r>
    <n v="10171"/>
    <s v="Kivell"/>
    <s v="kivel_go@yahoo.com"/>
    <x v="0"/>
    <n v="150"/>
    <n v="200"/>
    <n v="948"/>
    <n v="189600"/>
    <n v="47400"/>
    <x v="0"/>
    <x v="4"/>
    <x v="10"/>
    <x v="1"/>
    <x v="0"/>
  </r>
  <r>
    <n v="10172"/>
    <s v="Jones"/>
    <s v="jone.ai@yahoo.com"/>
    <x v="1"/>
    <n v="250"/>
    <n v="500"/>
    <n v="869"/>
    <n v="434500"/>
    <n v="217250"/>
    <x v="1"/>
    <x v="5"/>
    <x v="11"/>
    <x v="1"/>
    <x v="0"/>
  </r>
  <r>
    <n v="10173"/>
    <s v="Morgan"/>
    <s v="morganny@gmail.com"/>
    <x v="2"/>
    <n v="180"/>
    <n v="450"/>
    <n v="727"/>
    <n v="327150"/>
    <n v="196290"/>
    <x v="2"/>
    <x v="0"/>
    <x v="0"/>
    <x v="0"/>
    <x v="1"/>
  </r>
  <r>
    <n v="10174"/>
    <s v="Kivell"/>
    <s v="kivel_go@yahoo.com"/>
    <x v="3"/>
    <n v="170"/>
    <n v="250"/>
    <n v="833"/>
    <n v="208250"/>
    <n v="66640"/>
    <x v="3"/>
    <x v="1"/>
    <x v="1"/>
    <x v="1"/>
    <x v="1"/>
  </r>
  <r>
    <n v="10175"/>
    <s v="Sorvino"/>
    <s v="sorvi2000@gmail.com"/>
    <x v="4"/>
    <n v="150"/>
    <n v="200"/>
    <n v="974"/>
    <n v="194800"/>
    <n v="48700"/>
    <x v="4"/>
    <x v="2"/>
    <x v="2"/>
    <x v="1"/>
    <x v="1"/>
  </r>
  <r>
    <n v="10176"/>
    <s v="Gill"/>
    <s v="gillhell@uk.com"/>
    <x v="5"/>
    <n v="80"/>
    <n v="150"/>
    <n v="713"/>
    <n v="106950"/>
    <n v="49910"/>
    <x v="0"/>
    <x v="3"/>
    <x v="3"/>
    <x v="2"/>
    <x v="0"/>
  </r>
  <r>
    <n v="10177"/>
    <s v="Sorvino"/>
    <s v="sorvi2000@gmail.com"/>
    <x v="6"/>
    <n v="90"/>
    <n v="150"/>
    <n v="729"/>
    <n v="109350"/>
    <n v="43740"/>
    <x v="1"/>
    <x v="4"/>
    <x v="4"/>
    <x v="2"/>
    <x v="0"/>
  </r>
  <r>
    <n v="10178"/>
    <s v="Thompson"/>
    <s v="thomp@uk.com"/>
    <x v="0"/>
    <n v="150"/>
    <n v="200"/>
    <n v="946"/>
    <n v="189200"/>
    <n v="47300"/>
    <x v="2"/>
    <x v="5"/>
    <x v="5"/>
    <x v="0"/>
    <x v="1"/>
  </r>
  <r>
    <n v="10179"/>
    <s v="Andrews"/>
    <s v="andy@gmail.com"/>
    <x v="1"/>
    <n v="250"/>
    <n v="500"/>
    <n v="739"/>
    <n v="369500"/>
    <n v="184750"/>
    <x v="3"/>
    <x v="0"/>
    <x v="6"/>
    <x v="2"/>
    <x v="1"/>
  </r>
  <r>
    <n v="10180"/>
    <s v="Jardine"/>
    <s v="jard@gmail.com"/>
    <x v="2"/>
    <n v="180"/>
    <n v="450"/>
    <n v="795"/>
    <n v="357750"/>
    <n v="214650"/>
    <x v="4"/>
    <x v="1"/>
    <x v="7"/>
    <x v="0"/>
    <x v="1"/>
  </r>
  <r>
    <n v="10181"/>
    <s v="Jardine"/>
    <s v="jard@gmail.com"/>
    <x v="3"/>
    <n v="170"/>
    <n v="250"/>
    <n v="701"/>
    <n v="175250"/>
    <n v="56080"/>
    <x v="0"/>
    <x v="2"/>
    <x v="8"/>
    <x v="1"/>
    <x v="0"/>
  </r>
  <r>
    <n v="10182"/>
    <s v="Andrews"/>
    <s v="andy@gmail.com"/>
    <x v="4"/>
    <n v="150"/>
    <n v="200"/>
    <n v="773"/>
    <n v="154600"/>
    <n v="38650"/>
    <x v="1"/>
    <x v="3"/>
    <x v="9"/>
    <x v="0"/>
    <x v="0"/>
  </r>
  <r>
    <n v="10183"/>
    <s v="Jones"/>
    <s v="jone.ai@yahoo.com"/>
    <x v="5"/>
    <n v="80"/>
    <n v="150"/>
    <n v="801"/>
    <n v="120150"/>
    <n v="56070"/>
    <x v="2"/>
    <x v="4"/>
    <x v="10"/>
    <x v="1"/>
    <x v="1"/>
  </r>
  <r>
    <n v="10184"/>
    <s v="Morgan"/>
    <s v="morganny@gmail.com"/>
    <x v="6"/>
    <n v="90"/>
    <n v="150"/>
    <n v="892"/>
    <n v="133800"/>
    <n v="53520"/>
    <x v="3"/>
    <x v="5"/>
    <x v="11"/>
    <x v="2"/>
    <x v="1"/>
  </r>
  <r>
    <n v="10185"/>
    <s v="Kivell"/>
    <s v="kivel_go@yahoo.com"/>
    <x v="0"/>
    <n v="150"/>
    <n v="200"/>
    <n v="739"/>
    <n v="147800"/>
    <n v="36950"/>
    <x v="4"/>
    <x v="0"/>
    <x v="0"/>
    <x v="1"/>
    <x v="1"/>
  </r>
  <r>
    <n v="10186"/>
    <s v="Sorvino"/>
    <s v="sorvi2000@gmail.com"/>
    <x v="1"/>
    <n v="250"/>
    <n v="500"/>
    <n v="704"/>
    <n v="352000"/>
    <n v="176000"/>
    <x v="0"/>
    <x v="1"/>
    <x v="1"/>
    <x v="1"/>
    <x v="0"/>
  </r>
  <r>
    <n v="10187"/>
    <s v="Gill"/>
    <s v="gillhell@uk.com"/>
    <x v="2"/>
    <n v="180"/>
    <n v="450"/>
    <n v="879"/>
    <n v="395550"/>
    <n v="237330"/>
    <x v="1"/>
    <x v="2"/>
    <x v="2"/>
    <x v="1"/>
    <x v="0"/>
  </r>
  <r>
    <n v="10188"/>
    <s v="Sorvino"/>
    <s v="sorvi2000@gmail.com"/>
    <x v="3"/>
    <n v="170"/>
    <n v="250"/>
    <n v="993"/>
    <n v="248250"/>
    <n v="79440"/>
    <x v="2"/>
    <x v="3"/>
    <x v="3"/>
    <x v="2"/>
    <x v="1"/>
  </r>
  <r>
    <n v="10189"/>
    <s v="Thompson"/>
    <s v="thomp@uk.com"/>
    <x v="4"/>
    <n v="150"/>
    <n v="200"/>
    <n v="820"/>
    <n v="164000"/>
    <n v="41000"/>
    <x v="3"/>
    <x v="4"/>
    <x v="4"/>
    <x v="1"/>
    <x v="1"/>
  </r>
  <r>
    <n v="10190"/>
    <s v="Andrews"/>
    <s v="andy@gmail.com"/>
    <x v="5"/>
    <n v="80"/>
    <n v="150"/>
    <n v="869"/>
    <n v="130350"/>
    <n v="60830"/>
    <x v="4"/>
    <x v="5"/>
    <x v="5"/>
    <x v="1"/>
    <x v="1"/>
  </r>
  <r>
    <n v="10191"/>
    <s v="Jardine"/>
    <s v="jard@gmail.com"/>
    <x v="6"/>
    <n v="90"/>
    <n v="150"/>
    <n v="902"/>
    <n v="135300"/>
    <n v="54120"/>
    <x v="0"/>
    <x v="0"/>
    <x v="6"/>
    <x v="0"/>
    <x v="0"/>
  </r>
  <r>
    <n v="10192"/>
    <s v="Jardine"/>
    <s v="jard@gmail.com"/>
    <x v="0"/>
    <n v="150"/>
    <n v="200"/>
    <n v="981"/>
    <n v="196200"/>
    <n v="49050"/>
    <x v="1"/>
    <x v="1"/>
    <x v="7"/>
    <x v="0"/>
    <x v="0"/>
  </r>
  <r>
    <n v="10193"/>
    <s v="Andrews"/>
    <s v="andy@gmail.com"/>
    <x v="1"/>
    <n v="250"/>
    <n v="500"/>
    <n v="722"/>
    <n v="361000"/>
    <n v="180500"/>
    <x v="2"/>
    <x v="2"/>
    <x v="8"/>
    <x v="2"/>
    <x v="1"/>
  </r>
  <r>
    <n v="10194"/>
    <s v="Jardine"/>
    <s v="jard@gmail.com"/>
    <x v="2"/>
    <n v="180"/>
    <n v="450"/>
    <n v="849"/>
    <n v="382050"/>
    <n v="229230"/>
    <x v="3"/>
    <x v="3"/>
    <x v="9"/>
    <x v="2"/>
    <x v="1"/>
  </r>
  <r>
    <n v="10195"/>
    <s v="Gill"/>
    <s v="gillhell@uk.com"/>
    <x v="3"/>
    <n v="170"/>
    <n v="250"/>
    <n v="910"/>
    <n v="227500"/>
    <n v="72800"/>
    <x v="4"/>
    <x v="4"/>
    <x v="10"/>
    <x v="0"/>
    <x v="1"/>
  </r>
  <r>
    <n v="10196"/>
    <s v="Sorvino"/>
    <s v="sorvi2000@gmail.com"/>
    <x v="4"/>
    <n v="150"/>
    <n v="200"/>
    <n v="959"/>
    <n v="191800"/>
    <n v="47950"/>
    <x v="0"/>
    <x v="5"/>
    <x v="11"/>
    <x v="1"/>
    <x v="0"/>
  </r>
  <r>
    <n v="10197"/>
    <s v="Jones"/>
    <s v="jone.ai@yahoo.com"/>
    <x v="5"/>
    <n v="80"/>
    <n v="150"/>
    <n v="896"/>
    <n v="134400"/>
    <n v="62720"/>
    <x v="1"/>
    <x v="0"/>
    <x v="0"/>
    <x v="0"/>
    <x v="0"/>
  </r>
  <r>
    <n v="10198"/>
    <s v="Andrews"/>
    <s v="andy@gmail.com"/>
    <x v="6"/>
    <n v="90"/>
    <n v="150"/>
    <n v="856"/>
    <n v="128400"/>
    <n v="51360"/>
    <x v="2"/>
    <x v="1"/>
    <x v="1"/>
    <x v="2"/>
    <x v="1"/>
  </r>
  <r>
    <n v="10199"/>
    <s v="Jardine"/>
    <s v="jard@gmail.com"/>
    <x v="0"/>
    <n v="150"/>
    <n v="200"/>
    <n v="817"/>
    <n v="163400"/>
    <n v="40850"/>
    <x v="3"/>
    <x v="2"/>
    <x v="2"/>
    <x v="2"/>
    <x v="1"/>
  </r>
  <r>
    <n v="10200"/>
    <s v="Thompson"/>
    <s v="thomp@uk.com"/>
    <x v="1"/>
    <n v="250"/>
    <n v="500"/>
    <n v="729"/>
    <n v="364500"/>
    <n v="182250"/>
    <x v="4"/>
    <x v="3"/>
    <x v="3"/>
    <x v="2"/>
    <x v="1"/>
  </r>
  <r>
    <n v="10201"/>
    <s v="Jones"/>
    <s v="jone.ai@yahoo.com"/>
    <x v="2"/>
    <n v="180"/>
    <n v="450"/>
    <n v="805"/>
    <n v="362250"/>
    <n v="217350"/>
    <x v="0"/>
    <x v="4"/>
    <x v="4"/>
    <x v="2"/>
    <x v="0"/>
  </r>
  <r>
    <n v="10202"/>
    <s v="Morgan"/>
    <s v="morganny@gmail.com"/>
    <x v="3"/>
    <n v="170"/>
    <n v="250"/>
    <n v="828"/>
    <n v="207000"/>
    <n v="66240"/>
    <x v="1"/>
    <x v="5"/>
    <x v="5"/>
    <x v="0"/>
    <x v="0"/>
  </r>
  <r>
    <n v="10203"/>
    <s v="Howard"/>
    <s v="howard_freeman@yahoo.com"/>
    <x v="4"/>
    <n v="150"/>
    <n v="200"/>
    <n v="990"/>
    <n v="198000"/>
    <n v="49500"/>
    <x v="2"/>
    <x v="0"/>
    <x v="6"/>
    <x v="0"/>
    <x v="1"/>
  </r>
  <r>
    <n v="10204"/>
    <s v="Parent"/>
    <s v="parentty@uk.com"/>
    <x v="5"/>
    <n v="80"/>
    <n v="150"/>
    <n v="831"/>
    <n v="124650"/>
    <n v="58170"/>
    <x v="3"/>
    <x v="1"/>
    <x v="7"/>
    <x v="2"/>
    <x v="1"/>
  </r>
  <r>
    <n v="10205"/>
    <s v="Jones"/>
    <s v="jone.ai@yahoo.com"/>
    <x v="6"/>
    <n v="90"/>
    <n v="150"/>
    <n v="903"/>
    <n v="135450"/>
    <n v="54180"/>
    <x v="4"/>
    <x v="2"/>
    <x v="8"/>
    <x v="0"/>
    <x v="1"/>
  </r>
  <r>
    <n v="10206"/>
    <s v="Smith"/>
    <s v="smithMan@yahoo.com"/>
    <x v="0"/>
    <n v="150"/>
    <n v="200"/>
    <n v="751"/>
    <n v="150200"/>
    <n v="37550"/>
    <x v="0"/>
    <x v="3"/>
    <x v="9"/>
    <x v="2"/>
    <x v="0"/>
  </r>
  <r>
    <n v="10207"/>
    <s v="Jones"/>
    <s v="jone.ai@yahoo.com"/>
    <x v="1"/>
    <n v="250"/>
    <n v="500"/>
    <n v="990"/>
    <n v="495000"/>
    <n v="247500"/>
    <x v="1"/>
    <x v="4"/>
    <x v="10"/>
    <x v="0"/>
    <x v="0"/>
  </r>
  <r>
    <n v="10208"/>
    <s v="Jardine"/>
    <s v="jard@gmail.com"/>
    <x v="2"/>
    <n v="180"/>
    <n v="450"/>
    <n v="878"/>
    <n v="395100"/>
    <n v="237060"/>
    <x v="2"/>
    <x v="5"/>
    <x v="11"/>
    <x v="1"/>
    <x v="1"/>
  </r>
  <r>
    <n v="10209"/>
    <s v="Gill"/>
    <s v="gillhell@uk.com"/>
    <x v="3"/>
    <n v="170"/>
    <n v="250"/>
    <n v="720"/>
    <n v="180000"/>
    <n v="57600"/>
    <x v="3"/>
    <x v="0"/>
    <x v="0"/>
    <x v="2"/>
    <x v="1"/>
  </r>
  <r>
    <n v="10210"/>
    <s v="Sorvino"/>
    <s v="sorvi2000@gmail.com"/>
    <x v="4"/>
    <n v="150"/>
    <n v="200"/>
    <n v="777"/>
    <n v="155400"/>
    <n v="38850"/>
    <x v="4"/>
    <x v="1"/>
    <x v="1"/>
    <x v="2"/>
    <x v="1"/>
  </r>
  <r>
    <n v="10211"/>
    <s v="Jones"/>
    <s v="jone.ai@yahoo.com"/>
    <x v="5"/>
    <n v="80"/>
    <n v="150"/>
    <n v="848"/>
    <n v="127200"/>
    <n v="59360"/>
    <x v="0"/>
    <x v="2"/>
    <x v="2"/>
    <x v="0"/>
    <x v="0"/>
  </r>
  <r>
    <n v="10212"/>
    <s v="Andrews"/>
    <s v="andy@gmail.com"/>
    <x v="6"/>
    <n v="90"/>
    <n v="150"/>
    <n v="874"/>
    <n v="131100"/>
    <n v="52440"/>
    <x v="1"/>
    <x v="3"/>
    <x v="3"/>
    <x v="2"/>
    <x v="0"/>
  </r>
  <r>
    <n v="10213"/>
    <s v="Jardine"/>
    <s v="jard@gmail.com"/>
    <x v="0"/>
    <n v="150"/>
    <n v="200"/>
    <n v="739"/>
    <n v="147800"/>
    <n v="36950"/>
    <x v="2"/>
    <x v="4"/>
    <x v="4"/>
    <x v="2"/>
    <x v="1"/>
  </r>
  <r>
    <n v="10214"/>
    <s v="Thompson"/>
    <s v="thomp@uk.com"/>
    <x v="1"/>
    <n v="250"/>
    <n v="500"/>
    <n v="704"/>
    <n v="352000"/>
    <n v="176000"/>
    <x v="3"/>
    <x v="5"/>
    <x v="5"/>
    <x v="1"/>
    <x v="1"/>
  </r>
  <r>
    <n v="10215"/>
    <s v="Jones"/>
    <s v="jone.ai@yahoo.com"/>
    <x v="2"/>
    <n v="180"/>
    <n v="450"/>
    <n v="855"/>
    <n v="384750"/>
    <n v="230850"/>
    <x v="4"/>
    <x v="0"/>
    <x v="6"/>
    <x v="0"/>
    <x v="1"/>
  </r>
  <r>
    <n v="10216"/>
    <s v="Morgan"/>
    <s v="morganny@gmail.com"/>
    <x v="3"/>
    <n v="170"/>
    <n v="250"/>
    <n v="971"/>
    <n v="242750"/>
    <n v="77680"/>
    <x v="0"/>
    <x v="1"/>
    <x v="7"/>
    <x v="1"/>
    <x v="0"/>
  </r>
  <r>
    <n v="10217"/>
    <s v="Howard"/>
    <s v="howard_freeman@yahoo.com"/>
    <x v="4"/>
    <n v="150"/>
    <n v="200"/>
    <n v="957"/>
    <n v="191400"/>
    <n v="47850"/>
    <x v="1"/>
    <x v="2"/>
    <x v="8"/>
    <x v="0"/>
    <x v="0"/>
  </r>
  <r>
    <n v="10218"/>
    <s v="Parent"/>
    <s v="parentty@uk.com"/>
    <x v="5"/>
    <n v="80"/>
    <n v="150"/>
    <n v="769"/>
    <n v="115350"/>
    <n v="53830"/>
    <x v="2"/>
    <x v="3"/>
    <x v="9"/>
    <x v="2"/>
    <x v="1"/>
  </r>
  <r>
    <n v="10219"/>
    <s v="Jones"/>
    <s v="jone.ai@yahoo.com"/>
    <x v="6"/>
    <n v="90"/>
    <n v="150"/>
    <n v="710"/>
    <n v="106500"/>
    <n v="42600"/>
    <x v="3"/>
    <x v="4"/>
    <x v="10"/>
    <x v="0"/>
    <x v="1"/>
  </r>
  <r>
    <n v="10220"/>
    <s v="Smith"/>
    <s v="smithMan@yahoo.com"/>
    <x v="0"/>
    <n v="150"/>
    <n v="200"/>
    <n v="917"/>
    <n v="183400"/>
    <n v="45850"/>
    <x v="4"/>
    <x v="5"/>
    <x v="11"/>
    <x v="0"/>
    <x v="1"/>
  </r>
  <r>
    <n v="10221"/>
    <s v="Jones"/>
    <s v="jone.ai@yahoo.com"/>
    <x v="1"/>
    <n v="250"/>
    <n v="500"/>
    <n v="727"/>
    <n v="363500"/>
    <n v="181750"/>
    <x v="0"/>
    <x v="0"/>
    <x v="0"/>
    <x v="2"/>
    <x v="0"/>
  </r>
  <r>
    <n v="10222"/>
    <s v="Morgan"/>
    <s v="morganny@gmail.com"/>
    <x v="2"/>
    <n v="180"/>
    <n v="450"/>
    <n v="768"/>
    <n v="345600"/>
    <n v="207360"/>
    <x v="1"/>
    <x v="1"/>
    <x v="1"/>
    <x v="1"/>
    <x v="0"/>
  </r>
  <r>
    <n v="10223"/>
    <s v="Jones"/>
    <s v="jone.ai@yahoo.com"/>
    <x v="3"/>
    <n v="170"/>
    <n v="250"/>
    <n v="870"/>
    <n v="217500"/>
    <n v="69600"/>
    <x v="2"/>
    <x v="2"/>
    <x v="2"/>
    <x v="0"/>
    <x v="1"/>
  </r>
  <r>
    <n v="10224"/>
    <s v="Parent"/>
    <s v="parentty@uk.com"/>
    <x v="4"/>
    <n v="150"/>
    <n v="200"/>
    <n v="914"/>
    <n v="182800"/>
    <n v="45700"/>
    <x v="3"/>
    <x v="3"/>
    <x v="3"/>
    <x v="0"/>
    <x v="1"/>
  </r>
  <r>
    <n v="10225"/>
    <s v="Kivell"/>
    <s v="kivel_go@yahoo.com"/>
    <x v="5"/>
    <n v="80"/>
    <n v="150"/>
    <n v="763"/>
    <n v="114450"/>
    <n v="53410"/>
    <x v="4"/>
    <x v="4"/>
    <x v="4"/>
    <x v="0"/>
    <x v="1"/>
  </r>
  <r>
    <n v="10226"/>
    <s v="Smith"/>
    <s v="smithMan@yahoo.com"/>
    <x v="6"/>
    <n v="90"/>
    <n v="150"/>
    <n v="951"/>
    <n v="142650"/>
    <n v="57060"/>
    <x v="0"/>
    <x v="5"/>
    <x v="5"/>
    <x v="2"/>
    <x v="0"/>
  </r>
  <r>
    <n v="10227"/>
    <s v="Parent"/>
    <s v="parentty@uk.com"/>
    <x v="0"/>
    <n v="150"/>
    <n v="200"/>
    <n v="810"/>
    <n v="162000"/>
    <n v="40500"/>
    <x v="1"/>
    <x v="0"/>
    <x v="6"/>
    <x v="1"/>
    <x v="0"/>
  </r>
  <r>
    <n v="10228"/>
    <s v="Gill"/>
    <s v="gillhell@uk.com"/>
    <x v="1"/>
    <n v="250"/>
    <n v="500"/>
    <n v="886"/>
    <n v="443000"/>
    <n v="221500"/>
    <x v="2"/>
    <x v="1"/>
    <x v="7"/>
    <x v="0"/>
    <x v="1"/>
  </r>
  <r>
    <n v="10229"/>
    <s v="Smith"/>
    <s v="smithMan@yahoo.com"/>
    <x v="2"/>
    <n v="180"/>
    <n v="450"/>
    <n v="984"/>
    <n v="442800"/>
    <n v="265680"/>
    <x v="3"/>
    <x v="2"/>
    <x v="8"/>
    <x v="1"/>
    <x v="1"/>
  </r>
  <r>
    <n v="10230"/>
    <s v="Jones"/>
    <s v="jone.ai@yahoo.com"/>
    <x v="3"/>
    <n v="170"/>
    <n v="250"/>
    <n v="974"/>
    <n v="243500"/>
    <n v="77920"/>
    <x v="4"/>
    <x v="3"/>
    <x v="9"/>
    <x v="2"/>
    <x v="1"/>
  </r>
  <r>
    <n v="10231"/>
    <s v="Sorvino"/>
    <s v="sorvi2000@gmail.com"/>
    <x v="4"/>
    <n v="150"/>
    <n v="200"/>
    <n v="901"/>
    <n v="180200"/>
    <n v="45050"/>
    <x v="0"/>
    <x v="4"/>
    <x v="10"/>
    <x v="0"/>
    <x v="0"/>
  </r>
  <r>
    <n v="10232"/>
    <s v="Jardine"/>
    <s v="jard@gmail.com"/>
    <x v="5"/>
    <n v="80"/>
    <n v="150"/>
    <n v="934"/>
    <n v="140100"/>
    <n v="65380"/>
    <x v="1"/>
    <x v="5"/>
    <x v="11"/>
    <x v="0"/>
    <x v="0"/>
  </r>
  <r>
    <n v="10233"/>
    <s v="Andrews"/>
    <s v="andy@gmail.com"/>
    <x v="6"/>
    <n v="90"/>
    <n v="150"/>
    <n v="832"/>
    <n v="124800"/>
    <n v="49920"/>
    <x v="2"/>
    <x v="0"/>
    <x v="0"/>
    <x v="2"/>
    <x v="1"/>
  </r>
  <r>
    <n v="10234"/>
    <s v="Howard"/>
    <s v="howard_freeman@yahoo.com"/>
    <x v="0"/>
    <n v="150"/>
    <n v="200"/>
    <n v="840"/>
    <n v="168000"/>
    <n v="42000"/>
    <x v="3"/>
    <x v="1"/>
    <x v="1"/>
    <x v="1"/>
    <x v="1"/>
  </r>
  <r>
    <n v="10235"/>
    <s v="Gill"/>
    <s v="gillhell@uk.com"/>
    <x v="1"/>
    <n v="250"/>
    <n v="500"/>
    <n v="966"/>
    <n v="483000"/>
    <n v="241500"/>
    <x v="4"/>
    <x v="2"/>
    <x v="2"/>
    <x v="2"/>
    <x v="1"/>
  </r>
  <r>
    <n v="10236"/>
    <s v="Gill"/>
    <s v="gillhell@uk.com"/>
    <x v="2"/>
    <n v="180"/>
    <n v="450"/>
    <n v="832"/>
    <n v="374400"/>
    <n v="224640"/>
    <x v="0"/>
    <x v="3"/>
    <x v="3"/>
    <x v="1"/>
    <x v="0"/>
  </r>
  <r>
    <n v="10237"/>
    <s v="Kivell"/>
    <s v="kivel_go@yahoo.com"/>
    <x v="3"/>
    <n v="170"/>
    <n v="250"/>
    <n v="968"/>
    <n v="242000"/>
    <n v="77440"/>
    <x v="1"/>
    <x v="4"/>
    <x v="4"/>
    <x v="0"/>
    <x v="0"/>
  </r>
  <r>
    <n v="10238"/>
    <s v="Jones"/>
    <s v="jone.ai@yahoo.com"/>
    <x v="4"/>
    <n v="150"/>
    <n v="200"/>
    <n v="791"/>
    <n v="158200"/>
    <n v="39550"/>
    <x v="2"/>
    <x v="5"/>
    <x v="5"/>
    <x v="0"/>
    <x v="1"/>
  </r>
  <r>
    <n v="10239"/>
    <s v="Morgan"/>
    <s v="morganny@gmail.com"/>
    <x v="5"/>
    <n v="80"/>
    <n v="150"/>
    <n v="774"/>
    <n v="116100"/>
    <n v="54180"/>
    <x v="3"/>
    <x v="0"/>
    <x v="6"/>
    <x v="1"/>
    <x v="1"/>
  </r>
  <r>
    <n v="10240"/>
    <s v="Kivell"/>
    <s v="kivel_go@yahoo.com"/>
    <x v="6"/>
    <n v="90"/>
    <n v="150"/>
    <n v="992"/>
    <n v="148800"/>
    <n v="59520"/>
    <x v="4"/>
    <x v="1"/>
    <x v="7"/>
    <x v="2"/>
    <x v="1"/>
  </r>
  <r>
    <n v="10241"/>
    <s v="Sorvino"/>
    <s v="sorvi2000@gmail.com"/>
    <x v="0"/>
    <n v="150"/>
    <n v="200"/>
    <n v="881"/>
    <n v="176200"/>
    <n v="44050"/>
    <x v="0"/>
    <x v="2"/>
    <x v="8"/>
    <x v="1"/>
    <x v="0"/>
  </r>
  <r>
    <n v="10242"/>
    <s v="Gill"/>
    <s v="gillhell@uk.com"/>
    <x v="1"/>
    <n v="250"/>
    <n v="500"/>
    <n v="975"/>
    <n v="487500"/>
    <n v="243750"/>
    <x v="1"/>
    <x v="3"/>
    <x v="9"/>
    <x v="2"/>
    <x v="0"/>
  </r>
  <r>
    <n v="10243"/>
    <s v="Sorvino"/>
    <s v="sorvi2000@gmail.com"/>
    <x v="2"/>
    <n v="180"/>
    <n v="450"/>
    <n v="733"/>
    <n v="329850"/>
    <n v="197910"/>
    <x v="2"/>
    <x v="4"/>
    <x v="10"/>
    <x v="1"/>
    <x v="1"/>
  </r>
  <r>
    <n v="10244"/>
    <s v="Thompson"/>
    <s v="thomp@uk.com"/>
    <x v="3"/>
    <n v="170"/>
    <n v="250"/>
    <n v="776"/>
    <n v="194000"/>
    <n v="62080"/>
    <x v="3"/>
    <x v="5"/>
    <x v="11"/>
    <x v="2"/>
    <x v="1"/>
  </r>
  <r>
    <n v="10245"/>
    <s v="Andrews"/>
    <s v="andy@gmail.com"/>
    <x v="4"/>
    <n v="150"/>
    <n v="200"/>
    <n v="924"/>
    <n v="184800"/>
    <n v="46200"/>
    <x v="4"/>
    <x v="0"/>
    <x v="0"/>
    <x v="0"/>
    <x v="1"/>
  </r>
  <r>
    <n v="10246"/>
    <s v="Jardine"/>
    <s v="jard@gmail.com"/>
    <x v="5"/>
    <n v="80"/>
    <n v="150"/>
    <n v="744"/>
    <n v="111600"/>
    <n v="52080"/>
    <x v="0"/>
    <x v="1"/>
    <x v="1"/>
    <x v="0"/>
    <x v="0"/>
  </r>
  <r>
    <n v="10247"/>
    <s v="Jardine"/>
    <s v="jard@gmail.com"/>
    <x v="6"/>
    <n v="90"/>
    <n v="150"/>
    <n v="754"/>
    <n v="113100"/>
    <n v="45240"/>
    <x v="1"/>
    <x v="2"/>
    <x v="2"/>
    <x v="0"/>
    <x v="0"/>
  </r>
  <r>
    <n v="10248"/>
    <s v="Andrews"/>
    <s v="andy@gmail.com"/>
    <x v="0"/>
    <n v="150"/>
    <n v="200"/>
    <n v="792"/>
    <n v="158400"/>
    <n v="39600"/>
    <x v="2"/>
    <x v="3"/>
    <x v="3"/>
    <x v="0"/>
    <x v="1"/>
  </r>
  <r>
    <n v="10249"/>
    <s v="Jardine"/>
    <s v="jard@gmail.com"/>
    <x v="1"/>
    <n v="250"/>
    <n v="500"/>
    <n v="838"/>
    <n v="419000"/>
    <n v="209500"/>
    <x v="3"/>
    <x v="4"/>
    <x v="4"/>
    <x v="2"/>
    <x v="1"/>
  </r>
  <r>
    <n v="10250"/>
    <s v="Gill"/>
    <s v="gillhell@uk.com"/>
    <x v="2"/>
    <n v="180"/>
    <n v="450"/>
    <n v="963"/>
    <n v="433350"/>
    <n v="260010"/>
    <x v="4"/>
    <x v="5"/>
    <x v="5"/>
    <x v="2"/>
    <x v="1"/>
  </r>
  <r>
    <n v="10251"/>
    <s v="Sorvino"/>
    <s v="sorvi2000@gmail.com"/>
    <x v="3"/>
    <n v="170"/>
    <n v="250"/>
    <n v="995"/>
    <n v="248750"/>
    <n v="79600"/>
    <x v="0"/>
    <x v="0"/>
    <x v="6"/>
    <x v="2"/>
    <x v="0"/>
  </r>
  <r>
    <n v="10252"/>
    <s v="Jones"/>
    <s v="jone.ai@yahoo.com"/>
    <x v="4"/>
    <n v="150"/>
    <n v="200"/>
    <n v="941"/>
    <n v="188200"/>
    <n v="47050"/>
    <x v="1"/>
    <x v="1"/>
    <x v="7"/>
    <x v="2"/>
    <x v="0"/>
  </r>
  <r>
    <n v="10253"/>
    <s v="Andrews"/>
    <s v="andy@gmail.com"/>
    <x v="5"/>
    <n v="80"/>
    <n v="150"/>
    <n v="930"/>
    <n v="139500"/>
    <n v="65100"/>
    <x v="2"/>
    <x v="2"/>
    <x v="8"/>
    <x v="1"/>
    <x v="1"/>
  </r>
  <r>
    <n v="10254"/>
    <s v="Jardine"/>
    <s v="jard@gmail.com"/>
    <x v="6"/>
    <n v="90"/>
    <n v="150"/>
    <n v="780"/>
    <n v="117000"/>
    <n v="46800"/>
    <x v="3"/>
    <x v="3"/>
    <x v="9"/>
    <x v="0"/>
    <x v="1"/>
  </r>
  <r>
    <n v="10255"/>
    <s v="Thompson"/>
    <s v="thomp@uk.com"/>
    <x v="0"/>
    <n v="150"/>
    <n v="200"/>
    <n v="729"/>
    <n v="145800"/>
    <n v="36450"/>
    <x v="4"/>
    <x v="4"/>
    <x v="10"/>
    <x v="0"/>
    <x v="1"/>
  </r>
  <r>
    <n v="10256"/>
    <s v="Jones"/>
    <s v="jone.ai@yahoo.com"/>
    <x v="1"/>
    <n v="250"/>
    <n v="500"/>
    <n v="909"/>
    <n v="454500"/>
    <n v="227250"/>
    <x v="0"/>
    <x v="5"/>
    <x v="11"/>
    <x v="0"/>
    <x v="0"/>
  </r>
  <r>
    <n v="10257"/>
    <s v="Morgan"/>
    <s v="morganny@gmail.com"/>
    <x v="2"/>
    <n v="180"/>
    <n v="450"/>
    <n v="961"/>
    <n v="432450"/>
    <n v="259470"/>
    <x v="1"/>
    <x v="0"/>
    <x v="0"/>
    <x v="1"/>
    <x v="0"/>
  </r>
  <r>
    <n v="10258"/>
    <s v="Howard"/>
    <s v="howard_freeman@yahoo.com"/>
    <x v="3"/>
    <n v="170"/>
    <n v="250"/>
    <n v="729"/>
    <n v="182250"/>
    <n v="58320"/>
    <x v="2"/>
    <x v="1"/>
    <x v="1"/>
    <x v="1"/>
    <x v="1"/>
  </r>
  <r>
    <n v="10259"/>
    <s v="Parent"/>
    <s v="parentty@uk.com"/>
    <x v="4"/>
    <n v="150"/>
    <n v="200"/>
    <n v="944"/>
    <n v="188800"/>
    <n v="47200"/>
    <x v="3"/>
    <x v="2"/>
    <x v="2"/>
    <x v="0"/>
    <x v="1"/>
  </r>
  <r>
    <n v="10260"/>
    <s v="Jones"/>
    <s v="jone.ai@yahoo.com"/>
    <x v="5"/>
    <n v="80"/>
    <n v="150"/>
    <n v="981"/>
    <n v="147150"/>
    <n v="68670"/>
    <x v="4"/>
    <x v="3"/>
    <x v="3"/>
    <x v="2"/>
    <x v="1"/>
  </r>
  <r>
    <n v="10261"/>
    <s v="Smith"/>
    <s v="smithMan@yahoo.com"/>
    <x v="6"/>
    <n v="90"/>
    <n v="150"/>
    <n v="763"/>
    <n v="114450"/>
    <n v="45780"/>
    <x v="0"/>
    <x v="4"/>
    <x v="4"/>
    <x v="1"/>
    <x v="0"/>
  </r>
  <r>
    <n v="10262"/>
    <s v="Jones"/>
    <s v="jone.ai@yahoo.com"/>
    <x v="0"/>
    <n v="150"/>
    <n v="200"/>
    <n v="885"/>
    <n v="177000"/>
    <n v="44250"/>
    <x v="1"/>
    <x v="5"/>
    <x v="5"/>
    <x v="2"/>
    <x v="0"/>
  </r>
  <r>
    <n v="10263"/>
    <s v="Morgan"/>
    <s v="morganny@gmail.com"/>
    <x v="1"/>
    <n v="250"/>
    <n v="500"/>
    <n v="854"/>
    <n v="427000"/>
    <n v="213500"/>
    <x v="2"/>
    <x v="0"/>
    <x v="6"/>
    <x v="1"/>
    <x v="1"/>
  </r>
  <r>
    <n v="10264"/>
    <s v="Jones"/>
    <s v="jone.ai@yahoo.com"/>
    <x v="2"/>
    <n v="180"/>
    <n v="450"/>
    <n v="727"/>
    <n v="327150"/>
    <n v="196290"/>
    <x v="3"/>
    <x v="1"/>
    <x v="7"/>
    <x v="1"/>
    <x v="1"/>
  </r>
  <r>
    <n v="10265"/>
    <s v="Parent"/>
    <s v="parentty@uk.com"/>
    <x v="3"/>
    <n v="170"/>
    <n v="250"/>
    <n v="991"/>
    <n v="247750"/>
    <n v="79280"/>
    <x v="4"/>
    <x v="2"/>
    <x v="8"/>
    <x v="1"/>
    <x v="1"/>
  </r>
  <r>
    <n v="10266"/>
    <s v="Kivell"/>
    <s v="kivel_go@yahoo.com"/>
    <x v="4"/>
    <n v="150"/>
    <n v="200"/>
    <n v="792"/>
    <n v="158400"/>
    <n v="39600"/>
    <x v="0"/>
    <x v="3"/>
    <x v="9"/>
    <x v="0"/>
    <x v="0"/>
  </r>
  <r>
    <n v="10267"/>
    <s v="Smith"/>
    <s v="smithMan@yahoo.com"/>
    <x v="5"/>
    <n v="80"/>
    <n v="150"/>
    <n v="898"/>
    <n v="134700"/>
    <n v="62860"/>
    <x v="1"/>
    <x v="4"/>
    <x v="10"/>
    <x v="0"/>
    <x v="0"/>
  </r>
  <r>
    <n v="10268"/>
    <s v="Parent"/>
    <s v="parentty@uk.com"/>
    <x v="6"/>
    <n v="90"/>
    <n v="150"/>
    <n v="945"/>
    <n v="141750"/>
    <n v="56700"/>
    <x v="2"/>
    <x v="5"/>
    <x v="11"/>
    <x v="0"/>
    <x v="1"/>
  </r>
  <r>
    <n v="10269"/>
    <s v="Gill"/>
    <s v="gillhell@uk.com"/>
    <x v="0"/>
    <n v="150"/>
    <n v="200"/>
    <n v="814"/>
    <n v="162800"/>
    <n v="40700"/>
    <x v="3"/>
    <x v="0"/>
    <x v="0"/>
    <x v="0"/>
    <x v="1"/>
  </r>
  <r>
    <n v="10270"/>
    <s v="Smith"/>
    <s v="smithMan@yahoo.com"/>
    <x v="1"/>
    <n v="250"/>
    <n v="500"/>
    <n v="863"/>
    <n v="431500"/>
    <n v="215750"/>
    <x v="4"/>
    <x v="1"/>
    <x v="1"/>
    <x v="1"/>
    <x v="1"/>
  </r>
  <r>
    <n v="10271"/>
    <s v="Jones"/>
    <s v="jone.ai@yahoo.com"/>
    <x v="2"/>
    <n v="180"/>
    <n v="450"/>
    <n v="829"/>
    <n v="373050"/>
    <n v="223830"/>
    <x v="0"/>
    <x v="2"/>
    <x v="2"/>
    <x v="0"/>
    <x v="0"/>
  </r>
  <r>
    <n v="10272"/>
    <s v="Sorvino"/>
    <s v="sorvi2000@gmail.com"/>
    <x v="3"/>
    <n v="170"/>
    <n v="250"/>
    <n v="747"/>
    <n v="186750"/>
    <n v="59760"/>
    <x v="1"/>
    <x v="3"/>
    <x v="3"/>
    <x v="2"/>
    <x v="0"/>
  </r>
  <r>
    <n v="10273"/>
    <s v="Jardine"/>
    <s v="jard@gmail.com"/>
    <x v="4"/>
    <n v="150"/>
    <n v="200"/>
    <n v="961"/>
    <n v="192200"/>
    <n v="48050"/>
    <x v="2"/>
    <x v="4"/>
    <x v="4"/>
    <x v="1"/>
    <x v="1"/>
  </r>
  <r>
    <n v="10274"/>
    <s v="Andrews"/>
    <s v="andy@gmail.com"/>
    <x v="5"/>
    <n v="80"/>
    <n v="150"/>
    <n v="803"/>
    <n v="120450"/>
    <n v="56210"/>
    <x v="3"/>
    <x v="5"/>
    <x v="5"/>
    <x v="0"/>
    <x v="1"/>
  </r>
  <r>
    <n v="10275"/>
    <s v="Howard"/>
    <s v="howard_freeman@yahoo.com"/>
    <x v="6"/>
    <n v="90"/>
    <n v="150"/>
    <n v="875"/>
    <n v="131250"/>
    <n v="52500"/>
    <x v="4"/>
    <x v="0"/>
    <x v="6"/>
    <x v="2"/>
    <x v="1"/>
  </r>
  <r>
    <n v="10276"/>
    <s v="Gill"/>
    <s v="gillhell@uk.com"/>
    <x v="0"/>
    <n v="150"/>
    <n v="200"/>
    <n v="750"/>
    <n v="150000"/>
    <n v="37500"/>
    <x v="0"/>
    <x v="1"/>
    <x v="7"/>
    <x v="1"/>
    <x v="0"/>
  </r>
  <r>
    <n v="10277"/>
    <s v="Gill"/>
    <s v="gillhell@uk.com"/>
    <x v="1"/>
    <n v="250"/>
    <n v="500"/>
    <n v="850"/>
    <n v="425000"/>
    <n v="212500"/>
    <x v="1"/>
    <x v="2"/>
    <x v="8"/>
    <x v="2"/>
    <x v="0"/>
  </r>
  <r>
    <n v="10278"/>
    <s v="Kivell"/>
    <s v="kivel_go@yahoo.com"/>
    <x v="2"/>
    <n v="180"/>
    <n v="450"/>
    <n v="710"/>
    <n v="319500"/>
    <n v="191700"/>
    <x v="2"/>
    <x v="3"/>
    <x v="9"/>
    <x v="1"/>
    <x v="1"/>
  </r>
  <r>
    <n v="10279"/>
    <s v="Jones"/>
    <s v="jone.ai@yahoo.com"/>
    <x v="3"/>
    <n v="170"/>
    <n v="250"/>
    <n v="881"/>
    <n v="220250"/>
    <n v="70480"/>
    <x v="3"/>
    <x v="4"/>
    <x v="10"/>
    <x v="2"/>
    <x v="1"/>
  </r>
  <r>
    <n v="10280"/>
    <s v="Morgan"/>
    <s v="morganny@gmail.com"/>
    <x v="4"/>
    <n v="150"/>
    <n v="200"/>
    <n v="777"/>
    <n v="155400"/>
    <n v="38850"/>
    <x v="4"/>
    <x v="5"/>
    <x v="11"/>
    <x v="1"/>
    <x v="1"/>
  </r>
  <r>
    <n v="10281"/>
    <s v="Kivell"/>
    <s v="kivel_go@yahoo.com"/>
    <x v="5"/>
    <n v="80"/>
    <n v="150"/>
    <n v="708"/>
    <n v="106200"/>
    <n v="49560"/>
    <x v="0"/>
    <x v="0"/>
    <x v="0"/>
    <x v="2"/>
    <x v="0"/>
  </r>
  <r>
    <n v="10282"/>
    <s v="Sorvino"/>
    <s v="sorvi2000@gmail.com"/>
    <x v="6"/>
    <n v="90"/>
    <n v="150"/>
    <n v="996"/>
    <n v="149400"/>
    <n v="59760"/>
    <x v="1"/>
    <x v="1"/>
    <x v="1"/>
    <x v="0"/>
    <x v="0"/>
  </r>
  <r>
    <n v="10283"/>
    <s v="Gill"/>
    <s v="gillhell@uk.com"/>
    <x v="0"/>
    <n v="150"/>
    <n v="200"/>
    <n v="870"/>
    <n v="174000"/>
    <n v="43500"/>
    <x v="2"/>
    <x v="2"/>
    <x v="2"/>
    <x v="0"/>
    <x v="1"/>
  </r>
  <r>
    <n v="10284"/>
    <s v="Sorvino"/>
    <s v="sorvi2000@gmail.com"/>
    <x v="1"/>
    <n v="250"/>
    <n v="500"/>
    <n v="972"/>
    <n v="486000"/>
    <n v="243000"/>
    <x v="3"/>
    <x v="3"/>
    <x v="3"/>
    <x v="0"/>
    <x v="1"/>
  </r>
  <r>
    <n v="10285"/>
    <s v="Thompson"/>
    <s v="thomp@uk.com"/>
    <x v="2"/>
    <n v="180"/>
    <n v="450"/>
    <n v="989"/>
    <n v="445050"/>
    <n v="267030"/>
    <x v="4"/>
    <x v="4"/>
    <x v="4"/>
    <x v="1"/>
    <x v="1"/>
  </r>
  <r>
    <n v="10286"/>
    <s v="Andrews"/>
    <s v="andy@gmail.com"/>
    <x v="3"/>
    <n v="170"/>
    <n v="250"/>
    <n v="936"/>
    <n v="234000"/>
    <n v="74880"/>
    <x v="0"/>
    <x v="5"/>
    <x v="5"/>
    <x v="1"/>
    <x v="0"/>
  </r>
  <r>
    <n v="10287"/>
    <s v="Jardine"/>
    <s v="jard@gmail.com"/>
    <x v="4"/>
    <n v="150"/>
    <n v="200"/>
    <n v="1000"/>
    <n v="200000"/>
    <n v="50000"/>
    <x v="1"/>
    <x v="0"/>
    <x v="6"/>
    <x v="2"/>
    <x v="0"/>
  </r>
  <r>
    <n v="10288"/>
    <s v="Jardine"/>
    <s v="jard@gmail.com"/>
    <x v="5"/>
    <n v="80"/>
    <n v="150"/>
    <n v="947"/>
    <n v="142050"/>
    <n v="66290"/>
    <x v="2"/>
    <x v="1"/>
    <x v="7"/>
    <x v="1"/>
    <x v="1"/>
  </r>
  <r>
    <n v="10289"/>
    <s v="Andrews"/>
    <s v="andy@gmail.com"/>
    <x v="6"/>
    <n v="90"/>
    <n v="150"/>
    <n v="762"/>
    <n v="114300"/>
    <n v="45720"/>
    <x v="3"/>
    <x v="2"/>
    <x v="8"/>
    <x v="0"/>
    <x v="1"/>
  </r>
  <r>
    <n v="10290"/>
    <s v="Jones"/>
    <s v="jone.ai@yahoo.com"/>
    <x v="0"/>
    <n v="150"/>
    <n v="200"/>
    <n v="742"/>
    <n v="148400"/>
    <n v="37100"/>
    <x v="4"/>
    <x v="3"/>
    <x v="9"/>
    <x v="2"/>
    <x v="1"/>
  </r>
  <r>
    <n v="10291"/>
    <s v="Morgan"/>
    <s v="morganny@gmail.com"/>
    <x v="1"/>
    <n v="250"/>
    <n v="500"/>
    <n v="902"/>
    <n v="451000"/>
    <n v="225500"/>
    <x v="0"/>
    <x v="4"/>
    <x v="10"/>
    <x v="0"/>
    <x v="0"/>
  </r>
  <r>
    <n v="10292"/>
    <s v="Kivell"/>
    <s v="kivel_go@yahoo.com"/>
    <x v="2"/>
    <n v="180"/>
    <n v="450"/>
    <n v="840"/>
    <n v="378000"/>
    <n v="226800"/>
    <x v="1"/>
    <x v="5"/>
    <x v="11"/>
    <x v="1"/>
    <x v="0"/>
  </r>
  <r>
    <n v="10293"/>
    <s v="Sorvino"/>
    <s v="sorvi2000@gmail.com"/>
    <x v="3"/>
    <n v="170"/>
    <n v="250"/>
    <n v="773"/>
    <n v="193250"/>
    <n v="61840"/>
    <x v="2"/>
    <x v="0"/>
    <x v="0"/>
    <x v="2"/>
    <x v="1"/>
  </r>
  <r>
    <n v="10294"/>
    <s v="Gill"/>
    <s v="gillhell@uk.com"/>
    <x v="4"/>
    <n v="150"/>
    <n v="200"/>
    <n v="934"/>
    <n v="186800"/>
    <n v="46700"/>
    <x v="3"/>
    <x v="1"/>
    <x v="1"/>
    <x v="1"/>
    <x v="1"/>
  </r>
  <r>
    <n v="10295"/>
    <s v="Sorvino"/>
    <s v="sorvi2000@gmail.com"/>
    <x v="5"/>
    <n v="80"/>
    <n v="150"/>
    <n v="983"/>
    <n v="147450"/>
    <n v="68810"/>
    <x v="4"/>
    <x v="2"/>
    <x v="2"/>
    <x v="2"/>
    <x v="1"/>
  </r>
  <r>
    <n v="10296"/>
    <s v="Thompson"/>
    <s v="thomp@uk.com"/>
    <x v="6"/>
    <n v="90"/>
    <n v="150"/>
    <n v="729"/>
    <n v="109350"/>
    <n v="43740"/>
    <x v="0"/>
    <x v="3"/>
    <x v="3"/>
    <x v="1"/>
    <x v="0"/>
  </r>
  <r>
    <n v="10297"/>
    <s v="Andrews"/>
    <s v="andy@gmail.com"/>
    <x v="0"/>
    <n v="150"/>
    <n v="200"/>
    <n v="786"/>
    <n v="157200"/>
    <n v="39300"/>
    <x v="1"/>
    <x v="4"/>
    <x v="4"/>
    <x v="2"/>
    <x v="0"/>
  </r>
  <r>
    <n v="10298"/>
    <s v="Jardine"/>
    <s v="jard@gmail.com"/>
    <x v="1"/>
    <n v="250"/>
    <n v="500"/>
    <n v="843"/>
    <n v="421500"/>
    <n v="210750"/>
    <x v="2"/>
    <x v="5"/>
    <x v="5"/>
    <x v="1"/>
    <x v="1"/>
  </r>
  <r>
    <n v="10299"/>
    <s v="Jardine"/>
    <s v="jard@gmail.com"/>
    <x v="2"/>
    <n v="180"/>
    <n v="450"/>
    <n v="897"/>
    <n v="403650"/>
    <n v="242190"/>
    <x v="3"/>
    <x v="0"/>
    <x v="6"/>
    <x v="2"/>
    <x v="1"/>
  </r>
  <r>
    <n v="10300"/>
    <s v="Andrews"/>
    <s v="andy@gmail.com"/>
    <x v="3"/>
    <n v="170"/>
    <n v="250"/>
    <n v="733"/>
    <n v="183250"/>
    <n v="58640"/>
    <x v="4"/>
    <x v="1"/>
    <x v="7"/>
    <x v="1"/>
    <x v="1"/>
  </r>
  <r>
    <n v="10301"/>
    <s v="Jardine"/>
    <s v="jard@gmail.com"/>
    <x v="4"/>
    <n v="150"/>
    <n v="200"/>
    <n v="939"/>
    <n v="187800"/>
    <n v="46950"/>
    <x v="0"/>
    <x v="2"/>
    <x v="8"/>
    <x v="0"/>
    <x v="0"/>
  </r>
  <r>
    <n v="10302"/>
    <s v="Gill"/>
    <s v="gillhell@uk.com"/>
    <x v="5"/>
    <n v="80"/>
    <n v="150"/>
    <n v="836"/>
    <n v="125400"/>
    <n v="58520"/>
    <x v="1"/>
    <x v="3"/>
    <x v="9"/>
    <x v="2"/>
    <x v="0"/>
  </r>
  <r>
    <n v="10303"/>
    <s v="Sorvino"/>
    <s v="sorvi2000@gmail.com"/>
    <x v="6"/>
    <n v="90"/>
    <n v="150"/>
    <n v="874"/>
    <n v="131100"/>
    <n v="52440"/>
    <x v="2"/>
    <x v="4"/>
    <x v="10"/>
    <x v="1"/>
    <x v="1"/>
  </r>
  <r>
    <n v="10304"/>
    <s v="Jones"/>
    <s v="jone.ai@yahoo.com"/>
    <x v="0"/>
    <n v="150"/>
    <n v="200"/>
    <n v="764"/>
    <n v="152800"/>
    <n v="38200"/>
    <x v="3"/>
    <x v="5"/>
    <x v="11"/>
    <x v="1"/>
    <x v="1"/>
  </r>
  <r>
    <n v="10305"/>
    <s v="Andrews"/>
    <s v="andy@gmail.com"/>
    <x v="1"/>
    <n v="250"/>
    <n v="500"/>
    <n v="920"/>
    <n v="460000"/>
    <n v="230000"/>
    <x v="4"/>
    <x v="0"/>
    <x v="0"/>
    <x v="0"/>
    <x v="1"/>
  </r>
  <r>
    <n v="10306"/>
    <s v="Jardine"/>
    <s v="jard@gmail.com"/>
    <x v="2"/>
    <n v="180"/>
    <n v="450"/>
    <n v="950"/>
    <n v="427500"/>
    <n v="256500"/>
    <x v="0"/>
    <x v="1"/>
    <x v="1"/>
    <x v="2"/>
    <x v="0"/>
  </r>
  <r>
    <n v="10307"/>
    <s v="Thompson"/>
    <s v="thomp@uk.com"/>
    <x v="3"/>
    <n v="170"/>
    <n v="250"/>
    <n v="841"/>
    <n v="210250"/>
    <n v="67280"/>
    <x v="1"/>
    <x v="2"/>
    <x v="2"/>
    <x v="2"/>
    <x v="0"/>
  </r>
  <r>
    <n v="10308"/>
    <s v="Jones"/>
    <s v="jone.ai@yahoo.com"/>
    <x v="4"/>
    <n v="150"/>
    <n v="200"/>
    <n v="801"/>
    <n v="160200"/>
    <n v="40050"/>
    <x v="2"/>
    <x v="3"/>
    <x v="3"/>
    <x v="2"/>
    <x v="1"/>
  </r>
  <r>
    <n v="10309"/>
    <s v="Morgan"/>
    <s v="morganny@gmail.com"/>
    <x v="5"/>
    <n v="80"/>
    <n v="150"/>
    <n v="867"/>
    <n v="130050"/>
    <n v="60690"/>
    <x v="3"/>
    <x v="4"/>
    <x v="4"/>
    <x v="1"/>
    <x v="1"/>
  </r>
  <r>
    <n v="10310"/>
    <s v="Howard"/>
    <s v="howard_freeman@yahoo.com"/>
    <x v="6"/>
    <n v="90"/>
    <n v="150"/>
    <n v="721"/>
    <n v="108150"/>
    <n v="43260"/>
    <x v="4"/>
    <x v="5"/>
    <x v="5"/>
    <x v="2"/>
    <x v="1"/>
  </r>
  <r>
    <n v="10311"/>
    <s v="Parent"/>
    <s v="parentty@uk.com"/>
    <x v="0"/>
    <n v="150"/>
    <n v="200"/>
    <n v="755"/>
    <n v="151000"/>
    <n v="37750"/>
    <x v="0"/>
    <x v="0"/>
    <x v="6"/>
    <x v="2"/>
    <x v="0"/>
  </r>
  <r>
    <n v="10312"/>
    <s v="Jones"/>
    <s v="jone.ai@yahoo.com"/>
    <x v="1"/>
    <n v="250"/>
    <n v="500"/>
    <n v="937"/>
    <n v="468500"/>
    <n v="234250"/>
    <x v="1"/>
    <x v="1"/>
    <x v="7"/>
    <x v="1"/>
    <x v="0"/>
  </r>
  <r>
    <n v="10313"/>
    <s v="Smith"/>
    <s v="smithMan@yahoo.com"/>
    <x v="2"/>
    <n v="180"/>
    <n v="450"/>
    <n v="865"/>
    <n v="389250"/>
    <n v="233550"/>
    <x v="2"/>
    <x v="2"/>
    <x v="8"/>
    <x v="2"/>
    <x v="1"/>
  </r>
  <r>
    <n v="10314"/>
    <s v="Jones"/>
    <s v="jone.ai@yahoo.com"/>
    <x v="3"/>
    <n v="170"/>
    <n v="250"/>
    <n v="736"/>
    <n v="184000"/>
    <n v="58880"/>
    <x v="3"/>
    <x v="3"/>
    <x v="9"/>
    <x v="1"/>
    <x v="1"/>
  </r>
  <r>
    <n v="10315"/>
    <s v="Jardine"/>
    <s v="jard@gmail.com"/>
    <x v="4"/>
    <n v="150"/>
    <n v="200"/>
    <n v="982"/>
    <n v="196400"/>
    <n v="49100"/>
    <x v="4"/>
    <x v="4"/>
    <x v="10"/>
    <x v="2"/>
    <x v="1"/>
  </r>
  <r>
    <n v="10316"/>
    <s v="Gill"/>
    <s v="gillhell@uk.com"/>
    <x v="5"/>
    <n v="80"/>
    <n v="150"/>
    <n v="850"/>
    <n v="127500"/>
    <n v="59500"/>
    <x v="0"/>
    <x v="5"/>
    <x v="11"/>
    <x v="2"/>
    <x v="0"/>
  </r>
  <r>
    <n v="10317"/>
    <s v="Sorvino"/>
    <s v="sorvi2000@gmail.com"/>
    <x v="6"/>
    <n v="90"/>
    <n v="150"/>
    <n v="754"/>
    <n v="113100"/>
    <n v="45240"/>
    <x v="1"/>
    <x v="0"/>
    <x v="0"/>
    <x v="2"/>
    <x v="0"/>
  </r>
  <r>
    <n v="10318"/>
    <s v="Jones"/>
    <s v="jone.ai@yahoo.com"/>
    <x v="0"/>
    <n v="150"/>
    <n v="200"/>
    <n v="912"/>
    <n v="182400"/>
    <n v="45600"/>
    <x v="2"/>
    <x v="1"/>
    <x v="1"/>
    <x v="1"/>
    <x v="1"/>
  </r>
  <r>
    <n v="10319"/>
    <s v="Andrews"/>
    <s v="andy@gmail.com"/>
    <x v="1"/>
    <n v="250"/>
    <n v="500"/>
    <n v="881"/>
    <n v="440500"/>
    <n v="220250"/>
    <x v="3"/>
    <x v="2"/>
    <x v="2"/>
    <x v="2"/>
    <x v="1"/>
  </r>
  <r>
    <n v="10320"/>
    <s v="Jardine"/>
    <s v="jard@gmail.com"/>
    <x v="2"/>
    <n v="180"/>
    <n v="450"/>
    <n v="818"/>
    <n v="368100"/>
    <n v="220860"/>
    <x v="4"/>
    <x v="3"/>
    <x v="3"/>
    <x v="2"/>
    <x v="1"/>
  </r>
  <r>
    <n v="10321"/>
    <s v="Thompson"/>
    <s v="thomp@uk.com"/>
    <x v="3"/>
    <n v="170"/>
    <n v="250"/>
    <n v="781"/>
    <n v="195250"/>
    <n v="62480"/>
    <x v="0"/>
    <x v="4"/>
    <x v="4"/>
    <x v="2"/>
    <x v="0"/>
  </r>
  <r>
    <n v="10322"/>
    <s v="Jones"/>
    <s v="jone.ai@yahoo.com"/>
    <x v="4"/>
    <n v="150"/>
    <n v="200"/>
    <n v="910"/>
    <n v="182000"/>
    <n v="45500"/>
    <x v="1"/>
    <x v="5"/>
    <x v="5"/>
    <x v="1"/>
    <x v="0"/>
  </r>
  <r>
    <n v="10323"/>
    <s v="Morgan"/>
    <s v="morganny@gmail.com"/>
    <x v="5"/>
    <n v="80"/>
    <n v="150"/>
    <n v="704"/>
    <n v="105600"/>
    <n v="49280"/>
    <x v="2"/>
    <x v="0"/>
    <x v="6"/>
    <x v="0"/>
    <x v="1"/>
  </r>
  <r>
    <n v="10324"/>
    <s v="Howard"/>
    <s v="howard_freeman@yahoo.com"/>
    <x v="6"/>
    <n v="90"/>
    <n v="150"/>
    <n v="824"/>
    <n v="123600"/>
    <n v="49440"/>
    <x v="3"/>
    <x v="1"/>
    <x v="7"/>
    <x v="1"/>
    <x v="1"/>
  </r>
  <r>
    <n v="10325"/>
    <s v="Parent"/>
    <s v="parentty@uk.com"/>
    <x v="0"/>
    <n v="150"/>
    <n v="200"/>
    <n v="710"/>
    <n v="142000"/>
    <n v="35500"/>
    <x v="4"/>
    <x v="2"/>
    <x v="8"/>
    <x v="0"/>
    <x v="1"/>
  </r>
  <r>
    <n v="10326"/>
    <s v="Jones"/>
    <s v="jone.ai@yahoo.com"/>
    <x v="1"/>
    <n v="250"/>
    <n v="500"/>
    <n v="913"/>
    <n v="456500"/>
    <n v="228250"/>
    <x v="0"/>
    <x v="3"/>
    <x v="9"/>
    <x v="1"/>
    <x v="0"/>
  </r>
  <r>
    <n v="10327"/>
    <s v="Smith"/>
    <s v="smithMan@yahoo.com"/>
    <x v="2"/>
    <n v="180"/>
    <n v="450"/>
    <n v="983"/>
    <n v="442350"/>
    <n v="265410"/>
    <x v="1"/>
    <x v="4"/>
    <x v="10"/>
    <x v="1"/>
    <x v="0"/>
  </r>
  <r>
    <n v="10328"/>
    <s v="Jones"/>
    <s v="jone.ai@yahoo.com"/>
    <x v="3"/>
    <n v="170"/>
    <n v="250"/>
    <n v="706"/>
    <n v="176500"/>
    <n v="56480"/>
    <x v="2"/>
    <x v="5"/>
    <x v="11"/>
    <x v="0"/>
    <x v="1"/>
  </r>
  <r>
    <n v="10329"/>
    <s v="Morgan"/>
    <s v="morganny@gmail.com"/>
    <x v="4"/>
    <n v="150"/>
    <n v="200"/>
    <n v="819"/>
    <n v="163800"/>
    <n v="40950"/>
    <x v="3"/>
    <x v="0"/>
    <x v="0"/>
    <x v="1"/>
    <x v="1"/>
  </r>
  <r>
    <n v="10330"/>
    <s v="Jones"/>
    <s v="jone.ai@yahoo.com"/>
    <x v="5"/>
    <n v="80"/>
    <n v="150"/>
    <n v="762"/>
    <n v="114300"/>
    <n v="53340"/>
    <x v="4"/>
    <x v="1"/>
    <x v="1"/>
    <x v="1"/>
    <x v="1"/>
  </r>
  <r>
    <n v="10331"/>
    <s v="Parent"/>
    <s v="parentty@uk.com"/>
    <x v="6"/>
    <n v="90"/>
    <n v="150"/>
    <n v="760"/>
    <n v="114000"/>
    <n v="45600"/>
    <x v="0"/>
    <x v="2"/>
    <x v="2"/>
    <x v="0"/>
    <x v="0"/>
  </r>
  <r>
    <n v="10332"/>
    <s v="Kivell"/>
    <s v="kivel_go@yahoo.com"/>
    <x v="0"/>
    <n v="150"/>
    <n v="200"/>
    <n v="872"/>
    <n v="174400"/>
    <n v="43600"/>
    <x v="1"/>
    <x v="3"/>
    <x v="3"/>
    <x v="0"/>
    <x v="0"/>
  </r>
  <r>
    <n v="10333"/>
    <s v="Smith"/>
    <s v="smithMan@yahoo.com"/>
    <x v="1"/>
    <n v="250"/>
    <n v="500"/>
    <n v="723"/>
    <n v="361500"/>
    <n v="180750"/>
    <x v="2"/>
    <x v="4"/>
    <x v="4"/>
    <x v="0"/>
    <x v="1"/>
  </r>
  <r>
    <n v="10334"/>
    <s v="Parent"/>
    <s v="parentty@uk.com"/>
    <x v="2"/>
    <n v="180"/>
    <n v="450"/>
    <n v="913"/>
    <n v="410850"/>
    <n v="246510"/>
    <x v="3"/>
    <x v="5"/>
    <x v="5"/>
    <x v="0"/>
    <x v="1"/>
  </r>
  <r>
    <n v="10335"/>
    <s v="Gill"/>
    <s v="gillhell@uk.com"/>
    <x v="3"/>
    <n v="170"/>
    <n v="250"/>
    <n v="852"/>
    <n v="213000"/>
    <n v="68160"/>
    <x v="4"/>
    <x v="0"/>
    <x v="6"/>
    <x v="2"/>
    <x v="1"/>
  </r>
  <r>
    <n v="10336"/>
    <s v="Smith"/>
    <s v="smithMan@yahoo.com"/>
    <x v="4"/>
    <n v="150"/>
    <n v="200"/>
    <n v="856"/>
    <n v="171200"/>
    <n v="42800"/>
    <x v="0"/>
    <x v="1"/>
    <x v="7"/>
    <x v="0"/>
    <x v="0"/>
  </r>
  <r>
    <n v="10337"/>
    <s v="Jones"/>
    <s v="jone.ai@yahoo.com"/>
    <x v="5"/>
    <n v="80"/>
    <n v="150"/>
    <n v="827"/>
    <n v="124050"/>
    <n v="57890"/>
    <x v="1"/>
    <x v="2"/>
    <x v="8"/>
    <x v="0"/>
    <x v="0"/>
  </r>
  <r>
    <n v="10338"/>
    <s v="Sorvino"/>
    <s v="sorvi2000@gmail.com"/>
    <x v="6"/>
    <n v="90"/>
    <n v="150"/>
    <n v="735"/>
    <n v="110250"/>
    <n v="44100"/>
    <x v="2"/>
    <x v="3"/>
    <x v="9"/>
    <x v="2"/>
    <x v="1"/>
  </r>
  <r>
    <n v="10339"/>
    <s v="Jardine"/>
    <s v="jard@gmail.com"/>
    <x v="0"/>
    <n v="150"/>
    <n v="200"/>
    <n v="819"/>
    <n v="163800"/>
    <n v="40950"/>
    <x v="3"/>
    <x v="4"/>
    <x v="10"/>
    <x v="0"/>
    <x v="1"/>
  </r>
  <r>
    <n v="10340"/>
    <s v="Andrews"/>
    <s v="andy@gmail.com"/>
    <x v="1"/>
    <n v="250"/>
    <n v="500"/>
    <n v="882"/>
    <n v="441000"/>
    <n v="220500"/>
    <x v="4"/>
    <x v="5"/>
    <x v="11"/>
    <x v="1"/>
    <x v="1"/>
  </r>
  <r>
    <n v="10341"/>
    <s v="Howard"/>
    <s v="howard_freeman@yahoo.com"/>
    <x v="2"/>
    <n v="180"/>
    <n v="450"/>
    <n v="897"/>
    <n v="403650"/>
    <n v="242190"/>
    <x v="0"/>
    <x v="0"/>
    <x v="0"/>
    <x v="2"/>
    <x v="0"/>
  </r>
  <r>
    <n v="10342"/>
    <s v="Gill"/>
    <s v="gillhell@uk.com"/>
    <x v="3"/>
    <n v="170"/>
    <n v="250"/>
    <n v="922"/>
    <n v="230500"/>
    <n v="73760"/>
    <x v="1"/>
    <x v="1"/>
    <x v="1"/>
    <x v="1"/>
    <x v="0"/>
  </r>
  <r>
    <n v="10343"/>
    <s v="Gill"/>
    <s v="gillhell@uk.com"/>
    <x v="4"/>
    <n v="150"/>
    <n v="200"/>
    <n v="838"/>
    <n v="167600"/>
    <n v="41900"/>
    <x v="2"/>
    <x v="2"/>
    <x v="2"/>
    <x v="2"/>
    <x v="1"/>
  </r>
  <r>
    <n v="10344"/>
    <s v="Kivell"/>
    <s v="kivel_go@yahoo.com"/>
    <x v="5"/>
    <n v="80"/>
    <n v="150"/>
    <n v="859"/>
    <n v="128850"/>
    <n v="60130"/>
    <x v="3"/>
    <x v="3"/>
    <x v="3"/>
    <x v="1"/>
    <x v="1"/>
  </r>
  <r>
    <n v="10345"/>
    <s v="Jones"/>
    <s v="jone.ai@yahoo.com"/>
    <x v="6"/>
    <n v="90"/>
    <n v="150"/>
    <n v="950"/>
    <n v="142500"/>
    <n v="57000"/>
    <x v="4"/>
    <x v="4"/>
    <x v="4"/>
    <x v="2"/>
    <x v="1"/>
  </r>
  <r>
    <n v="10346"/>
    <s v="Morgan"/>
    <s v="morganny@gmail.com"/>
    <x v="0"/>
    <n v="150"/>
    <n v="200"/>
    <n v="706"/>
    <n v="141200"/>
    <n v="35300"/>
    <x v="0"/>
    <x v="5"/>
    <x v="5"/>
    <x v="0"/>
    <x v="0"/>
  </r>
  <r>
    <n v="10347"/>
    <s v="Kivell"/>
    <s v="kivel_go@yahoo.com"/>
    <x v="1"/>
    <n v="250"/>
    <n v="500"/>
    <n v="702"/>
    <n v="351000"/>
    <n v="175500"/>
    <x v="1"/>
    <x v="0"/>
    <x v="6"/>
    <x v="1"/>
    <x v="0"/>
  </r>
  <r>
    <n v="10348"/>
    <s v="Sorvino"/>
    <s v="sorvi2000@gmail.com"/>
    <x v="2"/>
    <n v="180"/>
    <n v="450"/>
    <n v="899"/>
    <n v="404550"/>
    <n v="242730"/>
    <x v="2"/>
    <x v="1"/>
    <x v="7"/>
    <x v="0"/>
    <x v="1"/>
  </r>
  <r>
    <n v="10349"/>
    <s v="Gill"/>
    <s v="gillhell@uk.com"/>
    <x v="3"/>
    <n v="170"/>
    <n v="250"/>
    <n v="738"/>
    <n v="184500"/>
    <n v="59040"/>
    <x v="3"/>
    <x v="2"/>
    <x v="8"/>
    <x v="0"/>
    <x v="1"/>
  </r>
  <r>
    <n v="10350"/>
    <s v="Sorvino"/>
    <s v="sorvi2000@gmail.com"/>
    <x v="4"/>
    <n v="150"/>
    <n v="200"/>
    <n v="917"/>
    <n v="183400"/>
    <n v="45850"/>
    <x v="4"/>
    <x v="3"/>
    <x v="9"/>
    <x v="2"/>
    <x v="1"/>
  </r>
  <r>
    <n v="10351"/>
    <s v="Thompson"/>
    <s v="thomp@uk.com"/>
    <x v="5"/>
    <n v="80"/>
    <n v="150"/>
    <n v="783"/>
    <n v="117450"/>
    <n v="54810"/>
    <x v="0"/>
    <x v="4"/>
    <x v="10"/>
    <x v="0"/>
    <x v="0"/>
  </r>
  <r>
    <n v="10352"/>
    <s v="Andrews"/>
    <s v="andy@gmail.com"/>
    <x v="6"/>
    <n v="90"/>
    <n v="150"/>
    <n v="831"/>
    <n v="124650"/>
    <n v="49860"/>
    <x v="1"/>
    <x v="5"/>
    <x v="11"/>
    <x v="0"/>
    <x v="0"/>
  </r>
  <r>
    <n v="10353"/>
    <s v="Jardine"/>
    <s v="jard@gmail.com"/>
    <x v="0"/>
    <n v="150"/>
    <n v="200"/>
    <n v="869"/>
    <n v="173800"/>
    <n v="43450"/>
    <x v="2"/>
    <x v="0"/>
    <x v="0"/>
    <x v="0"/>
    <x v="1"/>
  </r>
  <r>
    <n v="10354"/>
    <s v="Jardine"/>
    <s v="jard@gmail.com"/>
    <x v="1"/>
    <n v="250"/>
    <n v="500"/>
    <n v="750"/>
    <n v="375000"/>
    <n v="187500"/>
    <x v="3"/>
    <x v="1"/>
    <x v="1"/>
    <x v="2"/>
    <x v="1"/>
  </r>
  <r>
    <n v="10355"/>
    <s v="Andrews"/>
    <s v="andy@gmail.com"/>
    <x v="2"/>
    <n v="180"/>
    <n v="450"/>
    <n v="931"/>
    <n v="418950"/>
    <n v="251370"/>
    <x v="4"/>
    <x v="2"/>
    <x v="2"/>
    <x v="0"/>
    <x v="1"/>
  </r>
  <r>
    <n v="10356"/>
    <s v="Jardine"/>
    <s v="jard@gmail.com"/>
    <x v="3"/>
    <n v="170"/>
    <n v="250"/>
    <n v="972"/>
    <n v="243000"/>
    <n v="77760"/>
    <x v="0"/>
    <x v="3"/>
    <x v="3"/>
    <x v="2"/>
    <x v="0"/>
  </r>
  <r>
    <n v="10357"/>
    <s v="Gill"/>
    <s v="gillhell@uk.com"/>
    <x v="4"/>
    <n v="150"/>
    <n v="200"/>
    <n v="985"/>
    <n v="197000"/>
    <n v="49250"/>
    <x v="1"/>
    <x v="4"/>
    <x v="4"/>
    <x v="2"/>
    <x v="0"/>
  </r>
  <r>
    <n v="10358"/>
    <s v="Sorvino"/>
    <s v="sorvi2000@gmail.com"/>
    <x v="5"/>
    <n v="80"/>
    <n v="150"/>
    <n v="826"/>
    <n v="123900"/>
    <n v="57820"/>
    <x v="2"/>
    <x v="5"/>
    <x v="5"/>
    <x v="1"/>
    <x v="1"/>
  </r>
  <r>
    <n v="10359"/>
    <s v="Jones"/>
    <s v="jone.ai@yahoo.com"/>
    <x v="6"/>
    <n v="90"/>
    <n v="150"/>
    <n v="907"/>
    <n v="136050"/>
    <n v="54420"/>
    <x v="3"/>
    <x v="0"/>
    <x v="6"/>
    <x v="1"/>
    <x v="1"/>
  </r>
  <r>
    <n v="10360"/>
    <s v="Andrews"/>
    <s v="andy@gmail.com"/>
    <x v="0"/>
    <n v="150"/>
    <n v="200"/>
    <n v="704"/>
    <n v="140800"/>
    <n v="35200"/>
    <x v="4"/>
    <x v="1"/>
    <x v="7"/>
    <x v="0"/>
    <x v="1"/>
  </r>
  <r>
    <n v="10361"/>
    <s v="Jardine"/>
    <s v="jard@gmail.com"/>
    <x v="1"/>
    <n v="250"/>
    <n v="500"/>
    <n v="719"/>
    <n v="359500"/>
    <n v="179750"/>
    <x v="0"/>
    <x v="2"/>
    <x v="8"/>
    <x v="0"/>
    <x v="0"/>
  </r>
  <r>
    <n v="10362"/>
    <s v="Thompson"/>
    <s v="thomp@uk.com"/>
    <x v="2"/>
    <n v="180"/>
    <n v="450"/>
    <n v="718"/>
    <n v="323100"/>
    <n v="193860"/>
    <x v="1"/>
    <x v="3"/>
    <x v="9"/>
    <x v="1"/>
    <x v="0"/>
  </r>
  <r>
    <n v="10363"/>
    <s v="Jones"/>
    <s v="jone.ai@yahoo.com"/>
    <x v="3"/>
    <n v="170"/>
    <n v="250"/>
    <n v="879"/>
    <n v="219750"/>
    <n v="70320"/>
    <x v="2"/>
    <x v="4"/>
    <x v="10"/>
    <x v="2"/>
    <x v="1"/>
  </r>
  <r>
    <n v="10364"/>
    <s v="Morgan"/>
    <s v="morganny@gmail.com"/>
    <x v="4"/>
    <n v="150"/>
    <n v="200"/>
    <n v="816"/>
    <n v="163200"/>
    <n v="40800"/>
    <x v="3"/>
    <x v="5"/>
    <x v="11"/>
    <x v="2"/>
    <x v="1"/>
  </r>
  <r>
    <n v="10365"/>
    <s v="Howard"/>
    <s v="howard_freeman@yahoo.com"/>
    <x v="5"/>
    <n v="80"/>
    <n v="150"/>
    <n v="803"/>
    <n v="120450"/>
    <n v="56210"/>
    <x v="4"/>
    <x v="0"/>
    <x v="0"/>
    <x v="2"/>
    <x v="1"/>
  </r>
  <r>
    <n v="10366"/>
    <s v="Parent"/>
    <s v="parentty@uk.com"/>
    <x v="6"/>
    <n v="90"/>
    <n v="150"/>
    <n v="744"/>
    <n v="111600"/>
    <n v="44640"/>
    <x v="0"/>
    <x v="1"/>
    <x v="1"/>
    <x v="1"/>
    <x v="0"/>
  </r>
  <r>
    <n v="10367"/>
    <s v="Jones"/>
    <s v="jone.ai@yahoo.com"/>
    <x v="0"/>
    <n v="150"/>
    <n v="200"/>
    <n v="912"/>
    <n v="182400"/>
    <n v="45600"/>
    <x v="1"/>
    <x v="2"/>
    <x v="2"/>
    <x v="2"/>
    <x v="0"/>
  </r>
  <r>
    <n v="10368"/>
    <s v="Smith"/>
    <s v="smithMan@yahoo.com"/>
    <x v="1"/>
    <n v="250"/>
    <n v="500"/>
    <n v="801"/>
    <n v="400500"/>
    <n v="200250"/>
    <x v="2"/>
    <x v="3"/>
    <x v="3"/>
    <x v="1"/>
    <x v="1"/>
  </r>
  <r>
    <n v="10369"/>
    <s v="Jones"/>
    <s v="jone.ai@yahoo.com"/>
    <x v="2"/>
    <n v="180"/>
    <n v="450"/>
    <n v="720"/>
    <n v="324000"/>
    <n v="194400"/>
    <x v="3"/>
    <x v="4"/>
    <x v="4"/>
    <x v="1"/>
    <x v="1"/>
  </r>
  <r>
    <n v="10370"/>
    <s v="Morgan"/>
    <s v="morganny@gmail.com"/>
    <x v="3"/>
    <n v="170"/>
    <n v="250"/>
    <n v="983"/>
    <n v="245750"/>
    <n v="78640"/>
    <x v="4"/>
    <x v="5"/>
    <x v="5"/>
    <x v="0"/>
    <x v="1"/>
  </r>
  <r>
    <n v="10371"/>
    <s v="Jones"/>
    <s v="jone.ai@yahoo.com"/>
    <x v="4"/>
    <n v="150"/>
    <n v="200"/>
    <n v="989"/>
    <n v="197800"/>
    <n v="49450"/>
    <x v="0"/>
    <x v="0"/>
    <x v="6"/>
    <x v="0"/>
    <x v="0"/>
  </r>
  <r>
    <n v="10372"/>
    <s v="Parent"/>
    <s v="parentty@uk.com"/>
    <x v="5"/>
    <n v="80"/>
    <n v="150"/>
    <n v="996"/>
    <n v="149400"/>
    <n v="69720"/>
    <x v="1"/>
    <x v="1"/>
    <x v="7"/>
    <x v="1"/>
    <x v="0"/>
  </r>
  <r>
    <n v="10373"/>
    <s v="Kivell"/>
    <s v="kivel_go@yahoo.com"/>
    <x v="6"/>
    <n v="90"/>
    <n v="150"/>
    <n v="801"/>
    <n v="120150"/>
    <n v="48060"/>
    <x v="2"/>
    <x v="2"/>
    <x v="8"/>
    <x v="2"/>
    <x v="1"/>
  </r>
  <r>
    <n v="10374"/>
    <s v="Smith"/>
    <s v="smithMan@yahoo.com"/>
    <x v="0"/>
    <n v="150"/>
    <n v="200"/>
    <n v="857"/>
    <n v="171400"/>
    <n v="42850"/>
    <x v="3"/>
    <x v="3"/>
    <x v="9"/>
    <x v="0"/>
    <x v="1"/>
  </r>
  <r>
    <n v="10375"/>
    <s v="Parent"/>
    <s v="parentty@uk.com"/>
    <x v="1"/>
    <n v="250"/>
    <n v="500"/>
    <n v="928"/>
    <n v="464000"/>
    <n v="232000"/>
    <x v="4"/>
    <x v="4"/>
    <x v="10"/>
    <x v="1"/>
    <x v="1"/>
  </r>
  <r>
    <n v="10376"/>
    <s v="Gill"/>
    <s v="gillhell@uk.com"/>
    <x v="2"/>
    <n v="180"/>
    <n v="450"/>
    <n v="788"/>
    <n v="354600"/>
    <n v="212760"/>
    <x v="0"/>
    <x v="5"/>
    <x v="11"/>
    <x v="0"/>
    <x v="0"/>
  </r>
  <r>
    <n v="10377"/>
    <s v="Smith"/>
    <s v="smithMan@yahoo.com"/>
    <x v="3"/>
    <n v="170"/>
    <n v="250"/>
    <n v="795"/>
    <n v="198750"/>
    <n v="63600"/>
    <x v="1"/>
    <x v="0"/>
    <x v="0"/>
    <x v="2"/>
    <x v="0"/>
  </r>
  <r>
    <n v="10378"/>
    <s v="Jones"/>
    <s v="jone.ai@yahoo.com"/>
    <x v="4"/>
    <n v="150"/>
    <n v="200"/>
    <n v="865"/>
    <n v="173000"/>
    <n v="43250"/>
    <x v="2"/>
    <x v="1"/>
    <x v="1"/>
    <x v="0"/>
    <x v="1"/>
  </r>
  <r>
    <n v="10379"/>
    <s v="Sorvino"/>
    <s v="sorvi2000@gmail.com"/>
    <x v="5"/>
    <n v="80"/>
    <n v="150"/>
    <n v="798"/>
    <n v="119700"/>
    <n v="55860"/>
    <x v="3"/>
    <x v="2"/>
    <x v="2"/>
    <x v="1"/>
    <x v="1"/>
  </r>
  <r>
    <n v="10380"/>
    <s v="Jardine"/>
    <s v="jard@gmail.com"/>
    <x v="6"/>
    <n v="90"/>
    <n v="150"/>
    <n v="728"/>
    <n v="109200"/>
    <n v="43680"/>
    <x v="4"/>
    <x v="3"/>
    <x v="3"/>
    <x v="1"/>
    <x v="1"/>
  </r>
  <r>
    <n v="10381"/>
    <s v="Andrews"/>
    <s v="andy@gmail.com"/>
    <x v="0"/>
    <n v="150"/>
    <n v="200"/>
    <n v="948"/>
    <n v="189600"/>
    <n v="47400"/>
    <x v="0"/>
    <x v="4"/>
    <x v="4"/>
    <x v="0"/>
    <x v="0"/>
  </r>
  <r>
    <n v="10382"/>
    <s v="Howard"/>
    <s v="howard_freeman@yahoo.com"/>
    <x v="1"/>
    <n v="250"/>
    <n v="500"/>
    <n v="863"/>
    <n v="431500"/>
    <n v="215750"/>
    <x v="1"/>
    <x v="5"/>
    <x v="5"/>
    <x v="2"/>
    <x v="0"/>
  </r>
  <r>
    <n v="10383"/>
    <s v="Gill"/>
    <s v="gillhell@uk.com"/>
    <x v="2"/>
    <n v="180"/>
    <n v="450"/>
    <n v="913"/>
    <n v="410850"/>
    <n v="246510"/>
    <x v="2"/>
    <x v="0"/>
    <x v="6"/>
    <x v="0"/>
    <x v="1"/>
  </r>
  <r>
    <n v="10384"/>
    <s v="Gill"/>
    <s v="gillhell@uk.com"/>
    <x v="3"/>
    <n v="170"/>
    <n v="250"/>
    <n v="711"/>
    <n v="177750"/>
    <n v="56880"/>
    <x v="3"/>
    <x v="1"/>
    <x v="7"/>
    <x v="1"/>
    <x v="1"/>
  </r>
  <r>
    <n v="10385"/>
    <s v="Kivell"/>
    <s v="kivel_go@yahoo.com"/>
    <x v="4"/>
    <n v="150"/>
    <n v="200"/>
    <n v="717"/>
    <n v="143400"/>
    <n v="35850"/>
    <x v="4"/>
    <x v="2"/>
    <x v="8"/>
    <x v="0"/>
    <x v="1"/>
  </r>
  <r>
    <n v="10386"/>
    <s v="Jones"/>
    <s v="jone.ai@yahoo.com"/>
    <x v="5"/>
    <n v="80"/>
    <n v="150"/>
    <n v="862"/>
    <n v="129300"/>
    <n v="60340"/>
    <x v="0"/>
    <x v="3"/>
    <x v="9"/>
    <x v="0"/>
    <x v="0"/>
  </r>
  <r>
    <n v="10387"/>
    <s v="Morgan"/>
    <s v="morganny@gmail.com"/>
    <x v="6"/>
    <n v="90"/>
    <n v="150"/>
    <n v="703"/>
    <n v="105450"/>
    <n v="42180"/>
    <x v="1"/>
    <x v="4"/>
    <x v="10"/>
    <x v="2"/>
    <x v="0"/>
  </r>
  <r>
    <n v="10388"/>
    <s v="Kivell"/>
    <s v="kivel_go@yahoo.com"/>
    <x v="0"/>
    <n v="150"/>
    <n v="200"/>
    <n v="962"/>
    <n v="192400"/>
    <n v="48100"/>
    <x v="2"/>
    <x v="5"/>
    <x v="11"/>
    <x v="1"/>
    <x v="1"/>
  </r>
  <r>
    <n v="10389"/>
    <s v="Sorvino"/>
    <s v="sorvi2000@gmail.com"/>
    <x v="1"/>
    <n v="250"/>
    <n v="500"/>
    <n v="807"/>
    <n v="403500"/>
    <n v="201750"/>
    <x v="3"/>
    <x v="0"/>
    <x v="0"/>
    <x v="0"/>
    <x v="1"/>
  </r>
  <r>
    <n v="10390"/>
    <s v="Gill"/>
    <s v="gillhell@uk.com"/>
    <x v="2"/>
    <n v="180"/>
    <n v="450"/>
    <n v="950"/>
    <n v="427500"/>
    <n v="256500"/>
    <x v="4"/>
    <x v="1"/>
    <x v="1"/>
    <x v="2"/>
    <x v="1"/>
  </r>
  <r>
    <n v="10391"/>
    <s v="Sorvino"/>
    <s v="sorvi2000@gmail.com"/>
    <x v="3"/>
    <n v="170"/>
    <n v="250"/>
    <n v="949"/>
    <n v="237250"/>
    <n v="75920"/>
    <x v="0"/>
    <x v="2"/>
    <x v="2"/>
    <x v="2"/>
    <x v="0"/>
  </r>
  <r>
    <n v="10392"/>
    <s v="Thompson"/>
    <s v="thomp@uk.com"/>
    <x v="4"/>
    <n v="150"/>
    <n v="200"/>
    <n v="724"/>
    <n v="144800"/>
    <n v="36200"/>
    <x v="1"/>
    <x v="3"/>
    <x v="3"/>
    <x v="2"/>
    <x v="0"/>
  </r>
  <r>
    <n v="10393"/>
    <s v="Andrews"/>
    <s v="andy@gmail.com"/>
    <x v="5"/>
    <n v="80"/>
    <n v="150"/>
    <n v="717"/>
    <n v="107550"/>
    <n v="50190"/>
    <x v="2"/>
    <x v="4"/>
    <x v="4"/>
    <x v="0"/>
    <x v="1"/>
  </r>
  <r>
    <n v="10394"/>
    <s v="Jardine"/>
    <s v="jard@gmail.com"/>
    <x v="6"/>
    <n v="90"/>
    <n v="150"/>
    <n v="933"/>
    <n v="139950"/>
    <n v="55980"/>
    <x v="3"/>
    <x v="5"/>
    <x v="5"/>
    <x v="2"/>
    <x v="1"/>
  </r>
  <r>
    <n v="10395"/>
    <s v="Jardine"/>
    <s v="jard@gmail.com"/>
    <x v="0"/>
    <n v="150"/>
    <n v="200"/>
    <n v="930"/>
    <n v="186000"/>
    <n v="46500"/>
    <x v="4"/>
    <x v="0"/>
    <x v="6"/>
    <x v="1"/>
    <x v="1"/>
  </r>
  <r>
    <n v="10396"/>
    <s v="Andrews"/>
    <s v="andy@gmail.com"/>
    <x v="1"/>
    <n v="250"/>
    <n v="500"/>
    <n v="959"/>
    <n v="479500"/>
    <n v="239750"/>
    <x v="0"/>
    <x v="1"/>
    <x v="7"/>
    <x v="1"/>
    <x v="0"/>
  </r>
  <r>
    <n v="10397"/>
    <s v="Jones"/>
    <s v="jone.ai@yahoo.com"/>
    <x v="2"/>
    <n v="180"/>
    <n v="450"/>
    <n v="922"/>
    <n v="414900"/>
    <n v="248940"/>
    <x v="1"/>
    <x v="2"/>
    <x v="8"/>
    <x v="2"/>
    <x v="0"/>
  </r>
  <r>
    <n v="10398"/>
    <s v="Morgan"/>
    <s v="morganny@gmail.com"/>
    <x v="3"/>
    <n v="170"/>
    <n v="250"/>
    <n v="957"/>
    <n v="239250"/>
    <n v="76560"/>
    <x v="2"/>
    <x v="3"/>
    <x v="9"/>
    <x v="0"/>
    <x v="1"/>
  </r>
  <r>
    <n v="10399"/>
    <s v="Kivell"/>
    <s v="kivel_go@yahoo.com"/>
    <x v="4"/>
    <n v="150"/>
    <n v="200"/>
    <n v="958"/>
    <n v="191600"/>
    <n v="47900"/>
    <x v="3"/>
    <x v="4"/>
    <x v="10"/>
    <x v="1"/>
    <x v="1"/>
  </r>
  <r>
    <n v="10400"/>
    <s v="Sorvino"/>
    <s v="sorvi2000@gmail.com"/>
    <x v="5"/>
    <n v="80"/>
    <n v="150"/>
    <n v="784"/>
    <n v="117600"/>
    <n v="54880"/>
    <x v="4"/>
    <x v="5"/>
    <x v="11"/>
    <x v="1"/>
    <x v="1"/>
  </r>
  <r>
    <n v="10401"/>
    <s v="Gill"/>
    <s v="gillhell@uk.com"/>
    <x v="6"/>
    <n v="90"/>
    <n v="150"/>
    <n v="966"/>
    <n v="144900"/>
    <n v="57960"/>
    <x v="0"/>
    <x v="0"/>
    <x v="0"/>
    <x v="0"/>
    <x v="0"/>
  </r>
  <r>
    <n v="10402"/>
    <s v="Sorvino"/>
    <s v="sorvi2000@gmail.com"/>
    <x v="0"/>
    <n v="150"/>
    <n v="200"/>
    <n v="784"/>
    <n v="156800"/>
    <n v="39200"/>
    <x v="1"/>
    <x v="1"/>
    <x v="1"/>
    <x v="1"/>
    <x v="0"/>
  </r>
  <r>
    <n v="10403"/>
    <s v="Thompson"/>
    <s v="thomp@uk.com"/>
    <x v="1"/>
    <n v="250"/>
    <n v="500"/>
    <n v="998"/>
    <n v="499000"/>
    <n v="249500"/>
    <x v="2"/>
    <x v="2"/>
    <x v="2"/>
    <x v="2"/>
    <x v="1"/>
  </r>
  <r>
    <n v="10404"/>
    <s v="Andrews"/>
    <s v="andy@gmail.com"/>
    <x v="2"/>
    <n v="180"/>
    <n v="450"/>
    <n v="951"/>
    <n v="427950"/>
    <n v="256770"/>
    <x v="3"/>
    <x v="3"/>
    <x v="3"/>
    <x v="1"/>
    <x v="1"/>
  </r>
  <r>
    <n v="10405"/>
    <s v="Jardine"/>
    <s v="jard@gmail.com"/>
    <x v="3"/>
    <n v="170"/>
    <n v="250"/>
    <n v="973"/>
    <n v="243250"/>
    <n v="77840"/>
    <x v="4"/>
    <x v="4"/>
    <x v="4"/>
    <x v="0"/>
    <x v="1"/>
  </r>
  <r>
    <n v="10406"/>
    <s v="Jardine"/>
    <s v="jard@gmail.com"/>
    <x v="4"/>
    <n v="150"/>
    <n v="200"/>
    <n v="704"/>
    <n v="140800"/>
    <n v="35200"/>
    <x v="0"/>
    <x v="5"/>
    <x v="5"/>
    <x v="2"/>
    <x v="0"/>
  </r>
  <r>
    <n v="10407"/>
    <s v="Andrews"/>
    <s v="andy@gmail.com"/>
    <x v="5"/>
    <n v="80"/>
    <n v="150"/>
    <n v="748"/>
    <n v="112200"/>
    <n v="52360"/>
    <x v="1"/>
    <x v="0"/>
    <x v="6"/>
    <x v="0"/>
    <x v="0"/>
  </r>
  <r>
    <n v="10408"/>
    <s v="Jardine"/>
    <s v="jard@gmail.com"/>
    <x v="6"/>
    <n v="90"/>
    <n v="150"/>
    <n v="972"/>
    <n v="145800"/>
    <n v="58320"/>
    <x v="2"/>
    <x v="1"/>
    <x v="7"/>
    <x v="2"/>
    <x v="1"/>
  </r>
  <r>
    <n v="10409"/>
    <s v="Gill"/>
    <s v="gillhell@uk.com"/>
    <x v="0"/>
    <n v="150"/>
    <n v="200"/>
    <n v="859"/>
    <n v="171800"/>
    <n v="42950"/>
    <x v="3"/>
    <x v="2"/>
    <x v="8"/>
    <x v="2"/>
    <x v="1"/>
  </r>
  <r>
    <n v="10410"/>
    <s v="Sorvino"/>
    <s v="sorvi2000@gmail.com"/>
    <x v="1"/>
    <n v="250"/>
    <n v="500"/>
    <n v="825"/>
    <n v="412500"/>
    <n v="206250"/>
    <x v="4"/>
    <x v="3"/>
    <x v="9"/>
    <x v="2"/>
    <x v="1"/>
  </r>
  <r>
    <n v="10411"/>
    <s v="Jones"/>
    <s v="jone.ai@yahoo.com"/>
    <x v="2"/>
    <n v="180"/>
    <n v="450"/>
    <n v="997"/>
    <n v="448650"/>
    <n v="269190"/>
    <x v="0"/>
    <x v="4"/>
    <x v="10"/>
    <x v="0"/>
    <x v="0"/>
  </r>
  <r>
    <n v="10412"/>
    <s v="Andrews"/>
    <s v="andy@gmail.com"/>
    <x v="3"/>
    <n v="170"/>
    <n v="250"/>
    <n v="789"/>
    <n v="197250"/>
    <n v="63120"/>
    <x v="1"/>
    <x v="5"/>
    <x v="11"/>
    <x v="0"/>
    <x v="0"/>
  </r>
  <r>
    <n v="10413"/>
    <s v="Jardine"/>
    <s v="jard@gmail.com"/>
    <x v="4"/>
    <n v="150"/>
    <n v="200"/>
    <n v="934"/>
    <n v="186800"/>
    <n v="46700"/>
    <x v="2"/>
    <x v="0"/>
    <x v="0"/>
    <x v="0"/>
    <x v="1"/>
  </r>
  <r>
    <n v="10414"/>
    <s v="Thompson"/>
    <s v="thomp@uk.com"/>
    <x v="5"/>
    <n v="80"/>
    <n v="150"/>
    <n v="773"/>
    <n v="115950"/>
    <n v="54110"/>
    <x v="3"/>
    <x v="1"/>
    <x v="1"/>
    <x v="2"/>
    <x v="1"/>
  </r>
  <r>
    <n v="10415"/>
    <s v="Jones"/>
    <s v="jone.ai@yahoo.com"/>
    <x v="6"/>
    <n v="90"/>
    <n v="150"/>
    <n v="786"/>
    <n v="117900"/>
    <n v="47160"/>
    <x v="4"/>
    <x v="2"/>
    <x v="2"/>
    <x v="2"/>
    <x v="1"/>
  </r>
  <r>
    <n v="10416"/>
    <s v="Morgan"/>
    <s v="morganny@gmail.com"/>
    <x v="0"/>
    <n v="150"/>
    <n v="200"/>
    <n v="991"/>
    <n v="198200"/>
    <n v="49550"/>
    <x v="0"/>
    <x v="3"/>
    <x v="3"/>
    <x v="2"/>
    <x v="0"/>
  </r>
  <r>
    <n v="10417"/>
    <s v="Howard"/>
    <s v="howard_freeman@yahoo.com"/>
    <x v="1"/>
    <n v="250"/>
    <n v="500"/>
    <n v="886"/>
    <n v="443000"/>
    <n v="221500"/>
    <x v="1"/>
    <x v="4"/>
    <x v="4"/>
    <x v="2"/>
    <x v="0"/>
  </r>
  <r>
    <n v="10418"/>
    <s v="Parent"/>
    <s v="parentty@uk.com"/>
    <x v="2"/>
    <n v="180"/>
    <n v="450"/>
    <n v="987"/>
    <n v="444150"/>
    <n v="266490"/>
    <x v="2"/>
    <x v="5"/>
    <x v="5"/>
    <x v="1"/>
    <x v="1"/>
  </r>
  <r>
    <n v="10419"/>
    <s v="Jones"/>
    <s v="jone.ai@yahoo.com"/>
    <x v="3"/>
    <n v="170"/>
    <n v="250"/>
    <n v="772"/>
    <n v="193000"/>
    <n v="61760"/>
    <x v="3"/>
    <x v="0"/>
    <x v="6"/>
    <x v="1"/>
    <x v="1"/>
  </r>
  <r>
    <n v="10420"/>
    <s v="Smith"/>
    <s v="smithMan@yahoo.com"/>
    <x v="4"/>
    <n v="150"/>
    <n v="200"/>
    <n v="760"/>
    <n v="152000"/>
    <n v="38000"/>
    <x v="4"/>
    <x v="1"/>
    <x v="7"/>
    <x v="1"/>
    <x v="1"/>
  </r>
  <r>
    <n v="10421"/>
    <s v="Jones"/>
    <s v="jone.ai@yahoo.com"/>
    <x v="5"/>
    <n v="80"/>
    <n v="150"/>
    <n v="778"/>
    <n v="116700"/>
    <n v="54460"/>
    <x v="0"/>
    <x v="2"/>
    <x v="8"/>
    <x v="2"/>
    <x v="0"/>
  </r>
  <r>
    <n v="10422"/>
    <s v="Jardine"/>
    <s v="jard@gmail.com"/>
    <x v="6"/>
    <n v="90"/>
    <n v="150"/>
    <n v="716"/>
    <n v="107400"/>
    <n v="42960"/>
    <x v="1"/>
    <x v="3"/>
    <x v="9"/>
    <x v="0"/>
    <x v="0"/>
  </r>
  <r>
    <n v="10423"/>
    <s v="Gill"/>
    <s v="gillhell@uk.com"/>
    <x v="0"/>
    <n v="150"/>
    <n v="200"/>
    <n v="775"/>
    <n v="155000"/>
    <n v="38750"/>
    <x v="2"/>
    <x v="4"/>
    <x v="10"/>
    <x v="1"/>
    <x v="1"/>
  </r>
  <r>
    <n v="10424"/>
    <s v="Sorvino"/>
    <s v="sorvi2000@gmail.com"/>
    <x v="1"/>
    <n v="250"/>
    <n v="500"/>
    <n v="860"/>
    <n v="430000"/>
    <n v="215000"/>
    <x v="3"/>
    <x v="5"/>
    <x v="11"/>
    <x v="2"/>
    <x v="1"/>
  </r>
  <r>
    <n v="10425"/>
    <s v="Jones"/>
    <s v="jone.ai@yahoo.com"/>
    <x v="2"/>
    <n v="180"/>
    <n v="450"/>
    <n v="895"/>
    <n v="402750"/>
    <n v="241650"/>
    <x v="4"/>
    <x v="0"/>
    <x v="0"/>
    <x v="2"/>
    <x v="1"/>
  </r>
  <r>
    <n v="10426"/>
    <s v="Andrews"/>
    <s v="andy@gmail.com"/>
    <x v="3"/>
    <n v="170"/>
    <n v="250"/>
    <n v="929"/>
    <n v="232250"/>
    <n v="74320"/>
    <x v="0"/>
    <x v="1"/>
    <x v="1"/>
    <x v="0"/>
    <x v="0"/>
  </r>
  <r>
    <n v="10427"/>
    <s v="Jardine"/>
    <s v="jard@gmail.com"/>
    <x v="4"/>
    <n v="150"/>
    <n v="200"/>
    <n v="759"/>
    <n v="151800"/>
    <n v="37950"/>
    <x v="1"/>
    <x v="2"/>
    <x v="2"/>
    <x v="1"/>
    <x v="0"/>
  </r>
  <r>
    <n v="10428"/>
    <s v="Thompson"/>
    <s v="thomp@uk.com"/>
    <x v="5"/>
    <n v="80"/>
    <n v="150"/>
    <n v="765"/>
    <n v="114750"/>
    <n v="53550"/>
    <x v="2"/>
    <x v="3"/>
    <x v="3"/>
    <x v="2"/>
    <x v="1"/>
  </r>
  <r>
    <n v="10429"/>
    <s v="Jones"/>
    <s v="jone.ai@yahoo.com"/>
    <x v="6"/>
    <n v="90"/>
    <n v="150"/>
    <n v="861"/>
    <n v="129150"/>
    <n v="51660"/>
    <x v="3"/>
    <x v="4"/>
    <x v="4"/>
    <x v="0"/>
    <x v="1"/>
  </r>
  <r>
    <n v="10430"/>
    <s v="Morgan"/>
    <s v="morganny@gmail.com"/>
    <x v="0"/>
    <n v="150"/>
    <n v="200"/>
    <n v="790"/>
    <n v="158000"/>
    <n v="39500"/>
    <x v="4"/>
    <x v="5"/>
    <x v="5"/>
    <x v="1"/>
    <x v="1"/>
  </r>
  <r>
    <n v="10431"/>
    <s v="Howard"/>
    <s v="howard_freeman@yahoo.com"/>
    <x v="1"/>
    <n v="250"/>
    <n v="500"/>
    <n v="831"/>
    <n v="415500"/>
    <n v="207750"/>
    <x v="0"/>
    <x v="0"/>
    <x v="6"/>
    <x v="2"/>
    <x v="0"/>
  </r>
  <r>
    <n v="10432"/>
    <s v="Parent"/>
    <s v="parentty@uk.com"/>
    <x v="2"/>
    <n v="180"/>
    <n v="450"/>
    <n v="879"/>
    <n v="395550"/>
    <n v="237330"/>
    <x v="1"/>
    <x v="1"/>
    <x v="7"/>
    <x v="2"/>
    <x v="0"/>
  </r>
  <r>
    <n v="10433"/>
    <s v="Jones"/>
    <s v="jone.ai@yahoo.com"/>
    <x v="3"/>
    <n v="170"/>
    <n v="250"/>
    <n v="756"/>
    <n v="189000"/>
    <n v="60480"/>
    <x v="2"/>
    <x v="2"/>
    <x v="8"/>
    <x v="2"/>
    <x v="1"/>
  </r>
  <r>
    <n v="10434"/>
    <s v="Smith"/>
    <s v="smithMan@yahoo.com"/>
    <x v="4"/>
    <n v="150"/>
    <n v="200"/>
    <n v="888"/>
    <n v="177600"/>
    <n v="44400"/>
    <x v="3"/>
    <x v="3"/>
    <x v="9"/>
    <x v="2"/>
    <x v="1"/>
  </r>
  <r>
    <n v="10435"/>
    <s v="Jones"/>
    <s v="jone.ai@yahoo.com"/>
    <x v="5"/>
    <n v="80"/>
    <n v="150"/>
    <n v="859"/>
    <n v="128850"/>
    <n v="60130"/>
    <x v="4"/>
    <x v="4"/>
    <x v="10"/>
    <x v="2"/>
    <x v="1"/>
  </r>
  <r>
    <n v="10436"/>
    <s v="Morgan"/>
    <s v="morganny@gmail.com"/>
    <x v="6"/>
    <n v="90"/>
    <n v="150"/>
    <n v="761"/>
    <n v="114150"/>
    <n v="45660"/>
    <x v="0"/>
    <x v="5"/>
    <x v="11"/>
    <x v="1"/>
    <x v="0"/>
  </r>
  <r>
    <n v="10437"/>
    <s v="Jones"/>
    <s v="jone.ai@yahoo.com"/>
    <x v="0"/>
    <n v="150"/>
    <n v="200"/>
    <n v="989"/>
    <n v="197800"/>
    <n v="49450"/>
    <x v="1"/>
    <x v="0"/>
    <x v="0"/>
    <x v="1"/>
    <x v="0"/>
  </r>
  <r>
    <n v="10438"/>
    <s v="Parent"/>
    <s v="parentty@uk.com"/>
    <x v="1"/>
    <n v="250"/>
    <n v="500"/>
    <n v="824"/>
    <n v="412000"/>
    <n v="206000"/>
    <x v="2"/>
    <x v="1"/>
    <x v="1"/>
    <x v="1"/>
    <x v="1"/>
  </r>
  <r>
    <n v="10439"/>
    <s v="Kivell"/>
    <s v="kivel_go@yahoo.com"/>
    <x v="2"/>
    <n v="180"/>
    <n v="450"/>
    <n v="775"/>
    <n v="348750"/>
    <n v="209250"/>
    <x v="3"/>
    <x v="2"/>
    <x v="2"/>
    <x v="1"/>
    <x v="1"/>
  </r>
  <r>
    <n v="10440"/>
    <s v="Smith"/>
    <s v="smithMan@yahoo.com"/>
    <x v="3"/>
    <n v="170"/>
    <n v="250"/>
    <n v="980"/>
    <n v="245000"/>
    <n v="78400"/>
    <x v="4"/>
    <x v="3"/>
    <x v="3"/>
    <x v="2"/>
    <x v="1"/>
  </r>
  <r>
    <n v="10441"/>
    <s v="Parent"/>
    <s v="parentty@uk.com"/>
    <x v="4"/>
    <n v="150"/>
    <n v="200"/>
    <n v="828"/>
    <n v="165600"/>
    <n v="41400"/>
    <x v="0"/>
    <x v="4"/>
    <x v="4"/>
    <x v="0"/>
    <x v="0"/>
  </r>
  <r>
    <n v="10442"/>
    <s v="Gill"/>
    <s v="gillhell@uk.com"/>
    <x v="5"/>
    <n v="80"/>
    <n v="150"/>
    <n v="711"/>
    <n v="106650"/>
    <n v="49770"/>
    <x v="1"/>
    <x v="5"/>
    <x v="5"/>
    <x v="0"/>
    <x v="0"/>
  </r>
  <r>
    <n v="10443"/>
    <s v="Smith"/>
    <s v="smithMan@yahoo.com"/>
    <x v="6"/>
    <n v="90"/>
    <n v="150"/>
    <n v="817"/>
    <n v="122550"/>
    <n v="49020"/>
    <x v="2"/>
    <x v="0"/>
    <x v="6"/>
    <x v="1"/>
    <x v="1"/>
  </r>
  <r>
    <n v="10444"/>
    <s v="Jones"/>
    <s v="jone.ai@yahoo.com"/>
    <x v="0"/>
    <n v="150"/>
    <n v="200"/>
    <n v="829"/>
    <n v="165800"/>
    <n v="41450"/>
    <x v="3"/>
    <x v="1"/>
    <x v="7"/>
    <x v="1"/>
    <x v="1"/>
  </r>
  <r>
    <n v="10445"/>
    <s v="Sorvino"/>
    <s v="sorvi2000@gmail.com"/>
    <x v="1"/>
    <n v="250"/>
    <n v="500"/>
    <n v="872"/>
    <n v="436000"/>
    <n v="218000"/>
    <x v="4"/>
    <x v="2"/>
    <x v="8"/>
    <x v="1"/>
    <x v="1"/>
  </r>
  <r>
    <n v="10446"/>
    <s v="Jardine"/>
    <s v="jard@gmail.com"/>
    <x v="2"/>
    <n v="180"/>
    <n v="450"/>
    <n v="715"/>
    <n v="321750"/>
    <n v="193050"/>
    <x v="0"/>
    <x v="3"/>
    <x v="9"/>
    <x v="1"/>
    <x v="0"/>
  </r>
  <r>
    <n v="10447"/>
    <s v="Andrews"/>
    <s v="andy@gmail.com"/>
    <x v="3"/>
    <n v="170"/>
    <n v="250"/>
    <n v="939"/>
    <n v="234750"/>
    <n v="75120"/>
    <x v="1"/>
    <x v="4"/>
    <x v="10"/>
    <x v="0"/>
    <x v="0"/>
  </r>
  <r>
    <n v="10448"/>
    <s v="Howard"/>
    <s v="howard_freeman@yahoo.com"/>
    <x v="4"/>
    <n v="150"/>
    <n v="200"/>
    <n v="891"/>
    <n v="178200"/>
    <n v="44550"/>
    <x v="2"/>
    <x v="5"/>
    <x v="11"/>
    <x v="2"/>
    <x v="1"/>
  </r>
  <r>
    <n v="10449"/>
    <s v="Gill"/>
    <s v="gillhell@uk.com"/>
    <x v="5"/>
    <n v="80"/>
    <n v="150"/>
    <n v="736"/>
    <n v="110400"/>
    <n v="51520"/>
    <x v="3"/>
    <x v="0"/>
    <x v="0"/>
    <x v="1"/>
    <x v="1"/>
  </r>
  <r>
    <n v="10450"/>
    <s v="Gill"/>
    <s v="gillhell@uk.com"/>
    <x v="6"/>
    <n v="90"/>
    <n v="150"/>
    <n v="797"/>
    <n v="119550"/>
    <n v="47820"/>
    <x v="4"/>
    <x v="1"/>
    <x v="1"/>
    <x v="2"/>
    <x v="1"/>
  </r>
  <r>
    <n v="10451"/>
    <s v="Kivell"/>
    <s v="kivel_go@yahoo.com"/>
    <x v="0"/>
    <n v="150"/>
    <n v="200"/>
    <n v="913"/>
    <n v="182600"/>
    <n v="45650"/>
    <x v="0"/>
    <x v="2"/>
    <x v="2"/>
    <x v="2"/>
    <x v="0"/>
  </r>
  <r>
    <n v="10452"/>
    <s v="Jones"/>
    <s v="jone.ai@yahoo.com"/>
    <x v="1"/>
    <n v="250"/>
    <n v="500"/>
    <n v="710"/>
    <n v="355000"/>
    <n v="177500"/>
    <x v="1"/>
    <x v="3"/>
    <x v="3"/>
    <x v="2"/>
    <x v="0"/>
  </r>
  <r>
    <n v="10453"/>
    <s v="Morgan"/>
    <s v="morganny@gmail.com"/>
    <x v="2"/>
    <n v="180"/>
    <n v="450"/>
    <n v="832"/>
    <n v="374400"/>
    <n v="224640"/>
    <x v="2"/>
    <x v="4"/>
    <x v="4"/>
    <x v="0"/>
    <x v="1"/>
  </r>
  <r>
    <n v="10454"/>
    <s v="Kivell"/>
    <s v="kivel_go@yahoo.com"/>
    <x v="3"/>
    <n v="170"/>
    <n v="250"/>
    <n v="952"/>
    <n v="238000"/>
    <n v="76160"/>
    <x v="3"/>
    <x v="5"/>
    <x v="5"/>
    <x v="0"/>
    <x v="1"/>
  </r>
  <r>
    <n v="10455"/>
    <s v="Sorvino"/>
    <s v="sorvi2000@gmail.com"/>
    <x v="4"/>
    <n v="150"/>
    <n v="200"/>
    <n v="967"/>
    <n v="193400"/>
    <n v="48350"/>
    <x v="4"/>
    <x v="0"/>
    <x v="6"/>
    <x v="2"/>
    <x v="1"/>
  </r>
  <r>
    <n v="10456"/>
    <s v="Gill"/>
    <s v="gillhell@uk.com"/>
    <x v="5"/>
    <n v="80"/>
    <n v="150"/>
    <n v="879"/>
    <n v="131850"/>
    <n v="61530"/>
    <x v="0"/>
    <x v="1"/>
    <x v="7"/>
    <x v="1"/>
    <x v="0"/>
  </r>
  <r>
    <n v="10457"/>
    <s v="Sorvino"/>
    <s v="sorvi2000@gmail.com"/>
    <x v="6"/>
    <n v="90"/>
    <n v="150"/>
    <n v="705"/>
    <n v="105750"/>
    <n v="42300"/>
    <x v="1"/>
    <x v="2"/>
    <x v="8"/>
    <x v="1"/>
    <x v="0"/>
  </r>
  <r>
    <n v="10458"/>
    <s v="Thompson"/>
    <s v="thomp@uk.com"/>
    <x v="0"/>
    <n v="150"/>
    <n v="200"/>
    <n v="878"/>
    <n v="175600"/>
    <n v="43900"/>
    <x v="2"/>
    <x v="3"/>
    <x v="9"/>
    <x v="1"/>
    <x v="1"/>
  </r>
  <r>
    <n v="10459"/>
    <s v="Andrews"/>
    <s v="andy@gmail.com"/>
    <x v="1"/>
    <n v="250"/>
    <n v="500"/>
    <n v="903"/>
    <n v="451500"/>
    <n v="225750"/>
    <x v="3"/>
    <x v="4"/>
    <x v="10"/>
    <x v="1"/>
    <x v="1"/>
  </r>
  <r>
    <n v="10460"/>
    <s v="Jardine"/>
    <s v="jard@gmail.com"/>
    <x v="2"/>
    <n v="180"/>
    <n v="450"/>
    <n v="791"/>
    <n v="355950"/>
    <n v="213570"/>
    <x v="4"/>
    <x v="5"/>
    <x v="11"/>
    <x v="1"/>
    <x v="1"/>
  </r>
  <r>
    <n v="10461"/>
    <s v="Jardine"/>
    <s v="jard@gmail.com"/>
    <x v="3"/>
    <n v="170"/>
    <n v="250"/>
    <n v="895"/>
    <n v="223750"/>
    <n v="71600"/>
    <x v="0"/>
    <x v="0"/>
    <x v="0"/>
    <x v="1"/>
    <x v="0"/>
  </r>
  <r>
    <n v="10462"/>
    <s v="Andrews"/>
    <s v="andy@gmail.com"/>
    <x v="4"/>
    <n v="150"/>
    <n v="200"/>
    <n v="759"/>
    <n v="151800"/>
    <n v="37950"/>
    <x v="1"/>
    <x v="1"/>
    <x v="1"/>
    <x v="1"/>
    <x v="0"/>
  </r>
  <r>
    <n v="10463"/>
    <s v="Jardine"/>
    <s v="jard@gmail.com"/>
    <x v="5"/>
    <n v="80"/>
    <n v="150"/>
    <n v="790"/>
    <n v="118500"/>
    <n v="55300"/>
    <x v="2"/>
    <x v="2"/>
    <x v="2"/>
    <x v="2"/>
    <x v="1"/>
  </r>
  <r>
    <n v="10464"/>
    <s v="Gill"/>
    <s v="gillhell@uk.com"/>
    <x v="6"/>
    <n v="90"/>
    <n v="150"/>
    <n v="722"/>
    <n v="108300"/>
    <n v="43320"/>
    <x v="3"/>
    <x v="3"/>
    <x v="3"/>
    <x v="2"/>
    <x v="1"/>
  </r>
  <r>
    <n v="10465"/>
    <s v="Sorvino"/>
    <s v="sorvi2000@gmail.com"/>
    <x v="0"/>
    <n v="150"/>
    <n v="200"/>
    <n v="888"/>
    <n v="177600"/>
    <n v="44400"/>
    <x v="4"/>
    <x v="4"/>
    <x v="4"/>
    <x v="0"/>
    <x v="1"/>
  </r>
  <r>
    <n v="10466"/>
    <s v="Jones"/>
    <s v="jone.ai@yahoo.com"/>
    <x v="1"/>
    <n v="250"/>
    <n v="500"/>
    <n v="849"/>
    <n v="424500"/>
    <n v="212250"/>
    <x v="0"/>
    <x v="5"/>
    <x v="5"/>
    <x v="1"/>
    <x v="0"/>
  </r>
  <r>
    <n v="10467"/>
    <s v="Andrews"/>
    <s v="andy@gmail.com"/>
    <x v="2"/>
    <n v="180"/>
    <n v="450"/>
    <n v="736"/>
    <n v="331200"/>
    <n v="198720"/>
    <x v="1"/>
    <x v="0"/>
    <x v="6"/>
    <x v="1"/>
    <x v="0"/>
  </r>
  <r>
    <n v="10468"/>
    <s v="Jardine"/>
    <s v="jard@gmail.com"/>
    <x v="3"/>
    <n v="170"/>
    <n v="250"/>
    <n v="843"/>
    <n v="210750"/>
    <n v="67440"/>
    <x v="2"/>
    <x v="1"/>
    <x v="7"/>
    <x v="0"/>
    <x v="1"/>
  </r>
  <r>
    <n v="10469"/>
    <s v="Thompson"/>
    <s v="thomp@uk.com"/>
    <x v="4"/>
    <n v="150"/>
    <n v="200"/>
    <n v="999"/>
    <n v="199800"/>
    <n v="49950"/>
    <x v="3"/>
    <x v="2"/>
    <x v="8"/>
    <x v="1"/>
    <x v="1"/>
  </r>
  <r>
    <n v="10470"/>
    <s v="Jones"/>
    <s v="jone.ai@yahoo.com"/>
    <x v="5"/>
    <n v="80"/>
    <n v="150"/>
    <n v="996"/>
    <n v="149400"/>
    <n v="69720"/>
    <x v="4"/>
    <x v="3"/>
    <x v="9"/>
    <x v="1"/>
    <x v="1"/>
  </r>
  <r>
    <n v="10471"/>
    <s v="Morgan"/>
    <s v="morganny@gmail.com"/>
    <x v="6"/>
    <n v="90"/>
    <n v="150"/>
    <n v="718"/>
    <n v="107700"/>
    <n v="43080"/>
    <x v="0"/>
    <x v="4"/>
    <x v="10"/>
    <x v="2"/>
    <x v="0"/>
  </r>
  <r>
    <n v="10472"/>
    <s v="Howard"/>
    <s v="howard_freeman@yahoo.com"/>
    <x v="0"/>
    <n v="150"/>
    <n v="200"/>
    <n v="700"/>
    <n v="140000"/>
    <n v="35000"/>
    <x v="1"/>
    <x v="5"/>
    <x v="11"/>
    <x v="2"/>
    <x v="0"/>
  </r>
  <r>
    <n v="10473"/>
    <s v="Parent"/>
    <s v="parentty@uk.com"/>
    <x v="1"/>
    <n v="250"/>
    <n v="500"/>
    <n v="827"/>
    <n v="413500"/>
    <n v="206750"/>
    <x v="2"/>
    <x v="0"/>
    <x v="0"/>
    <x v="1"/>
    <x v="1"/>
  </r>
  <r>
    <n v="10474"/>
    <s v="Jones"/>
    <s v="jone.ai@yahoo.com"/>
    <x v="2"/>
    <n v="180"/>
    <n v="450"/>
    <n v="755"/>
    <n v="339750"/>
    <n v="203850"/>
    <x v="3"/>
    <x v="1"/>
    <x v="1"/>
    <x v="1"/>
    <x v="1"/>
  </r>
  <r>
    <n v="10475"/>
    <s v="Smith"/>
    <s v="smithMan@yahoo.com"/>
    <x v="3"/>
    <n v="170"/>
    <n v="250"/>
    <n v="803"/>
    <n v="200750"/>
    <n v="64240"/>
    <x v="4"/>
    <x v="2"/>
    <x v="2"/>
    <x v="0"/>
    <x v="1"/>
  </r>
  <r>
    <n v="10476"/>
    <s v="Jones"/>
    <s v="jone.ai@yahoo.com"/>
    <x v="4"/>
    <n v="150"/>
    <n v="200"/>
    <n v="731"/>
    <n v="146200"/>
    <n v="36550"/>
    <x v="0"/>
    <x v="3"/>
    <x v="3"/>
    <x v="0"/>
    <x v="0"/>
  </r>
  <r>
    <n v="10477"/>
    <s v="Morgan"/>
    <s v="morganny@gmail.com"/>
    <x v="5"/>
    <n v="80"/>
    <n v="150"/>
    <n v="910"/>
    <n v="136500"/>
    <n v="63700"/>
    <x v="1"/>
    <x v="4"/>
    <x v="4"/>
    <x v="0"/>
    <x v="0"/>
  </r>
  <r>
    <n v="10478"/>
    <s v="Jones"/>
    <s v="jone.ai@yahoo.com"/>
    <x v="6"/>
    <n v="90"/>
    <n v="150"/>
    <n v="747"/>
    <n v="112050"/>
    <n v="44820"/>
    <x v="2"/>
    <x v="5"/>
    <x v="5"/>
    <x v="2"/>
    <x v="1"/>
  </r>
  <r>
    <n v="10479"/>
    <s v="Parent"/>
    <s v="parentty@uk.com"/>
    <x v="0"/>
    <n v="150"/>
    <n v="200"/>
    <n v="994"/>
    <n v="198800"/>
    <n v="49700"/>
    <x v="3"/>
    <x v="0"/>
    <x v="6"/>
    <x v="2"/>
    <x v="1"/>
  </r>
  <r>
    <n v="10480"/>
    <s v="Kivell"/>
    <s v="kivel_go@yahoo.com"/>
    <x v="1"/>
    <n v="250"/>
    <n v="500"/>
    <n v="982"/>
    <n v="491000"/>
    <n v="245500"/>
    <x v="4"/>
    <x v="1"/>
    <x v="7"/>
    <x v="2"/>
    <x v="1"/>
  </r>
  <r>
    <n v="10481"/>
    <s v="Smith"/>
    <s v="smithMan@yahoo.com"/>
    <x v="2"/>
    <n v="180"/>
    <n v="450"/>
    <n v="958"/>
    <n v="431100"/>
    <n v="258660"/>
    <x v="0"/>
    <x v="2"/>
    <x v="8"/>
    <x v="2"/>
    <x v="0"/>
  </r>
  <r>
    <n v="10482"/>
    <s v="Parent"/>
    <s v="parentty@uk.com"/>
    <x v="3"/>
    <n v="170"/>
    <n v="250"/>
    <n v="943"/>
    <n v="235750"/>
    <n v="75440"/>
    <x v="1"/>
    <x v="3"/>
    <x v="9"/>
    <x v="2"/>
    <x v="0"/>
  </r>
  <r>
    <n v="10483"/>
    <s v="Gill"/>
    <s v="gillhell@uk.com"/>
    <x v="4"/>
    <n v="150"/>
    <n v="200"/>
    <n v="946"/>
    <n v="189200"/>
    <n v="47300"/>
    <x v="2"/>
    <x v="4"/>
    <x v="10"/>
    <x v="0"/>
    <x v="1"/>
  </r>
  <r>
    <n v="10484"/>
    <s v="Smith"/>
    <s v="smithMan@yahoo.com"/>
    <x v="5"/>
    <n v="80"/>
    <n v="150"/>
    <n v="852"/>
    <n v="127800"/>
    <n v="59640"/>
    <x v="3"/>
    <x v="5"/>
    <x v="11"/>
    <x v="2"/>
    <x v="1"/>
  </r>
  <r>
    <n v="10485"/>
    <s v="Jones"/>
    <s v="jone.ai@yahoo.com"/>
    <x v="6"/>
    <n v="90"/>
    <n v="150"/>
    <n v="960"/>
    <n v="144000"/>
    <n v="57600"/>
    <x v="4"/>
    <x v="0"/>
    <x v="0"/>
    <x v="1"/>
    <x v="1"/>
  </r>
  <r>
    <n v="10486"/>
    <s v="Sorvino"/>
    <s v="sorvi2000@gmail.com"/>
    <x v="0"/>
    <n v="150"/>
    <n v="200"/>
    <n v="992"/>
    <n v="198400"/>
    <n v="49600"/>
    <x v="0"/>
    <x v="1"/>
    <x v="1"/>
    <x v="0"/>
    <x v="0"/>
  </r>
  <r>
    <n v="10487"/>
    <s v="Jardine"/>
    <s v="jard@gmail.com"/>
    <x v="1"/>
    <n v="250"/>
    <n v="500"/>
    <n v="960"/>
    <n v="480000"/>
    <n v="240000"/>
    <x v="1"/>
    <x v="2"/>
    <x v="2"/>
    <x v="2"/>
    <x v="0"/>
  </r>
  <r>
    <n v="10488"/>
    <s v="Andrews"/>
    <s v="andy@gmail.com"/>
    <x v="2"/>
    <n v="180"/>
    <n v="450"/>
    <n v="842"/>
    <n v="378900"/>
    <n v="227340"/>
    <x v="2"/>
    <x v="3"/>
    <x v="3"/>
    <x v="1"/>
    <x v="1"/>
  </r>
  <r>
    <n v="10489"/>
    <s v="Howard"/>
    <s v="howard_freeman@yahoo.com"/>
    <x v="3"/>
    <n v="170"/>
    <n v="250"/>
    <n v="750"/>
    <n v="187500"/>
    <n v="60000"/>
    <x v="3"/>
    <x v="4"/>
    <x v="4"/>
    <x v="1"/>
    <x v="1"/>
  </r>
  <r>
    <n v="10490"/>
    <s v="Gill"/>
    <s v="gillhell@uk.com"/>
    <x v="4"/>
    <n v="150"/>
    <n v="200"/>
    <n v="796"/>
    <n v="159200"/>
    <n v="39800"/>
    <x v="4"/>
    <x v="5"/>
    <x v="5"/>
    <x v="1"/>
    <x v="1"/>
  </r>
  <r>
    <n v="10491"/>
    <s v="Gill"/>
    <s v="gillhell@uk.com"/>
    <x v="5"/>
    <n v="80"/>
    <n v="150"/>
    <n v="944"/>
    <n v="141600"/>
    <n v="66080"/>
    <x v="0"/>
    <x v="0"/>
    <x v="6"/>
    <x v="1"/>
    <x v="0"/>
  </r>
  <r>
    <n v="10492"/>
    <s v="Kivell"/>
    <s v="kivel_go@yahoo.com"/>
    <x v="6"/>
    <n v="90"/>
    <n v="150"/>
    <n v="854"/>
    <n v="128100"/>
    <n v="51240"/>
    <x v="1"/>
    <x v="1"/>
    <x v="7"/>
    <x v="0"/>
    <x v="0"/>
  </r>
  <r>
    <n v="10493"/>
    <s v="Jones"/>
    <s v="jone.ai@yahoo.com"/>
    <x v="0"/>
    <n v="150"/>
    <n v="200"/>
    <n v="926"/>
    <n v="185200"/>
    <n v="46300"/>
    <x v="2"/>
    <x v="2"/>
    <x v="8"/>
    <x v="0"/>
    <x v="1"/>
  </r>
  <r>
    <n v="10494"/>
    <s v="Morgan"/>
    <s v="morganny@gmail.com"/>
    <x v="1"/>
    <n v="250"/>
    <n v="500"/>
    <n v="808"/>
    <n v="404000"/>
    <n v="202000"/>
    <x v="3"/>
    <x v="3"/>
    <x v="9"/>
    <x v="2"/>
    <x v="1"/>
  </r>
  <r>
    <n v="10495"/>
    <s v="Kivell"/>
    <s v="kivel_go@yahoo.com"/>
    <x v="2"/>
    <n v="180"/>
    <n v="450"/>
    <n v="883"/>
    <n v="397350"/>
    <n v="238410"/>
    <x v="4"/>
    <x v="4"/>
    <x v="10"/>
    <x v="0"/>
    <x v="1"/>
  </r>
  <r>
    <n v="10496"/>
    <s v="Sorvino"/>
    <s v="sorvi2000@gmail.com"/>
    <x v="3"/>
    <n v="170"/>
    <n v="250"/>
    <n v="958"/>
    <n v="239500"/>
    <n v="76640"/>
    <x v="0"/>
    <x v="5"/>
    <x v="11"/>
    <x v="0"/>
    <x v="0"/>
  </r>
  <r>
    <n v="10497"/>
    <s v="Gill"/>
    <s v="gillhell@uk.com"/>
    <x v="4"/>
    <n v="150"/>
    <n v="200"/>
    <n v="984"/>
    <n v="196800"/>
    <n v="49200"/>
    <x v="1"/>
    <x v="0"/>
    <x v="0"/>
    <x v="0"/>
    <x v="0"/>
  </r>
  <r>
    <n v="10498"/>
    <s v="Sorvino"/>
    <s v="sorvi2000@gmail.com"/>
    <x v="5"/>
    <n v="80"/>
    <n v="150"/>
    <n v="765"/>
    <n v="114750"/>
    <n v="53550"/>
    <x v="2"/>
    <x v="1"/>
    <x v="1"/>
    <x v="2"/>
    <x v="1"/>
  </r>
  <r>
    <n v="10499"/>
    <s v="Thompson"/>
    <s v="thomp@uk.com"/>
    <x v="6"/>
    <n v="90"/>
    <n v="150"/>
    <n v="956"/>
    <n v="143400"/>
    <n v="57360"/>
    <x v="3"/>
    <x v="2"/>
    <x v="2"/>
    <x v="2"/>
    <x v="1"/>
  </r>
  <r>
    <n v="10500"/>
    <s v="Andrews"/>
    <s v="andy@gmail.com"/>
    <x v="0"/>
    <n v="150"/>
    <n v="200"/>
    <n v="931"/>
    <n v="186200"/>
    <n v="46550"/>
    <x v="4"/>
    <x v="3"/>
    <x v="3"/>
    <x v="0"/>
    <x v="1"/>
  </r>
  <r>
    <n v="10501"/>
    <s v="Jardine"/>
    <s v="jard@gmail.com"/>
    <x v="1"/>
    <n v="250"/>
    <n v="500"/>
    <n v="718"/>
    <n v="359000"/>
    <n v="179500"/>
    <x v="0"/>
    <x v="4"/>
    <x v="4"/>
    <x v="1"/>
    <x v="0"/>
  </r>
  <r>
    <n v="10502"/>
    <s v="Jardine"/>
    <s v="jard@gmail.com"/>
    <x v="2"/>
    <n v="180"/>
    <n v="450"/>
    <n v="776"/>
    <n v="349200"/>
    <n v="209520"/>
    <x v="1"/>
    <x v="5"/>
    <x v="5"/>
    <x v="1"/>
    <x v="0"/>
  </r>
  <r>
    <n v="10503"/>
    <s v="Andrews"/>
    <s v="andy@gmail.com"/>
    <x v="3"/>
    <n v="170"/>
    <n v="250"/>
    <n v="836"/>
    <n v="209000"/>
    <n v="66880"/>
    <x v="2"/>
    <x v="0"/>
    <x v="6"/>
    <x v="1"/>
    <x v="1"/>
  </r>
  <r>
    <n v="10504"/>
    <s v="Jones"/>
    <s v="jone.ai@yahoo.com"/>
    <x v="4"/>
    <n v="150"/>
    <n v="200"/>
    <n v="730"/>
    <n v="146000"/>
    <n v="36500"/>
    <x v="3"/>
    <x v="1"/>
    <x v="7"/>
    <x v="2"/>
    <x v="1"/>
  </r>
  <r>
    <n v="10505"/>
    <s v="Morgan"/>
    <s v="morganny@gmail.com"/>
    <x v="5"/>
    <n v="80"/>
    <n v="150"/>
    <n v="741"/>
    <n v="111150"/>
    <n v="51870"/>
    <x v="4"/>
    <x v="2"/>
    <x v="8"/>
    <x v="2"/>
    <x v="1"/>
  </r>
  <r>
    <n v="10506"/>
    <s v="Kivell"/>
    <s v="kivel_go@yahoo.com"/>
    <x v="6"/>
    <n v="90"/>
    <n v="150"/>
    <n v="982"/>
    <n v="147300"/>
    <n v="58920"/>
    <x v="0"/>
    <x v="3"/>
    <x v="9"/>
    <x v="0"/>
    <x v="0"/>
  </r>
  <r>
    <n v="10507"/>
    <s v="Sorvino"/>
    <s v="sorvi2000@gmail.com"/>
    <x v="0"/>
    <n v="150"/>
    <n v="200"/>
    <n v="724"/>
    <n v="144800"/>
    <n v="36200"/>
    <x v="1"/>
    <x v="4"/>
    <x v="10"/>
    <x v="0"/>
    <x v="0"/>
  </r>
  <r>
    <n v="10508"/>
    <s v="Gill"/>
    <s v="gillhell@uk.com"/>
    <x v="1"/>
    <n v="250"/>
    <n v="500"/>
    <n v="906"/>
    <n v="453000"/>
    <n v="226500"/>
    <x v="2"/>
    <x v="5"/>
    <x v="11"/>
    <x v="1"/>
    <x v="1"/>
  </r>
  <r>
    <n v="10509"/>
    <s v="Sorvino"/>
    <s v="sorvi2000@gmail.com"/>
    <x v="2"/>
    <n v="180"/>
    <n v="450"/>
    <n v="907"/>
    <n v="408150"/>
    <n v="244890"/>
    <x v="3"/>
    <x v="0"/>
    <x v="0"/>
    <x v="1"/>
    <x v="1"/>
  </r>
  <r>
    <n v="10510"/>
    <s v="Thompson"/>
    <s v="thomp@uk.com"/>
    <x v="3"/>
    <n v="170"/>
    <n v="250"/>
    <n v="712"/>
    <n v="178000"/>
    <n v="56960"/>
    <x v="4"/>
    <x v="1"/>
    <x v="1"/>
    <x v="0"/>
    <x v="1"/>
  </r>
  <r>
    <n v="10511"/>
    <s v="Andrews"/>
    <s v="andy@gmail.com"/>
    <x v="4"/>
    <n v="150"/>
    <n v="200"/>
    <n v="859"/>
    <n v="171800"/>
    <n v="42950"/>
    <x v="0"/>
    <x v="2"/>
    <x v="2"/>
    <x v="1"/>
    <x v="0"/>
  </r>
  <r>
    <n v="10512"/>
    <s v="Jardine"/>
    <s v="jard@gmail.com"/>
    <x v="5"/>
    <n v="80"/>
    <n v="150"/>
    <n v="770"/>
    <n v="115500"/>
    <n v="53900"/>
    <x v="1"/>
    <x v="3"/>
    <x v="3"/>
    <x v="1"/>
    <x v="0"/>
  </r>
  <r>
    <n v="10513"/>
    <s v="Jardine"/>
    <s v="jard@gmail.com"/>
    <x v="6"/>
    <n v="90"/>
    <n v="150"/>
    <n v="775"/>
    <n v="116250"/>
    <n v="46500"/>
    <x v="2"/>
    <x v="4"/>
    <x v="4"/>
    <x v="0"/>
    <x v="1"/>
  </r>
  <r>
    <n v="10514"/>
    <s v="Andrews"/>
    <s v="andy@gmail.com"/>
    <x v="0"/>
    <n v="150"/>
    <n v="200"/>
    <n v="820"/>
    <n v="164000"/>
    <n v="41000"/>
    <x v="3"/>
    <x v="5"/>
    <x v="5"/>
    <x v="0"/>
    <x v="1"/>
  </r>
  <r>
    <n v="10515"/>
    <s v="Jardine"/>
    <s v="jard@gmail.com"/>
    <x v="1"/>
    <n v="250"/>
    <n v="500"/>
    <n v="833"/>
    <n v="416500"/>
    <n v="208250"/>
    <x v="4"/>
    <x v="0"/>
    <x v="6"/>
    <x v="1"/>
    <x v="1"/>
  </r>
  <r>
    <n v="10516"/>
    <s v="Gill"/>
    <s v="gillhell@uk.com"/>
    <x v="2"/>
    <n v="180"/>
    <n v="450"/>
    <n v="735"/>
    <n v="330750"/>
    <n v="198450"/>
    <x v="0"/>
    <x v="1"/>
    <x v="7"/>
    <x v="2"/>
    <x v="0"/>
  </r>
  <r>
    <n v="10517"/>
    <s v="Sorvino"/>
    <s v="sorvi2000@gmail.com"/>
    <x v="3"/>
    <n v="170"/>
    <n v="250"/>
    <n v="884"/>
    <n v="221000"/>
    <n v="70720"/>
    <x v="1"/>
    <x v="2"/>
    <x v="8"/>
    <x v="2"/>
    <x v="0"/>
  </r>
  <r>
    <n v="10518"/>
    <s v="Jones"/>
    <s v="jone.ai@yahoo.com"/>
    <x v="4"/>
    <n v="150"/>
    <n v="200"/>
    <n v="888"/>
    <n v="177600"/>
    <n v="44400"/>
    <x v="2"/>
    <x v="3"/>
    <x v="9"/>
    <x v="0"/>
    <x v="1"/>
  </r>
  <r>
    <n v="10519"/>
    <s v="Andrews"/>
    <s v="andy@gmail.com"/>
    <x v="5"/>
    <n v="80"/>
    <n v="150"/>
    <n v="756"/>
    <n v="113400"/>
    <n v="52920"/>
    <x v="3"/>
    <x v="4"/>
    <x v="10"/>
    <x v="2"/>
    <x v="1"/>
  </r>
  <r>
    <n v="10520"/>
    <s v="Jardine"/>
    <s v="jard@gmail.com"/>
    <x v="6"/>
    <n v="90"/>
    <n v="150"/>
    <n v="787"/>
    <n v="118050"/>
    <n v="47220"/>
    <x v="4"/>
    <x v="5"/>
    <x v="11"/>
    <x v="0"/>
    <x v="1"/>
  </r>
  <r>
    <n v="10521"/>
    <s v="Thompson"/>
    <s v="thomp@uk.com"/>
    <x v="0"/>
    <n v="150"/>
    <n v="200"/>
    <n v="804"/>
    <n v="160800"/>
    <n v="40200"/>
    <x v="0"/>
    <x v="0"/>
    <x v="0"/>
    <x v="1"/>
    <x v="0"/>
  </r>
  <r>
    <n v="10522"/>
    <s v="Jones"/>
    <s v="jone.ai@yahoo.com"/>
    <x v="1"/>
    <n v="250"/>
    <n v="500"/>
    <n v="986"/>
    <n v="493000"/>
    <n v="246500"/>
    <x v="1"/>
    <x v="1"/>
    <x v="1"/>
    <x v="1"/>
    <x v="0"/>
  </r>
  <r>
    <n v="10523"/>
    <s v="Morgan"/>
    <s v="morganny@gmail.com"/>
    <x v="2"/>
    <n v="180"/>
    <n v="450"/>
    <n v="856"/>
    <n v="385200"/>
    <n v="231120"/>
    <x v="2"/>
    <x v="2"/>
    <x v="2"/>
    <x v="1"/>
    <x v="1"/>
  </r>
  <r>
    <n v="10524"/>
    <s v="Howard"/>
    <s v="howard_freeman@yahoo.com"/>
    <x v="3"/>
    <n v="170"/>
    <n v="250"/>
    <n v="835"/>
    <n v="208750"/>
    <n v="66800"/>
    <x v="3"/>
    <x v="3"/>
    <x v="3"/>
    <x v="1"/>
    <x v="1"/>
  </r>
  <r>
    <n v="10525"/>
    <s v="Parent"/>
    <s v="parentty@uk.com"/>
    <x v="4"/>
    <n v="150"/>
    <n v="200"/>
    <n v="938"/>
    <n v="187600"/>
    <n v="46900"/>
    <x v="4"/>
    <x v="4"/>
    <x v="4"/>
    <x v="1"/>
    <x v="1"/>
  </r>
  <r>
    <n v="10526"/>
    <s v="Jones"/>
    <s v="jone.ai@yahoo.com"/>
    <x v="5"/>
    <n v="80"/>
    <n v="150"/>
    <n v="719"/>
    <n v="107850"/>
    <n v="50330"/>
    <x v="0"/>
    <x v="5"/>
    <x v="5"/>
    <x v="1"/>
    <x v="0"/>
  </r>
  <r>
    <n v="10527"/>
    <s v="Smith"/>
    <s v="smithMan@yahoo.com"/>
    <x v="6"/>
    <n v="90"/>
    <n v="150"/>
    <n v="868"/>
    <n v="130200"/>
    <n v="52080"/>
    <x v="1"/>
    <x v="0"/>
    <x v="6"/>
    <x v="2"/>
    <x v="0"/>
  </r>
  <r>
    <n v="10528"/>
    <s v="Jones"/>
    <s v="jone.ai@yahoo.com"/>
    <x v="0"/>
    <n v="150"/>
    <n v="200"/>
    <n v="885"/>
    <n v="177000"/>
    <n v="44250"/>
    <x v="2"/>
    <x v="1"/>
    <x v="7"/>
    <x v="1"/>
    <x v="1"/>
  </r>
  <r>
    <n v="10529"/>
    <s v="Jardine"/>
    <s v="jard@gmail.com"/>
    <x v="1"/>
    <n v="250"/>
    <n v="500"/>
    <n v="943"/>
    <n v="471500"/>
    <n v="235750"/>
    <x v="3"/>
    <x v="2"/>
    <x v="8"/>
    <x v="1"/>
    <x v="1"/>
  </r>
  <r>
    <n v="10530"/>
    <s v="Gill"/>
    <s v="gillhell@uk.com"/>
    <x v="2"/>
    <n v="180"/>
    <n v="450"/>
    <n v="900"/>
    <n v="405000"/>
    <n v="243000"/>
    <x v="4"/>
    <x v="3"/>
    <x v="9"/>
    <x v="2"/>
    <x v="1"/>
  </r>
  <r>
    <n v="10531"/>
    <s v="Sorvino"/>
    <s v="sorvi2000@gmail.com"/>
    <x v="3"/>
    <n v="170"/>
    <n v="250"/>
    <n v="950"/>
    <n v="237500"/>
    <n v="76000"/>
    <x v="0"/>
    <x v="4"/>
    <x v="10"/>
    <x v="0"/>
    <x v="0"/>
  </r>
  <r>
    <n v="10532"/>
    <s v="Jones"/>
    <s v="jone.ai@yahoo.com"/>
    <x v="4"/>
    <n v="150"/>
    <n v="200"/>
    <n v="742"/>
    <n v="148400"/>
    <n v="37100"/>
    <x v="1"/>
    <x v="5"/>
    <x v="11"/>
    <x v="2"/>
    <x v="0"/>
  </r>
  <r>
    <n v="10533"/>
    <s v="Andrews"/>
    <s v="andy@gmail.com"/>
    <x v="5"/>
    <n v="80"/>
    <n v="150"/>
    <n v="889"/>
    <n v="133350"/>
    <n v="62230"/>
    <x v="2"/>
    <x v="0"/>
    <x v="0"/>
    <x v="1"/>
    <x v="1"/>
  </r>
  <r>
    <n v="10534"/>
    <s v="Jardine"/>
    <s v="jard@gmail.com"/>
    <x v="6"/>
    <n v="90"/>
    <n v="150"/>
    <n v="939"/>
    <n v="140850"/>
    <n v="56340"/>
    <x v="3"/>
    <x v="1"/>
    <x v="1"/>
    <x v="1"/>
    <x v="1"/>
  </r>
  <r>
    <n v="10535"/>
    <s v="Thompson"/>
    <s v="thomp@uk.com"/>
    <x v="0"/>
    <n v="150"/>
    <n v="200"/>
    <n v="950"/>
    <n v="190000"/>
    <n v="47500"/>
    <x v="4"/>
    <x v="2"/>
    <x v="2"/>
    <x v="1"/>
    <x v="1"/>
  </r>
  <r>
    <n v="10536"/>
    <s v="Jones"/>
    <s v="jone.ai@yahoo.com"/>
    <x v="1"/>
    <n v="250"/>
    <n v="500"/>
    <n v="745"/>
    <n v="372500"/>
    <n v="186250"/>
    <x v="0"/>
    <x v="3"/>
    <x v="3"/>
    <x v="1"/>
    <x v="0"/>
  </r>
  <r>
    <n v="10537"/>
    <s v="Morgan"/>
    <s v="morganny@gmail.com"/>
    <x v="2"/>
    <n v="180"/>
    <n v="450"/>
    <n v="933"/>
    <n v="419850"/>
    <n v="251910"/>
    <x v="1"/>
    <x v="4"/>
    <x v="4"/>
    <x v="2"/>
    <x v="0"/>
  </r>
  <r>
    <n v="10538"/>
    <s v="Howard"/>
    <s v="howard_freeman@yahoo.com"/>
    <x v="3"/>
    <n v="170"/>
    <n v="250"/>
    <n v="826"/>
    <n v="206500"/>
    <n v="66080"/>
    <x v="2"/>
    <x v="5"/>
    <x v="5"/>
    <x v="2"/>
    <x v="1"/>
  </r>
  <r>
    <n v="10539"/>
    <s v="Parent"/>
    <s v="parentty@uk.com"/>
    <x v="4"/>
    <n v="150"/>
    <n v="200"/>
    <n v="989"/>
    <n v="197800"/>
    <n v="49450"/>
    <x v="3"/>
    <x v="0"/>
    <x v="6"/>
    <x v="2"/>
    <x v="1"/>
  </r>
  <r>
    <n v="10540"/>
    <s v="Jones"/>
    <s v="jone.ai@yahoo.com"/>
    <x v="5"/>
    <n v="80"/>
    <n v="150"/>
    <n v="881"/>
    <n v="132150"/>
    <n v="61670"/>
    <x v="4"/>
    <x v="1"/>
    <x v="7"/>
    <x v="0"/>
    <x v="1"/>
  </r>
  <r>
    <n v="10541"/>
    <s v="Smith"/>
    <s v="smithMan@yahoo.com"/>
    <x v="6"/>
    <n v="90"/>
    <n v="150"/>
    <n v="768"/>
    <n v="115200"/>
    <n v="46080"/>
    <x v="0"/>
    <x v="2"/>
    <x v="8"/>
    <x v="0"/>
    <x v="0"/>
  </r>
  <r>
    <n v="10542"/>
    <s v="Jones"/>
    <s v="jone.ai@yahoo.com"/>
    <x v="0"/>
    <n v="150"/>
    <n v="200"/>
    <n v="844"/>
    <n v="168800"/>
    <n v="42200"/>
    <x v="1"/>
    <x v="3"/>
    <x v="9"/>
    <x v="1"/>
    <x v="0"/>
  </r>
  <r>
    <n v="10543"/>
    <s v="Morgan"/>
    <s v="morganny@gmail.com"/>
    <x v="1"/>
    <n v="250"/>
    <n v="500"/>
    <n v="790"/>
    <n v="395000"/>
    <n v="197500"/>
    <x v="2"/>
    <x v="4"/>
    <x v="10"/>
    <x v="2"/>
    <x v="1"/>
  </r>
  <r>
    <n v="10544"/>
    <s v="Jones"/>
    <s v="jone.ai@yahoo.com"/>
    <x v="2"/>
    <n v="180"/>
    <n v="450"/>
    <n v="898"/>
    <n v="404100"/>
    <n v="242460"/>
    <x v="3"/>
    <x v="5"/>
    <x v="11"/>
    <x v="1"/>
    <x v="1"/>
  </r>
  <r>
    <n v="10545"/>
    <s v="Parent"/>
    <s v="parentty@uk.com"/>
    <x v="3"/>
    <n v="170"/>
    <n v="250"/>
    <n v="818"/>
    <n v="204500"/>
    <n v="65440"/>
    <x v="4"/>
    <x v="0"/>
    <x v="0"/>
    <x v="1"/>
    <x v="1"/>
  </r>
  <r>
    <n v="10546"/>
    <s v="Kivell"/>
    <s v="kivel_go@yahoo.com"/>
    <x v="4"/>
    <n v="150"/>
    <n v="200"/>
    <n v="707"/>
    <n v="141400"/>
    <n v="35350"/>
    <x v="0"/>
    <x v="1"/>
    <x v="1"/>
    <x v="1"/>
    <x v="0"/>
  </r>
  <r>
    <n v="10547"/>
    <s v="Smith"/>
    <s v="smithMan@yahoo.com"/>
    <x v="5"/>
    <n v="80"/>
    <n v="150"/>
    <n v="712"/>
    <n v="106800"/>
    <n v="49840"/>
    <x v="1"/>
    <x v="2"/>
    <x v="2"/>
    <x v="2"/>
    <x v="0"/>
  </r>
  <r>
    <n v="10548"/>
    <s v="Parent"/>
    <s v="parentty@uk.com"/>
    <x v="6"/>
    <n v="90"/>
    <n v="150"/>
    <n v="991"/>
    <n v="148650"/>
    <n v="59460"/>
    <x v="2"/>
    <x v="3"/>
    <x v="3"/>
    <x v="1"/>
    <x v="1"/>
  </r>
  <r>
    <n v="10549"/>
    <s v="Gill"/>
    <s v="gillhell@uk.com"/>
    <x v="0"/>
    <n v="150"/>
    <n v="200"/>
    <n v="900"/>
    <n v="180000"/>
    <n v="45000"/>
    <x v="3"/>
    <x v="4"/>
    <x v="4"/>
    <x v="0"/>
    <x v="1"/>
  </r>
  <r>
    <n v="10550"/>
    <s v="Smith"/>
    <s v="smithMan@yahoo.com"/>
    <x v="1"/>
    <n v="250"/>
    <n v="500"/>
    <n v="810"/>
    <n v="405000"/>
    <n v="202500"/>
    <x v="4"/>
    <x v="5"/>
    <x v="5"/>
    <x v="0"/>
    <x v="1"/>
  </r>
  <r>
    <n v="10551"/>
    <s v="Jones"/>
    <s v="jone.ai@yahoo.com"/>
    <x v="2"/>
    <n v="180"/>
    <n v="450"/>
    <n v="740"/>
    <n v="333000"/>
    <n v="199800"/>
    <x v="0"/>
    <x v="0"/>
    <x v="6"/>
    <x v="0"/>
    <x v="0"/>
  </r>
  <r>
    <n v="10552"/>
    <s v="Sorvino"/>
    <s v="sorvi2000@gmail.com"/>
    <x v="3"/>
    <n v="170"/>
    <n v="250"/>
    <n v="909"/>
    <n v="227250"/>
    <n v="72720"/>
    <x v="1"/>
    <x v="1"/>
    <x v="7"/>
    <x v="2"/>
    <x v="0"/>
  </r>
  <r>
    <n v="10553"/>
    <s v="Jardine"/>
    <s v="jard@gmail.com"/>
    <x v="4"/>
    <n v="150"/>
    <n v="200"/>
    <n v="824"/>
    <n v="164800"/>
    <n v="41200"/>
    <x v="2"/>
    <x v="2"/>
    <x v="8"/>
    <x v="1"/>
    <x v="1"/>
  </r>
  <r>
    <n v="10554"/>
    <s v="Andrews"/>
    <s v="andy@gmail.com"/>
    <x v="5"/>
    <n v="80"/>
    <n v="150"/>
    <n v="809"/>
    <n v="121350"/>
    <n v="56630"/>
    <x v="3"/>
    <x v="3"/>
    <x v="9"/>
    <x v="2"/>
    <x v="1"/>
  </r>
  <r>
    <n v="10555"/>
    <s v="Howard"/>
    <s v="howard_freeman@yahoo.com"/>
    <x v="6"/>
    <n v="90"/>
    <n v="150"/>
    <n v="819"/>
    <n v="122850"/>
    <n v="49140"/>
    <x v="4"/>
    <x v="4"/>
    <x v="10"/>
    <x v="1"/>
    <x v="1"/>
  </r>
  <r>
    <n v="10556"/>
    <s v="Gill"/>
    <s v="gillhell@uk.com"/>
    <x v="0"/>
    <n v="150"/>
    <n v="200"/>
    <n v="865"/>
    <n v="173000"/>
    <n v="43250"/>
    <x v="0"/>
    <x v="5"/>
    <x v="11"/>
    <x v="0"/>
    <x v="0"/>
  </r>
  <r>
    <n v="10557"/>
    <s v="Gill"/>
    <s v="gillhell@uk.com"/>
    <x v="1"/>
    <n v="250"/>
    <n v="500"/>
    <n v="902"/>
    <n v="451000"/>
    <n v="225500"/>
    <x v="1"/>
    <x v="0"/>
    <x v="0"/>
    <x v="0"/>
    <x v="0"/>
  </r>
  <r>
    <n v="10558"/>
    <s v="Kivell"/>
    <s v="kivel_go@yahoo.com"/>
    <x v="2"/>
    <n v="180"/>
    <n v="450"/>
    <n v="796"/>
    <n v="358200"/>
    <n v="214920"/>
    <x v="2"/>
    <x v="1"/>
    <x v="1"/>
    <x v="2"/>
    <x v="1"/>
  </r>
  <r>
    <n v="10559"/>
    <s v="Jones"/>
    <s v="jone.ai@yahoo.com"/>
    <x v="3"/>
    <n v="170"/>
    <n v="250"/>
    <n v="916"/>
    <n v="229000"/>
    <n v="73280"/>
    <x v="3"/>
    <x v="2"/>
    <x v="2"/>
    <x v="1"/>
    <x v="1"/>
  </r>
  <r>
    <n v="10560"/>
    <s v="Morgan"/>
    <s v="morganny@gmail.com"/>
    <x v="4"/>
    <n v="150"/>
    <n v="200"/>
    <n v="982"/>
    <n v="196400"/>
    <n v="49100"/>
    <x v="4"/>
    <x v="3"/>
    <x v="3"/>
    <x v="2"/>
    <x v="1"/>
  </r>
  <r>
    <n v="10561"/>
    <s v="Kivell"/>
    <s v="kivel_go@yahoo.com"/>
    <x v="5"/>
    <n v="80"/>
    <n v="150"/>
    <n v="734"/>
    <n v="110100"/>
    <n v="51380"/>
    <x v="0"/>
    <x v="4"/>
    <x v="4"/>
    <x v="1"/>
    <x v="0"/>
  </r>
  <r>
    <n v="10562"/>
    <s v="Sorvino"/>
    <s v="sorvi2000@gmail.com"/>
    <x v="6"/>
    <n v="90"/>
    <n v="150"/>
    <n v="735"/>
    <n v="110250"/>
    <n v="44100"/>
    <x v="1"/>
    <x v="5"/>
    <x v="5"/>
    <x v="0"/>
    <x v="0"/>
  </r>
  <r>
    <n v="10563"/>
    <s v="Gill"/>
    <s v="gillhell@uk.com"/>
    <x v="0"/>
    <n v="150"/>
    <n v="200"/>
    <n v="747"/>
    <n v="149400"/>
    <n v="37350"/>
    <x v="2"/>
    <x v="0"/>
    <x v="6"/>
    <x v="2"/>
    <x v="1"/>
  </r>
  <r>
    <n v="10564"/>
    <s v="Sorvino"/>
    <s v="sorvi2000@gmail.com"/>
    <x v="1"/>
    <n v="250"/>
    <n v="500"/>
    <n v="798"/>
    <n v="399000"/>
    <n v="199500"/>
    <x v="3"/>
    <x v="1"/>
    <x v="7"/>
    <x v="1"/>
    <x v="1"/>
  </r>
  <r>
    <n v="10565"/>
    <s v="Thompson"/>
    <s v="thomp@uk.com"/>
    <x v="2"/>
    <n v="180"/>
    <n v="450"/>
    <n v="829"/>
    <n v="373050"/>
    <n v="223830"/>
    <x v="4"/>
    <x v="2"/>
    <x v="8"/>
    <x v="2"/>
    <x v="1"/>
  </r>
  <r>
    <n v="10566"/>
    <s v="Andrews"/>
    <s v="andy@gmail.com"/>
    <x v="3"/>
    <n v="170"/>
    <n v="250"/>
    <n v="729"/>
    <n v="182250"/>
    <n v="58320"/>
    <x v="0"/>
    <x v="3"/>
    <x v="9"/>
    <x v="2"/>
    <x v="0"/>
  </r>
  <r>
    <n v="10567"/>
    <s v="Jardine"/>
    <s v="jard@gmail.com"/>
    <x v="4"/>
    <n v="150"/>
    <n v="200"/>
    <n v="721"/>
    <n v="144200"/>
    <n v="36050"/>
    <x v="1"/>
    <x v="4"/>
    <x v="10"/>
    <x v="0"/>
    <x v="0"/>
  </r>
  <r>
    <n v="10568"/>
    <s v="Jardine"/>
    <s v="jard@gmail.com"/>
    <x v="5"/>
    <n v="80"/>
    <n v="150"/>
    <n v="709"/>
    <n v="106350"/>
    <n v="49630"/>
    <x v="2"/>
    <x v="5"/>
    <x v="11"/>
    <x v="1"/>
    <x v="1"/>
  </r>
  <r>
    <n v="10569"/>
    <s v="Andrews"/>
    <s v="andy@gmail.com"/>
    <x v="6"/>
    <n v="90"/>
    <n v="150"/>
    <n v="719"/>
    <n v="107850"/>
    <n v="43140"/>
    <x v="3"/>
    <x v="0"/>
    <x v="0"/>
    <x v="2"/>
    <x v="1"/>
  </r>
  <r>
    <n v="10570"/>
    <s v="Jardine"/>
    <s v="jard@gmail.com"/>
    <x v="0"/>
    <n v="150"/>
    <n v="200"/>
    <n v="875"/>
    <n v="175000"/>
    <n v="43750"/>
    <x v="4"/>
    <x v="1"/>
    <x v="1"/>
    <x v="1"/>
    <x v="1"/>
  </r>
  <r>
    <n v="10571"/>
    <s v="Gill"/>
    <s v="gillhell@uk.com"/>
    <x v="1"/>
    <n v="250"/>
    <n v="500"/>
    <n v="762"/>
    <n v="381000"/>
    <n v="190500"/>
    <x v="0"/>
    <x v="2"/>
    <x v="2"/>
    <x v="2"/>
    <x v="0"/>
  </r>
  <r>
    <n v="10572"/>
    <s v="Sorvino"/>
    <s v="sorvi2000@gmail.com"/>
    <x v="2"/>
    <n v="180"/>
    <n v="450"/>
    <n v="964"/>
    <n v="433800"/>
    <n v="260280"/>
    <x v="1"/>
    <x v="3"/>
    <x v="3"/>
    <x v="2"/>
    <x v="0"/>
  </r>
  <r>
    <n v="10573"/>
    <s v="Jones"/>
    <s v="jone.ai@yahoo.com"/>
    <x v="3"/>
    <n v="170"/>
    <n v="250"/>
    <n v="931"/>
    <n v="232750"/>
    <n v="74480"/>
    <x v="2"/>
    <x v="4"/>
    <x v="4"/>
    <x v="1"/>
    <x v="1"/>
  </r>
  <r>
    <n v="10574"/>
    <s v="Andrews"/>
    <s v="andy@gmail.com"/>
    <x v="4"/>
    <n v="150"/>
    <n v="200"/>
    <n v="766"/>
    <n v="153200"/>
    <n v="38300"/>
    <x v="3"/>
    <x v="5"/>
    <x v="5"/>
    <x v="0"/>
    <x v="1"/>
  </r>
  <r>
    <n v="10575"/>
    <s v="Jardine"/>
    <s v="jard@gmail.com"/>
    <x v="5"/>
    <n v="80"/>
    <n v="150"/>
    <n v="746"/>
    <n v="111900"/>
    <n v="52220"/>
    <x v="4"/>
    <x v="0"/>
    <x v="6"/>
    <x v="1"/>
    <x v="1"/>
  </r>
  <r>
    <n v="10576"/>
    <s v="Thompson"/>
    <s v="thomp@uk.com"/>
    <x v="6"/>
    <n v="90"/>
    <n v="150"/>
    <n v="942"/>
    <n v="141300"/>
    <n v="56520"/>
    <x v="0"/>
    <x v="1"/>
    <x v="7"/>
    <x v="2"/>
    <x v="0"/>
  </r>
  <r>
    <n v="10577"/>
    <s v="Jones"/>
    <s v="jone.ai@yahoo.com"/>
    <x v="0"/>
    <n v="150"/>
    <n v="200"/>
    <n v="724"/>
    <n v="144800"/>
    <n v="36200"/>
    <x v="1"/>
    <x v="2"/>
    <x v="8"/>
    <x v="0"/>
    <x v="0"/>
  </r>
  <r>
    <n v="10578"/>
    <s v="Morgan"/>
    <s v="morganny@gmail.com"/>
    <x v="1"/>
    <n v="250"/>
    <n v="500"/>
    <n v="887"/>
    <n v="443500"/>
    <n v="221750"/>
    <x v="2"/>
    <x v="3"/>
    <x v="9"/>
    <x v="1"/>
    <x v="1"/>
  </r>
  <r>
    <n v="10579"/>
    <s v="Howard"/>
    <s v="howard_freeman@yahoo.com"/>
    <x v="2"/>
    <n v="180"/>
    <n v="450"/>
    <n v="703"/>
    <n v="316350"/>
    <n v="189810"/>
    <x v="3"/>
    <x v="4"/>
    <x v="10"/>
    <x v="2"/>
    <x v="1"/>
  </r>
  <r>
    <n v="10580"/>
    <s v="Parent"/>
    <s v="parentty@uk.com"/>
    <x v="3"/>
    <n v="170"/>
    <n v="250"/>
    <n v="930"/>
    <n v="232500"/>
    <n v="74400"/>
    <x v="4"/>
    <x v="5"/>
    <x v="11"/>
    <x v="1"/>
    <x v="1"/>
  </r>
  <r>
    <n v="10581"/>
    <s v="Jones"/>
    <s v="jone.ai@yahoo.com"/>
    <x v="4"/>
    <n v="150"/>
    <n v="200"/>
    <n v="867"/>
    <n v="173400"/>
    <n v="43350"/>
    <x v="0"/>
    <x v="0"/>
    <x v="0"/>
    <x v="2"/>
    <x v="0"/>
  </r>
  <r>
    <n v="10582"/>
    <s v="Smith"/>
    <s v="smithMan@yahoo.com"/>
    <x v="5"/>
    <n v="80"/>
    <n v="150"/>
    <n v="853"/>
    <n v="127950"/>
    <n v="59710"/>
    <x v="1"/>
    <x v="1"/>
    <x v="1"/>
    <x v="1"/>
    <x v="0"/>
  </r>
  <r>
    <n v="10583"/>
    <s v="Jones"/>
    <s v="jone.ai@yahoo.com"/>
    <x v="6"/>
    <n v="90"/>
    <n v="150"/>
    <n v="794"/>
    <n v="119100"/>
    <n v="47640"/>
    <x v="2"/>
    <x v="2"/>
    <x v="2"/>
    <x v="1"/>
    <x v="1"/>
  </r>
  <r>
    <n v="10584"/>
    <s v="Morgan"/>
    <s v="morganny@gmail.com"/>
    <x v="0"/>
    <n v="150"/>
    <n v="200"/>
    <n v="974"/>
    <n v="194800"/>
    <n v="48700"/>
    <x v="3"/>
    <x v="3"/>
    <x v="3"/>
    <x v="1"/>
    <x v="1"/>
  </r>
  <r>
    <n v="10585"/>
    <s v="Jones"/>
    <s v="jone.ai@yahoo.com"/>
    <x v="1"/>
    <n v="250"/>
    <n v="500"/>
    <n v="778"/>
    <n v="389000"/>
    <n v="194500"/>
    <x v="4"/>
    <x v="4"/>
    <x v="4"/>
    <x v="0"/>
    <x v="1"/>
  </r>
  <r>
    <n v="10586"/>
    <s v="Parent"/>
    <s v="parentty@uk.com"/>
    <x v="2"/>
    <n v="180"/>
    <n v="450"/>
    <n v="939"/>
    <n v="422550"/>
    <n v="253530"/>
    <x v="0"/>
    <x v="5"/>
    <x v="5"/>
    <x v="1"/>
    <x v="0"/>
  </r>
  <r>
    <n v="10587"/>
    <s v="Kivell"/>
    <s v="kivel_go@yahoo.com"/>
    <x v="3"/>
    <n v="170"/>
    <n v="250"/>
    <n v="763"/>
    <n v="190750"/>
    <n v="61040"/>
    <x v="1"/>
    <x v="0"/>
    <x v="6"/>
    <x v="2"/>
    <x v="0"/>
  </r>
  <r>
    <n v="10588"/>
    <s v="Smith"/>
    <s v="smithMan@yahoo.com"/>
    <x v="4"/>
    <n v="150"/>
    <n v="200"/>
    <n v="970"/>
    <n v="194000"/>
    <n v="48500"/>
    <x v="2"/>
    <x v="1"/>
    <x v="7"/>
    <x v="0"/>
    <x v="1"/>
  </r>
  <r>
    <n v="10589"/>
    <s v="Parent"/>
    <s v="parentty@uk.com"/>
    <x v="5"/>
    <n v="80"/>
    <n v="150"/>
    <n v="808"/>
    <n v="121200"/>
    <n v="56560"/>
    <x v="3"/>
    <x v="2"/>
    <x v="8"/>
    <x v="2"/>
    <x v="1"/>
  </r>
  <r>
    <n v="10590"/>
    <s v="Gill"/>
    <s v="gillhell@uk.com"/>
    <x v="6"/>
    <n v="90"/>
    <n v="150"/>
    <n v="952"/>
    <n v="142800"/>
    <n v="57120"/>
    <x v="4"/>
    <x v="3"/>
    <x v="9"/>
    <x v="0"/>
    <x v="1"/>
  </r>
  <r>
    <n v="10591"/>
    <s v="Smith"/>
    <s v="smithMan@yahoo.com"/>
    <x v="0"/>
    <n v="150"/>
    <n v="200"/>
    <n v="918"/>
    <n v="183600"/>
    <n v="45900"/>
    <x v="0"/>
    <x v="4"/>
    <x v="10"/>
    <x v="0"/>
    <x v="0"/>
  </r>
  <r>
    <n v="10592"/>
    <s v="Jones"/>
    <s v="jone.ai@yahoo.com"/>
    <x v="1"/>
    <n v="250"/>
    <n v="500"/>
    <n v="934"/>
    <n v="467000"/>
    <n v="233500"/>
    <x v="1"/>
    <x v="5"/>
    <x v="11"/>
    <x v="1"/>
    <x v="0"/>
  </r>
  <r>
    <n v="10593"/>
    <s v="Sorvino"/>
    <s v="sorvi2000@gmail.com"/>
    <x v="2"/>
    <n v="180"/>
    <n v="450"/>
    <n v="753"/>
    <n v="338850"/>
    <n v="203310"/>
    <x v="2"/>
    <x v="0"/>
    <x v="0"/>
    <x v="0"/>
    <x v="1"/>
  </r>
  <r>
    <n v="10594"/>
    <s v="Jardine"/>
    <s v="jard@gmail.com"/>
    <x v="3"/>
    <n v="170"/>
    <n v="250"/>
    <n v="740"/>
    <n v="185000"/>
    <n v="59200"/>
    <x v="3"/>
    <x v="1"/>
    <x v="1"/>
    <x v="1"/>
    <x v="1"/>
  </r>
  <r>
    <n v="10595"/>
    <s v="Andrews"/>
    <s v="andy@gmail.com"/>
    <x v="4"/>
    <n v="150"/>
    <n v="200"/>
    <n v="829"/>
    <n v="165800"/>
    <n v="41450"/>
    <x v="4"/>
    <x v="2"/>
    <x v="2"/>
    <x v="1"/>
    <x v="1"/>
  </r>
  <r>
    <n v="10596"/>
    <s v="Howard"/>
    <s v="howard_freeman@yahoo.com"/>
    <x v="5"/>
    <n v="80"/>
    <n v="150"/>
    <n v="977"/>
    <n v="146550"/>
    <n v="68390"/>
    <x v="0"/>
    <x v="3"/>
    <x v="3"/>
    <x v="1"/>
    <x v="0"/>
  </r>
  <r>
    <n v="10597"/>
    <s v="Gill"/>
    <s v="gillhell@uk.com"/>
    <x v="6"/>
    <n v="90"/>
    <n v="150"/>
    <n v="968"/>
    <n v="145200"/>
    <n v="58080"/>
    <x v="1"/>
    <x v="4"/>
    <x v="4"/>
    <x v="1"/>
    <x v="0"/>
  </r>
  <r>
    <n v="10598"/>
    <s v="Gill"/>
    <s v="gillhell@uk.com"/>
    <x v="0"/>
    <n v="150"/>
    <n v="200"/>
    <n v="797"/>
    <n v="159400"/>
    <n v="39850"/>
    <x v="2"/>
    <x v="5"/>
    <x v="5"/>
    <x v="2"/>
    <x v="1"/>
  </r>
  <r>
    <n v="10599"/>
    <s v="Kivell"/>
    <s v="kivel_go@yahoo.com"/>
    <x v="1"/>
    <n v="250"/>
    <n v="500"/>
    <n v="926"/>
    <n v="463000"/>
    <n v="231500"/>
    <x v="3"/>
    <x v="0"/>
    <x v="6"/>
    <x v="1"/>
    <x v="1"/>
  </r>
  <r>
    <n v="10600"/>
    <s v="Jones"/>
    <s v="jone.ai@yahoo.com"/>
    <x v="2"/>
    <n v="180"/>
    <n v="450"/>
    <n v="925"/>
    <n v="416250"/>
    <n v="249750"/>
    <x v="4"/>
    <x v="1"/>
    <x v="7"/>
    <x v="0"/>
    <x v="1"/>
  </r>
  <r>
    <n v="10601"/>
    <s v="Morgan"/>
    <s v="morganny@gmail.com"/>
    <x v="3"/>
    <n v="170"/>
    <n v="250"/>
    <n v="911"/>
    <n v="227750"/>
    <n v="72880"/>
    <x v="0"/>
    <x v="2"/>
    <x v="8"/>
    <x v="2"/>
    <x v="0"/>
  </r>
  <r>
    <n v="10602"/>
    <s v="Kivell"/>
    <s v="kivel_go@yahoo.com"/>
    <x v="4"/>
    <n v="150"/>
    <n v="200"/>
    <n v="709"/>
    <n v="141800"/>
    <n v="35450"/>
    <x v="1"/>
    <x v="3"/>
    <x v="9"/>
    <x v="2"/>
    <x v="0"/>
  </r>
  <r>
    <n v="10603"/>
    <s v="Sorvino"/>
    <s v="sorvi2000@gmail.com"/>
    <x v="5"/>
    <n v="80"/>
    <n v="150"/>
    <n v="791"/>
    <n v="118650"/>
    <n v="55370"/>
    <x v="2"/>
    <x v="4"/>
    <x v="10"/>
    <x v="0"/>
    <x v="1"/>
  </r>
  <r>
    <n v="10604"/>
    <s v="Gill"/>
    <s v="gillhell@uk.com"/>
    <x v="6"/>
    <n v="90"/>
    <n v="150"/>
    <n v="702"/>
    <n v="105300"/>
    <n v="42120"/>
    <x v="3"/>
    <x v="5"/>
    <x v="11"/>
    <x v="1"/>
    <x v="1"/>
  </r>
  <r>
    <n v="10605"/>
    <s v="Sorvino"/>
    <s v="sorvi2000@gmail.com"/>
    <x v="0"/>
    <n v="150"/>
    <n v="200"/>
    <n v="922"/>
    <n v="184400"/>
    <n v="46100"/>
    <x v="4"/>
    <x v="0"/>
    <x v="0"/>
    <x v="2"/>
    <x v="1"/>
  </r>
  <r>
    <n v="10606"/>
    <s v="Thompson"/>
    <s v="thomp@uk.com"/>
    <x v="1"/>
    <n v="250"/>
    <n v="500"/>
    <n v="957"/>
    <n v="478500"/>
    <n v="239250"/>
    <x v="0"/>
    <x v="1"/>
    <x v="1"/>
    <x v="0"/>
    <x v="0"/>
  </r>
  <r>
    <n v="10607"/>
    <s v="Andrews"/>
    <s v="andy@gmail.com"/>
    <x v="2"/>
    <n v="180"/>
    <n v="450"/>
    <n v="811"/>
    <n v="364950"/>
    <n v="218970"/>
    <x v="1"/>
    <x v="2"/>
    <x v="2"/>
    <x v="2"/>
    <x v="0"/>
  </r>
  <r>
    <n v="10608"/>
    <s v="Jardine"/>
    <s v="jard@gmail.com"/>
    <x v="3"/>
    <n v="170"/>
    <n v="250"/>
    <n v="776"/>
    <n v="194000"/>
    <n v="62080"/>
    <x v="2"/>
    <x v="3"/>
    <x v="3"/>
    <x v="1"/>
    <x v="1"/>
  </r>
  <r>
    <n v="10609"/>
    <s v="Jardine"/>
    <s v="jard@gmail.com"/>
    <x v="4"/>
    <n v="150"/>
    <n v="200"/>
    <n v="998"/>
    <n v="199600"/>
    <n v="49900"/>
    <x v="3"/>
    <x v="4"/>
    <x v="4"/>
    <x v="1"/>
    <x v="1"/>
  </r>
  <r>
    <n v="10610"/>
    <s v="Andrews"/>
    <s v="andy@gmail.com"/>
    <x v="5"/>
    <n v="80"/>
    <n v="150"/>
    <n v="872"/>
    <n v="130800"/>
    <n v="61040"/>
    <x v="4"/>
    <x v="5"/>
    <x v="5"/>
    <x v="2"/>
    <x v="1"/>
  </r>
  <r>
    <n v="10611"/>
    <s v="Jones"/>
    <s v="jone.ai@yahoo.com"/>
    <x v="6"/>
    <n v="90"/>
    <n v="150"/>
    <n v="763"/>
    <n v="114450"/>
    <n v="45780"/>
    <x v="0"/>
    <x v="0"/>
    <x v="6"/>
    <x v="0"/>
    <x v="0"/>
  </r>
  <r>
    <n v="10612"/>
    <s v="Morgan"/>
    <s v="morganny@gmail.com"/>
    <x v="0"/>
    <n v="150"/>
    <n v="200"/>
    <n v="822"/>
    <n v="164400"/>
    <n v="41100"/>
    <x v="1"/>
    <x v="1"/>
    <x v="7"/>
    <x v="2"/>
    <x v="0"/>
  </r>
  <r>
    <n v="10613"/>
    <s v="Kivell"/>
    <s v="kivel_go@yahoo.com"/>
    <x v="1"/>
    <n v="250"/>
    <n v="500"/>
    <n v="721"/>
    <n v="360500"/>
    <n v="180250"/>
    <x v="2"/>
    <x v="2"/>
    <x v="8"/>
    <x v="1"/>
    <x v="1"/>
  </r>
  <r>
    <n v="10614"/>
    <s v="Sorvino"/>
    <s v="sorvi2000@gmail.com"/>
    <x v="2"/>
    <n v="180"/>
    <n v="450"/>
    <n v="890"/>
    <n v="400500"/>
    <n v="240300"/>
    <x v="3"/>
    <x v="3"/>
    <x v="9"/>
    <x v="2"/>
    <x v="1"/>
  </r>
  <r>
    <n v="10615"/>
    <s v="Gill"/>
    <s v="gillhell@uk.com"/>
    <x v="3"/>
    <n v="170"/>
    <n v="250"/>
    <n v="860"/>
    <n v="215000"/>
    <n v="68800"/>
    <x v="4"/>
    <x v="4"/>
    <x v="10"/>
    <x v="0"/>
    <x v="1"/>
  </r>
  <r>
    <n v="10616"/>
    <s v="Sorvino"/>
    <s v="sorvi2000@gmail.com"/>
    <x v="4"/>
    <n v="150"/>
    <n v="200"/>
    <n v="824"/>
    <n v="164800"/>
    <n v="41200"/>
    <x v="0"/>
    <x v="5"/>
    <x v="11"/>
    <x v="2"/>
    <x v="0"/>
  </r>
  <r>
    <n v="10617"/>
    <s v="Thompson"/>
    <s v="thomp@uk.com"/>
    <x v="5"/>
    <n v="80"/>
    <n v="150"/>
    <n v="916"/>
    <n v="137400"/>
    <n v="64120"/>
    <x v="1"/>
    <x v="0"/>
    <x v="0"/>
    <x v="2"/>
    <x v="0"/>
  </r>
  <r>
    <n v="10618"/>
    <s v="Andrews"/>
    <s v="andy@gmail.com"/>
    <x v="6"/>
    <n v="90"/>
    <n v="150"/>
    <n v="855"/>
    <n v="128250"/>
    <n v="51300"/>
    <x v="2"/>
    <x v="1"/>
    <x v="1"/>
    <x v="0"/>
    <x v="1"/>
  </r>
  <r>
    <n v="10619"/>
    <s v="Jardine"/>
    <s v="jard@gmail.com"/>
    <x v="0"/>
    <n v="150"/>
    <n v="200"/>
    <n v="715"/>
    <n v="143000"/>
    <n v="35750"/>
    <x v="3"/>
    <x v="2"/>
    <x v="2"/>
    <x v="1"/>
    <x v="1"/>
  </r>
  <r>
    <n v="10620"/>
    <s v="Jardine"/>
    <s v="jard@gmail.com"/>
    <x v="1"/>
    <n v="250"/>
    <n v="500"/>
    <n v="940"/>
    <n v="470000"/>
    <n v="235000"/>
    <x v="4"/>
    <x v="3"/>
    <x v="3"/>
    <x v="0"/>
    <x v="1"/>
  </r>
  <r>
    <n v="10621"/>
    <s v="Andrews"/>
    <s v="andy@gmail.com"/>
    <x v="2"/>
    <n v="180"/>
    <n v="450"/>
    <n v="847"/>
    <n v="381150"/>
    <n v="228690"/>
    <x v="0"/>
    <x v="4"/>
    <x v="4"/>
    <x v="0"/>
    <x v="0"/>
  </r>
  <r>
    <n v="10622"/>
    <s v="Jardine"/>
    <s v="jard@gmail.com"/>
    <x v="3"/>
    <n v="170"/>
    <n v="250"/>
    <n v="889"/>
    <n v="222250"/>
    <n v="71120"/>
    <x v="1"/>
    <x v="5"/>
    <x v="5"/>
    <x v="2"/>
    <x v="0"/>
  </r>
  <r>
    <n v="10623"/>
    <s v="Gill"/>
    <s v="gillhell@uk.com"/>
    <x v="4"/>
    <n v="150"/>
    <n v="200"/>
    <n v="928"/>
    <n v="185600"/>
    <n v="46400"/>
    <x v="2"/>
    <x v="0"/>
    <x v="6"/>
    <x v="0"/>
    <x v="1"/>
  </r>
  <r>
    <n v="10624"/>
    <s v="Sorvino"/>
    <s v="sorvi2000@gmail.com"/>
    <x v="5"/>
    <n v="80"/>
    <n v="150"/>
    <n v="943"/>
    <n v="141450"/>
    <n v="66010"/>
    <x v="3"/>
    <x v="1"/>
    <x v="7"/>
    <x v="0"/>
    <x v="1"/>
  </r>
  <r>
    <n v="10625"/>
    <s v="Jones"/>
    <s v="jone.ai@yahoo.com"/>
    <x v="6"/>
    <n v="90"/>
    <n v="150"/>
    <n v="716"/>
    <n v="107400"/>
    <n v="42960"/>
    <x v="4"/>
    <x v="2"/>
    <x v="8"/>
    <x v="1"/>
    <x v="1"/>
  </r>
  <r>
    <n v="10626"/>
    <s v="Andrews"/>
    <s v="andy@gmail.com"/>
    <x v="0"/>
    <n v="150"/>
    <n v="200"/>
    <n v="757"/>
    <n v="151400"/>
    <n v="37850"/>
    <x v="0"/>
    <x v="3"/>
    <x v="9"/>
    <x v="1"/>
    <x v="0"/>
  </r>
  <r>
    <n v="10627"/>
    <s v="Jardine"/>
    <s v="jard@gmail.com"/>
    <x v="1"/>
    <n v="250"/>
    <n v="500"/>
    <n v="795"/>
    <n v="397500"/>
    <n v="198750"/>
    <x v="1"/>
    <x v="4"/>
    <x v="10"/>
    <x v="2"/>
    <x v="0"/>
  </r>
  <r>
    <n v="10628"/>
    <s v="Thompson"/>
    <s v="thomp@uk.com"/>
    <x v="2"/>
    <n v="180"/>
    <n v="450"/>
    <n v="940"/>
    <n v="423000"/>
    <n v="253800"/>
    <x v="2"/>
    <x v="5"/>
    <x v="11"/>
    <x v="0"/>
    <x v="1"/>
  </r>
  <r>
    <n v="10629"/>
    <s v="Jones"/>
    <s v="jone.ai@yahoo.com"/>
    <x v="3"/>
    <n v="170"/>
    <n v="250"/>
    <n v="899"/>
    <n v="224750"/>
    <n v="71920"/>
    <x v="3"/>
    <x v="0"/>
    <x v="0"/>
    <x v="0"/>
    <x v="1"/>
  </r>
  <r>
    <n v="10630"/>
    <s v="Morgan"/>
    <s v="morganny@gmail.com"/>
    <x v="4"/>
    <n v="150"/>
    <n v="200"/>
    <n v="907"/>
    <n v="181400"/>
    <n v="45350"/>
    <x v="4"/>
    <x v="1"/>
    <x v="1"/>
    <x v="1"/>
    <x v="1"/>
  </r>
  <r>
    <n v="10631"/>
    <s v="Howard"/>
    <s v="howard_freeman@yahoo.com"/>
    <x v="5"/>
    <n v="80"/>
    <n v="150"/>
    <n v="929"/>
    <n v="139350"/>
    <n v="65030"/>
    <x v="0"/>
    <x v="2"/>
    <x v="2"/>
    <x v="0"/>
    <x v="0"/>
  </r>
  <r>
    <n v="10632"/>
    <s v="Parent"/>
    <s v="parentty@uk.com"/>
    <x v="6"/>
    <n v="90"/>
    <n v="150"/>
    <n v="790"/>
    <n v="118500"/>
    <n v="47400"/>
    <x v="1"/>
    <x v="3"/>
    <x v="3"/>
    <x v="1"/>
    <x v="0"/>
  </r>
  <r>
    <n v="10633"/>
    <s v="Jones"/>
    <s v="jone.ai@yahoo.com"/>
    <x v="0"/>
    <n v="150"/>
    <n v="200"/>
    <n v="939"/>
    <n v="187800"/>
    <n v="46950"/>
    <x v="2"/>
    <x v="4"/>
    <x v="4"/>
    <x v="1"/>
    <x v="1"/>
  </r>
  <r>
    <n v="10634"/>
    <s v="Smith"/>
    <s v="smithMan@yahoo.com"/>
    <x v="1"/>
    <n v="250"/>
    <n v="500"/>
    <n v="720"/>
    <n v="360000"/>
    <n v="180000"/>
    <x v="3"/>
    <x v="5"/>
    <x v="5"/>
    <x v="0"/>
    <x v="1"/>
  </r>
  <r>
    <n v="10635"/>
    <s v="Jones"/>
    <s v="jone.ai@yahoo.com"/>
    <x v="2"/>
    <n v="180"/>
    <n v="450"/>
    <n v="745"/>
    <n v="335250"/>
    <n v="201150"/>
    <x v="4"/>
    <x v="0"/>
    <x v="6"/>
    <x v="1"/>
    <x v="1"/>
  </r>
  <r>
    <n v="10636"/>
    <s v="Jardine"/>
    <s v="jard@gmail.com"/>
    <x v="3"/>
    <n v="170"/>
    <n v="250"/>
    <n v="846"/>
    <n v="211500"/>
    <n v="67680"/>
    <x v="0"/>
    <x v="1"/>
    <x v="7"/>
    <x v="2"/>
    <x v="0"/>
  </r>
  <r>
    <n v="10637"/>
    <s v="Gill"/>
    <s v="gillhell@uk.com"/>
    <x v="4"/>
    <n v="150"/>
    <n v="200"/>
    <n v="937"/>
    <n v="187400"/>
    <n v="46850"/>
    <x v="1"/>
    <x v="2"/>
    <x v="8"/>
    <x v="1"/>
    <x v="0"/>
  </r>
  <r>
    <n v="10638"/>
    <s v="Sorvino"/>
    <s v="sorvi2000@gmail.com"/>
    <x v="5"/>
    <n v="80"/>
    <n v="150"/>
    <n v="874"/>
    <n v="131100"/>
    <n v="61180"/>
    <x v="2"/>
    <x v="3"/>
    <x v="9"/>
    <x v="1"/>
    <x v="1"/>
  </r>
  <r>
    <n v="10639"/>
    <s v="Jones"/>
    <s v="jone.ai@yahoo.com"/>
    <x v="6"/>
    <n v="90"/>
    <n v="150"/>
    <n v="822"/>
    <n v="123300"/>
    <n v="49320"/>
    <x v="3"/>
    <x v="4"/>
    <x v="10"/>
    <x v="1"/>
    <x v="1"/>
  </r>
  <r>
    <n v="10640"/>
    <s v="Andrews"/>
    <s v="andy@gmail.com"/>
    <x v="0"/>
    <n v="150"/>
    <n v="200"/>
    <n v="737"/>
    <n v="147400"/>
    <n v="36850"/>
    <x v="4"/>
    <x v="5"/>
    <x v="11"/>
    <x v="2"/>
    <x v="1"/>
  </r>
  <r>
    <n v="10641"/>
    <s v="Jardine"/>
    <s v="jard@gmail.com"/>
    <x v="1"/>
    <n v="250"/>
    <n v="500"/>
    <n v="759"/>
    <n v="379500"/>
    <n v="189750"/>
    <x v="0"/>
    <x v="0"/>
    <x v="0"/>
    <x v="1"/>
    <x v="0"/>
  </r>
  <r>
    <n v="10642"/>
    <s v="Thompson"/>
    <s v="thomp@uk.com"/>
    <x v="2"/>
    <n v="180"/>
    <n v="450"/>
    <n v="877"/>
    <n v="394650"/>
    <n v="236790"/>
    <x v="1"/>
    <x v="1"/>
    <x v="1"/>
    <x v="1"/>
    <x v="0"/>
  </r>
  <r>
    <n v="10643"/>
    <s v="Jones"/>
    <s v="jone.ai@yahoo.com"/>
    <x v="3"/>
    <n v="170"/>
    <n v="250"/>
    <n v="874"/>
    <n v="218500"/>
    <n v="69920"/>
    <x v="2"/>
    <x v="2"/>
    <x v="2"/>
    <x v="2"/>
    <x v="1"/>
  </r>
  <r>
    <n v="10644"/>
    <s v="Morgan"/>
    <s v="morganny@gmail.com"/>
    <x v="4"/>
    <n v="150"/>
    <n v="200"/>
    <n v="763"/>
    <n v="152600"/>
    <n v="38150"/>
    <x v="3"/>
    <x v="3"/>
    <x v="3"/>
    <x v="1"/>
    <x v="1"/>
  </r>
  <r>
    <n v="10645"/>
    <s v="Howard"/>
    <s v="howard_freeman@yahoo.com"/>
    <x v="5"/>
    <n v="80"/>
    <n v="150"/>
    <n v="793"/>
    <n v="118950"/>
    <n v="55510"/>
    <x v="4"/>
    <x v="4"/>
    <x v="4"/>
    <x v="1"/>
    <x v="1"/>
  </r>
  <r>
    <n v="10646"/>
    <s v="Parent"/>
    <s v="parentty@uk.com"/>
    <x v="6"/>
    <n v="90"/>
    <n v="150"/>
    <n v="937"/>
    <n v="140550"/>
    <n v="56220"/>
    <x v="0"/>
    <x v="5"/>
    <x v="5"/>
    <x v="0"/>
    <x v="0"/>
  </r>
  <r>
    <n v="10647"/>
    <s v="Jones"/>
    <s v="jone.ai@yahoo.com"/>
    <x v="0"/>
    <n v="150"/>
    <n v="200"/>
    <n v="865"/>
    <n v="173000"/>
    <n v="43250"/>
    <x v="1"/>
    <x v="0"/>
    <x v="6"/>
    <x v="1"/>
    <x v="0"/>
  </r>
  <r>
    <n v="10648"/>
    <s v="Smith"/>
    <s v="smithMan@yahoo.com"/>
    <x v="1"/>
    <n v="250"/>
    <n v="500"/>
    <n v="942"/>
    <n v="471000"/>
    <n v="235500"/>
    <x v="2"/>
    <x v="1"/>
    <x v="7"/>
    <x v="0"/>
    <x v="1"/>
  </r>
  <r>
    <n v="10649"/>
    <s v="Jones"/>
    <s v="jone.ai@yahoo.com"/>
    <x v="2"/>
    <n v="180"/>
    <n v="450"/>
    <n v="815"/>
    <n v="366750"/>
    <n v="220050"/>
    <x v="3"/>
    <x v="2"/>
    <x v="8"/>
    <x v="2"/>
    <x v="1"/>
  </r>
  <r>
    <n v="10650"/>
    <s v="Morgan"/>
    <s v="morganny@gmail.com"/>
    <x v="3"/>
    <n v="170"/>
    <n v="250"/>
    <n v="958"/>
    <n v="239500"/>
    <n v="76640"/>
    <x v="4"/>
    <x v="3"/>
    <x v="9"/>
    <x v="0"/>
    <x v="1"/>
  </r>
  <r>
    <n v="10651"/>
    <s v="Jones"/>
    <s v="jone.ai@yahoo.com"/>
    <x v="4"/>
    <n v="150"/>
    <n v="200"/>
    <n v="869"/>
    <n v="173800"/>
    <n v="43450"/>
    <x v="0"/>
    <x v="4"/>
    <x v="10"/>
    <x v="1"/>
    <x v="0"/>
  </r>
  <r>
    <n v="10652"/>
    <s v="Parent"/>
    <s v="parentty@uk.com"/>
    <x v="5"/>
    <n v="80"/>
    <n v="150"/>
    <n v="750"/>
    <n v="112500"/>
    <n v="52500"/>
    <x v="1"/>
    <x v="5"/>
    <x v="11"/>
    <x v="1"/>
    <x v="0"/>
  </r>
  <r>
    <n v="10653"/>
    <s v="Kivell"/>
    <s v="kivel_go@yahoo.com"/>
    <x v="6"/>
    <n v="90"/>
    <n v="150"/>
    <n v="702"/>
    <n v="105300"/>
    <n v="42120"/>
    <x v="2"/>
    <x v="0"/>
    <x v="0"/>
    <x v="2"/>
    <x v="1"/>
  </r>
  <r>
    <n v="10654"/>
    <s v="Smith"/>
    <s v="smithMan@yahoo.com"/>
    <x v="0"/>
    <n v="150"/>
    <n v="200"/>
    <n v="917"/>
    <n v="183400"/>
    <n v="45850"/>
    <x v="3"/>
    <x v="1"/>
    <x v="1"/>
    <x v="0"/>
    <x v="1"/>
  </r>
  <r>
    <n v="10655"/>
    <s v="Parent"/>
    <s v="parentty@uk.com"/>
    <x v="1"/>
    <n v="250"/>
    <n v="500"/>
    <n v="914"/>
    <n v="457000"/>
    <n v="228500"/>
    <x v="4"/>
    <x v="2"/>
    <x v="2"/>
    <x v="0"/>
    <x v="1"/>
  </r>
  <r>
    <n v="10656"/>
    <s v="Gill"/>
    <s v="gillhell@uk.com"/>
    <x v="2"/>
    <n v="180"/>
    <n v="450"/>
    <n v="817"/>
    <n v="367650"/>
    <n v="220590"/>
    <x v="0"/>
    <x v="3"/>
    <x v="3"/>
    <x v="1"/>
    <x v="0"/>
  </r>
  <r>
    <n v="10657"/>
    <s v="Smith"/>
    <s v="smithMan@yahoo.com"/>
    <x v="3"/>
    <n v="170"/>
    <n v="250"/>
    <n v="913"/>
    <n v="228250"/>
    <n v="73040"/>
    <x v="1"/>
    <x v="4"/>
    <x v="4"/>
    <x v="1"/>
    <x v="0"/>
  </r>
  <r>
    <n v="10658"/>
    <s v="Jones"/>
    <s v="jone.ai@yahoo.com"/>
    <x v="4"/>
    <n v="150"/>
    <n v="200"/>
    <n v="705"/>
    <n v="141000"/>
    <n v="35250"/>
    <x v="2"/>
    <x v="5"/>
    <x v="5"/>
    <x v="1"/>
    <x v="1"/>
  </r>
  <r>
    <n v="10659"/>
    <s v="Sorvino"/>
    <s v="sorvi2000@gmail.com"/>
    <x v="5"/>
    <n v="80"/>
    <n v="150"/>
    <n v="964"/>
    <n v="144600"/>
    <n v="67480"/>
    <x v="3"/>
    <x v="0"/>
    <x v="6"/>
    <x v="2"/>
    <x v="1"/>
  </r>
  <r>
    <n v="10660"/>
    <s v="Jardine"/>
    <s v="jard@gmail.com"/>
    <x v="6"/>
    <n v="90"/>
    <n v="150"/>
    <n v="891"/>
    <n v="133650"/>
    <n v="53460"/>
    <x v="4"/>
    <x v="1"/>
    <x v="7"/>
    <x v="2"/>
    <x v="1"/>
  </r>
  <r>
    <n v="10661"/>
    <s v="Andrews"/>
    <s v="andy@gmail.com"/>
    <x v="0"/>
    <n v="150"/>
    <n v="200"/>
    <n v="977"/>
    <n v="195400"/>
    <n v="48850"/>
    <x v="0"/>
    <x v="2"/>
    <x v="8"/>
    <x v="0"/>
    <x v="0"/>
  </r>
  <r>
    <n v="10662"/>
    <s v="Howard"/>
    <s v="howard_freeman@yahoo.com"/>
    <x v="1"/>
    <n v="250"/>
    <n v="500"/>
    <n v="948"/>
    <n v="474000"/>
    <n v="237000"/>
    <x v="1"/>
    <x v="3"/>
    <x v="9"/>
    <x v="0"/>
    <x v="0"/>
  </r>
  <r>
    <n v="10663"/>
    <s v="Gill"/>
    <s v="gillhell@uk.com"/>
    <x v="2"/>
    <n v="180"/>
    <n v="450"/>
    <n v="751"/>
    <n v="337950"/>
    <n v="202770"/>
    <x v="2"/>
    <x v="4"/>
    <x v="10"/>
    <x v="2"/>
    <x v="1"/>
  </r>
  <r>
    <n v="10664"/>
    <s v="Gill"/>
    <s v="gillhell@uk.com"/>
    <x v="3"/>
    <n v="170"/>
    <n v="250"/>
    <n v="827"/>
    <n v="206750"/>
    <n v="66160"/>
    <x v="3"/>
    <x v="5"/>
    <x v="11"/>
    <x v="2"/>
    <x v="1"/>
  </r>
  <r>
    <n v="10665"/>
    <s v="Kivell"/>
    <s v="kivel_go@yahoo.com"/>
    <x v="4"/>
    <n v="150"/>
    <n v="200"/>
    <n v="943"/>
    <n v="188600"/>
    <n v="47150"/>
    <x v="4"/>
    <x v="0"/>
    <x v="0"/>
    <x v="0"/>
    <x v="1"/>
  </r>
  <r>
    <n v="10666"/>
    <s v="Jones"/>
    <s v="jone.ai@yahoo.com"/>
    <x v="5"/>
    <n v="80"/>
    <n v="150"/>
    <n v="901"/>
    <n v="135150"/>
    <n v="63070"/>
    <x v="0"/>
    <x v="1"/>
    <x v="1"/>
    <x v="0"/>
    <x v="0"/>
  </r>
  <r>
    <n v="10667"/>
    <s v="Morgan"/>
    <s v="morganny@gmail.com"/>
    <x v="6"/>
    <n v="90"/>
    <n v="150"/>
    <n v="907"/>
    <n v="136050"/>
    <n v="54420"/>
    <x v="1"/>
    <x v="2"/>
    <x v="2"/>
    <x v="0"/>
    <x v="0"/>
  </r>
  <r>
    <n v="10668"/>
    <s v="Kivell"/>
    <s v="kivel_go@yahoo.com"/>
    <x v="0"/>
    <n v="150"/>
    <n v="200"/>
    <n v="755"/>
    <n v="151000"/>
    <n v="37750"/>
    <x v="2"/>
    <x v="3"/>
    <x v="3"/>
    <x v="1"/>
    <x v="1"/>
  </r>
  <r>
    <n v="10669"/>
    <s v="Sorvino"/>
    <s v="sorvi2000@gmail.com"/>
    <x v="1"/>
    <n v="250"/>
    <n v="500"/>
    <n v="802"/>
    <n v="401000"/>
    <n v="200500"/>
    <x v="3"/>
    <x v="4"/>
    <x v="4"/>
    <x v="2"/>
    <x v="1"/>
  </r>
  <r>
    <n v="10670"/>
    <s v="Gill"/>
    <s v="gillhell@uk.com"/>
    <x v="2"/>
    <n v="180"/>
    <n v="450"/>
    <n v="919"/>
    <n v="413550"/>
    <n v="248130"/>
    <x v="4"/>
    <x v="5"/>
    <x v="5"/>
    <x v="0"/>
    <x v="1"/>
  </r>
  <r>
    <n v="10671"/>
    <s v="Sorvino"/>
    <s v="sorvi2000@gmail.com"/>
    <x v="3"/>
    <n v="170"/>
    <n v="250"/>
    <n v="824"/>
    <n v="206000"/>
    <n v="65920"/>
    <x v="0"/>
    <x v="0"/>
    <x v="6"/>
    <x v="2"/>
    <x v="0"/>
  </r>
  <r>
    <n v="10672"/>
    <s v="Thompson"/>
    <s v="thomp@uk.com"/>
    <x v="4"/>
    <n v="150"/>
    <n v="200"/>
    <n v="730"/>
    <n v="146000"/>
    <n v="36500"/>
    <x v="1"/>
    <x v="1"/>
    <x v="7"/>
    <x v="2"/>
    <x v="0"/>
  </r>
  <r>
    <n v="10673"/>
    <s v="Andrews"/>
    <s v="andy@gmail.com"/>
    <x v="5"/>
    <n v="80"/>
    <n v="150"/>
    <n v="798"/>
    <n v="119700"/>
    <n v="55860"/>
    <x v="2"/>
    <x v="2"/>
    <x v="8"/>
    <x v="1"/>
    <x v="1"/>
  </r>
  <r>
    <n v="10674"/>
    <s v="Jardine"/>
    <s v="jard@gmail.com"/>
    <x v="6"/>
    <n v="90"/>
    <n v="150"/>
    <n v="811"/>
    <n v="121650"/>
    <n v="48660"/>
    <x v="3"/>
    <x v="3"/>
    <x v="9"/>
    <x v="1"/>
    <x v="1"/>
  </r>
  <r>
    <n v="10675"/>
    <s v="Jardine"/>
    <s v="jard@gmail.com"/>
    <x v="0"/>
    <n v="150"/>
    <n v="200"/>
    <n v="912"/>
    <n v="182400"/>
    <n v="45600"/>
    <x v="4"/>
    <x v="4"/>
    <x v="10"/>
    <x v="1"/>
    <x v="1"/>
  </r>
  <r>
    <n v="10676"/>
    <s v="Andrews"/>
    <s v="andy@gmail.com"/>
    <x v="1"/>
    <n v="250"/>
    <n v="500"/>
    <n v="836"/>
    <n v="418000"/>
    <n v="209000"/>
    <x v="0"/>
    <x v="5"/>
    <x v="11"/>
    <x v="2"/>
    <x v="0"/>
  </r>
  <r>
    <n v="10677"/>
    <s v="Jardine"/>
    <s v="jard@gmail.com"/>
    <x v="2"/>
    <n v="180"/>
    <n v="450"/>
    <n v="953"/>
    <n v="428850"/>
    <n v="257310"/>
    <x v="1"/>
    <x v="0"/>
    <x v="0"/>
    <x v="1"/>
    <x v="0"/>
  </r>
  <r>
    <n v="10678"/>
    <s v="Gill"/>
    <s v="gillhell@uk.com"/>
    <x v="3"/>
    <n v="170"/>
    <n v="250"/>
    <n v="908"/>
    <n v="227000"/>
    <n v="72640"/>
    <x v="2"/>
    <x v="1"/>
    <x v="1"/>
    <x v="1"/>
    <x v="1"/>
  </r>
  <r>
    <n v="10679"/>
    <s v="Sorvino"/>
    <s v="sorvi2000@gmail.com"/>
    <x v="4"/>
    <n v="150"/>
    <n v="200"/>
    <n v="859"/>
    <n v="171800"/>
    <n v="42950"/>
    <x v="3"/>
    <x v="2"/>
    <x v="2"/>
    <x v="0"/>
    <x v="1"/>
  </r>
  <r>
    <n v="10680"/>
    <s v="Jones"/>
    <s v="jone.ai@yahoo.com"/>
    <x v="5"/>
    <n v="80"/>
    <n v="150"/>
    <n v="928"/>
    <n v="139200"/>
    <n v="64960"/>
    <x v="4"/>
    <x v="3"/>
    <x v="3"/>
    <x v="2"/>
    <x v="1"/>
  </r>
  <r>
    <n v="10681"/>
    <s v="Andrews"/>
    <s v="andy@gmail.com"/>
    <x v="6"/>
    <n v="90"/>
    <n v="150"/>
    <n v="716"/>
    <n v="107400"/>
    <n v="42960"/>
    <x v="0"/>
    <x v="4"/>
    <x v="4"/>
    <x v="0"/>
    <x v="0"/>
  </r>
  <r>
    <n v="10682"/>
    <s v="Jardine"/>
    <s v="jard@gmail.com"/>
    <x v="0"/>
    <n v="150"/>
    <n v="200"/>
    <n v="946"/>
    <n v="189200"/>
    <n v="47300"/>
    <x v="1"/>
    <x v="5"/>
    <x v="5"/>
    <x v="2"/>
    <x v="0"/>
  </r>
  <r>
    <n v="10683"/>
    <s v="Thompson"/>
    <s v="thomp@uk.com"/>
    <x v="1"/>
    <n v="250"/>
    <n v="500"/>
    <n v="913"/>
    <n v="456500"/>
    <n v="228250"/>
    <x v="2"/>
    <x v="0"/>
    <x v="6"/>
    <x v="1"/>
    <x v="1"/>
  </r>
  <r>
    <n v="10684"/>
    <s v="Jones"/>
    <s v="jone.ai@yahoo.com"/>
    <x v="2"/>
    <n v="180"/>
    <n v="450"/>
    <n v="947"/>
    <n v="426150"/>
    <n v="255690"/>
    <x v="3"/>
    <x v="1"/>
    <x v="7"/>
    <x v="0"/>
    <x v="1"/>
  </r>
  <r>
    <n v="10685"/>
    <s v="Morgan"/>
    <s v="morganny@gmail.com"/>
    <x v="3"/>
    <n v="170"/>
    <n v="250"/>
    <n v="743"/>
    <n v="185750"/>
    <n v="59440"/>
    <x v="4"/>
    <x v="2"/>
    <x v="8"/>
    <x v="1"/>
    <x v="1"/>
  </r>
  <r>
    <n v="10686"/>
    <s v="Howard"/>
    <s v="howard_freeman@yahoo.com"/>
    <x v="4"/>
    <n v="150"/>
    <n v="200"/>
    <n v="788"/>
    <n v="157600"/>
    <n v="39400"/>
    <x v="0"/>
    <x v="3"/>
    <x v="9"/>
    <x v="1"/>
    <x v="0"/>
  </r>
  <r>
    <n v="10687"/>
    <s v="Parent"/>
    <s v="parentty@uk.com"/>
    <x v="5"/>
    <n v="80"/>
    <n v="150"/>
    <n v="810"/>
    <n v="121500"/>
    <n v="56700"/>
    <x v="1"/>
    <x v="4"/>
    <x v="10"/>
    <x v="2"/>
    <x v="0"/>
  </r>
  <r>
    <n v="10688"/>
    <s v="Jones"/>
    <s v="jone.ai@yahoo.com"/>
    <x v="6"/>
    <n v="90"/>
    <n v="150"/>
    <n v="784"/>
    <n v="117600"/>
    <n v="47040"/>
    <x v="2"/>
    <x v="5"/>
    <x v="11"/>
    <x v="1"/>
    <x v="1"/>
  </r>
  <r>
    <n v="10689"/>
    <s v="Smith"/>
    <s v="smithMan@yahoo.com"/>
    <x v="0"/>
    <n v="150"/>
    <n v="200"/>
    <n v="813"/>
    <n v="162600"/>
    <n v="40650"/>
    <x v="3"/>
    <x v="0"/>
    <x v="0"/>
    <x v="2"/>
    <x v="1"/>
  </r>
  <r>
    <n v="10690"/>
    <s v="Jones"/>
    <s v="jone.ai@yahoo.com"/>
    <x v="1"/>
    <n v="250"/>
    <n v="500"/>
    <n v="998"/>
    <n v="499000"/>
    <n v="249500"/>
    <x v="4"/>
    <x v="1"/>
    <x v="1"/>
    <x v="2"/>
    <x v="1"/>
  </r>
  <r>
    <n v="10691"/>
    <s v="Morgan"/>
    <s v="morganny@gmail.com"/>
    <x v="2"/>
    <n v="180"/>
    <n v="450"/>
    <n v="889"/>
    <n v="400050"/>
    <n v="240030"/>
    <x v="0"/>
    <x v="2"/>
    <x v="2"/>
    <x v="1"/>
    <x v="0"/>
  </r>
  <r>
    <n v="10692"/>
    <s v="Jones"/>
    <s v="jone.ai@yahoo.com"/>
    <x v="3"/>
    <n v="170"/>
    <n v="250"/>
    <n v="783"/>
    <n v="195750"/>
    <n v="62640"/>
    <x v="1"/>
    <x v="3"/>
    <x v="3"/>
    <x v="0"/>
    <x v="0"/>
  </r>
  <r>
    <n v="10693"/>
    <s v="Parent"/>
    <s v="parentty@uk.com"/>
    <x v="4"/>
    <n v="150"/>
    <n v="200"/>
    <n v="866"/>
    <n v="173200"/>
    <n v="43300"/>
    <x v="2"/>
    <x v="4"/>
    <x v="4"/>
    <x v="2"/>
    <x v="1"/>
  </r>
  <r>
    <n v="10694"/>
    <s v="Kivell"/>
    <s v="kivel_go@yahoo.com"/>
    <x v="5"/>
    <n v="80"/>
    <n v="150"/>
    <n v="840"/>
    <n v="126000"/>
    <n v="58800"/>
    <x v="3"/>
    <x v="5"/>
    <x v="5"/>
    <x v="1"/>
    <x v="1"/>
  </r>
  <r>
    <n v="10695"/>
    <s v="Smith"/>
    <s v="smithMan@yahoo.com"/>
    <x v="6"/>
    <n v="90"/>
    <n v="150"/>
    <n v="905"/>
    <n v="135750"/>
    <n v="54300"/>
    <x v="4"/>
    <x v="0"/>
    <x v="6"/>
    <x v="2"/>
    <x v="1"/>
  </r>
  <r>
    <n v="10696"/>
    <s v="Parent"/>
    <s v="parentty@uk.com"/>
    <x v="0"/>
    <n v="150"/>
    <n v="200"/>
    <n v="814"/>
    <n v="162800"/>
    <n v="40700"/>
    <x v="0"/>
    <x v="1"/>
    <x v="7"/>
    <x v="0"/>
    <x v="0"/>
  </r>
  <r>
    <n v="10697"/>
    <s v="Gill"/>
    <s v="gillhell@uk.com"/>
    <x v="1"/>
    <n v="250"/>
    <n v="500"/>
    <n v="878"/>
    <n v="439000"/>
    <n v="219500"/>
    <x v="1"/>
    <x v="2"/>
    <x v="8"/>
    <x v="1"/>
    <x v="0"/>
  </r>
  <r>
    <n v="10698"/>
    <s v="Smith"/>
    <s v="smithMan@yahoo.com"/>
    <x v="2"/>
    <n v="180"/>
    <n v="450"/>
    <n v="819"/>
    <n v="368550"/>
    <n v="221130"/>
    <x v="2"/>
    <x v="3"/>
    <x v="9"/>
    <x v="1"/>
    <x v="1"/>
  </r>
  <r>
    <n v="10699"/>
    <s v="Jones"/>
    <s v="jone.ai@yahoo.com"/>
    <x v="3"/>
    <n v="170"/>
    <n v="250"/>
    <n v="899"/>
    <n v="224750"/>
    <n v="71920"/>
    <x v="3"/>
    <x v="4"/>
    <x v="10"/>
    <x v="0"/>
    <x v="1"/>
  </r>
  <r>
    <n v="10700"/>
    <s v="Sorvino"/>
    <s v="sorvi2000@gmail.com"/>
    <x v="4"/>
    <n v="150"/>
    <n v="200"/>
    <n v="897"/>
    <n v="179400"/>
    <n v="44850"/>
    <x v="4"/>
    <x v="5"/>
    <x v="11"/>
    <x v="0"/>
    <x v="1"/>
  </r>
  <r>
    <n v="10701"/>
    <s v="Jardine"/>
    <s v="jard@gmail.com"/>
    <x v="5"/>
    <n v="80"/>
    <n v="150"/>
    <n v="753"/>
    <n v="112950"/>
    <n v="52710"/>
    <x v="0"/>
    <x v="0"/>
    <x v="0"/>
    <x v="2"/>
    <x v="0"/>
  </r>
  <r>
    <n v="10702"/>
    <s v="Andrews"/>
    <s v="andy@gmail.com"/>
    <x v="6"/>
    <n v="90"/>
    <n v="150"/>
    <n v="781"/>
    <n v="117150"/>
    <n v="46860"/>
    <x v="1"/>
    <x v="1"/>
    <x v="1"/>
    <x v="1"/>
    <x v="0"/>
  </r>
  <r>
    <n v="10703"/>
    <s v="Howard"/>
    <s v="howard_freeman@yahoo.com"/>
    <x v="0"/>
    <n v="150"/>
    <n v="200"/>
    <n v="911"/>
    <n v="182200"/>
    <n v="45550"/>
    <x v="2"/>
    <x v="2"/>
    <x v="2"/>
    <x v="1"/>
    <x v="1"/>
  </r>
  <r>
    <n v="10704"/>
    <s v="Gill"/>
    <s v="gillhell@uk.com"/>
    <x v="1"/>
    <n v="250"/>
    <n v="500"/>
    <n v="730"/>
    <n v="365000"/>
    <n v="182500"/>
    <x v="3"/>
    <x v="3"/>
    <x v="3"/>
    <x v="1"/>
    <x v="1"/>
  </r>
  <r>
    <n v="10705"/>
    <s v="Gill"/>
    <s v="gillhell@uk.com"/>
    <x v="2"/>
    <n v="180"/>
    <n v="450"/>
    <n v="912"/>
    <n v="410400"/>
    <n v="246240"/>
    <x v="4"/>
    <x v="4"/>
    <x v="4"/>
    <x v="2"/>
    <x v="1"/>
  </r>
  <r>
    <n v="10706"/>
    <s v="Kivell"/>
    <s v="kivel_go@yahoo.com"/>
    <x v="3"/>
    <n v="170"/>
    <n v="250"/>
    <n v="755"/>
    <n v="188750"/>
    <n v="60400"/>
    <x v="0"/>
    <x v="5"/>
    <x v="5"/>
    <x v="0"/>
    <x v="0"/>
  </r>
  <r>
    <n v="10707"/>
    <s v="Jones"/>
    <s v="jone.ai@yahoo.com"/>
    <x v="4"/>
    <n v="150"/>
    <n v="200"/>
    <n v="981"/>
    <n v="196200"/>
    <n v="49050"/>
    <x v="1"/>
    <x v="0"/>
    <x v="6"/>
    <x v="1"/>
    <x v="0"/>
  </r>
  <r>
    <n v="10708"/>
    <s v="Morgan"/>
    <s v="morganny@gmail.com"/>
    <x v="5"/>
    <n v="80"/>
    <n v="150"/>
    <n v="914"/>
    <n v="137100"/>
    <n v="63980"/>
    <x v="2"/>
    <x v="1"/>
    <x v="7"/>
    <x v="1"/>
    <x v="1"/>
  </r>
  <r>
    <n v="10709"/>
    <s v="Kivell"/>
    <s v="kivel_go@yahoo.com"/>
    <x v="6"/>
    <n v="90"/>
    <n v="150"/>
    <n v="705"/>
    <n v="105750"/>
    <n v="42300"/>
    <x v="3"/>
    <x v="2"/>
    <x v="8"/>
    <x v="0"/>
    <x v="1"/>
  </r>
  <r>
    <n v="10710"/>
    <s v="Sorvino"/>
    <s v="sorvi2000@gmail.com"/>
    <x v="0"/>
    <n v="150"/>
    <n v="200"/>
    <n v="774"/>
    <n v="154800"/>
    <n v="38700"/>
    <x v="4"/>
    <x v="3"/>
    <x v="9"/>
    <x v="1"/>
    <x v="1"/>
  </r>
  <r>
    <n v="10711"/>
    <s v="Gill"/>
    <s v="gillhell@uk.com"/>
    <x v="1"/>
    <n v="250"/>
    <n v="500"/>
    <n v="748"/>
    <n v="374000"/>
    <n v="187000"/>
    <x v="0"/>
    <x v="4"/>
    <x v="10"/>
    <x v="2"/>
    <x v="0"/>
  </r>
  <r>
    <n v="10712"/>
    <s v="Sorvino"/>
    <s v="sorvi2000@gmail.com"/>
    <x v="2"/>
    <n v="180"/>
    <n v="450"/>
    <n v="807"/>
    <n v="363150"/>
    <n v="217890"/>
    <x v="1"/>
    <x v="5"/>
    <x v="11"/>
    <x v="1"/>
    <x v="0"/>
  </r>
  <r>
    <n v="10713"/>
    <s v="Thompson"/>
    <s v="thomp@uk.com"/>
    <x v="3"/>
    <n v="170"/>
    <n v="250"/>
    <n v="877"/>
    <n v="219250"/>
    <n v="70160"/>
    <x v="2"/>
    <x v="0"/>
    <x v="0"/>
    <x v="1"/>
    <x v="1"/>
  </r>
  <r>
    <n v="10714"/>
    <s v="Andrews"/>
    <s v="andy@gmail.com"/>
    <x v="4"/>
    <n v="150"/>
    <n v="200"/>
    <n v="965"/>
    <n v="193000"/>
    <n v="48250"/>
    <x v="3"/>
    <x v="1"/>
    <x v="1"/>
    <x v="2"/>
    <x v="1"/>
  </r>
  <r>
    <n v="10715"/>
    <s v="Jardine"/>
    <s v="jard@gmail.com"/>
    <x v="5"/>
    <n v="80"/>
    <n v="150"/>
    <n v="728"/>
    <n v="109200"/>
    <n v="50960"/>
    <x v="4"/>
    <x v="2"/>
    <x v="2"/>
    <x v="2"/>
    <x v="1"/>
  </r>
  <r>
    <n v="10716"/>
    <s v="Jardine"/>
    <s v="jard@gmail.com"/>
    <x v="6"/>
    <n v="90"/>
    <n v="150"/>
    <n v="792"/>
    <n v="118800"/>
    <n v="47520"/>
    <x v="0"/>
    <x v="3"/>
    <x v="3"/>
    <x v="2"/>
    <x v="0"/>
  </r>
  <r>
    <n v="10717"/>
    <s v="Andrews"/>
    <s v="andy@gmail.com"/>
    <x v="0"/>
    <n v="150"/>
    <n v="200"/>
    <n v="878"/>
    <n v="175600"/>
    <n v="43900"/>
    <x v="1"/>
    <x v="4"/>
    <x v="4"/>
    <x v="2"/>
    <x v="0"/>
  </r>
  <r>
    <n v="10718"/>
    <s v="Jones"/>
    <s v="jone.ai@yahoo.com"/>
    <x v="1"/>
    <n v="250"/>
    <n v="500"/>
    <n v="886"/>
    <n v="443000"/>
    <n v="221500"/>
    <x v="2"/>
    <x v="5"/>
    <x v="5"/>
    <x v="2"/>
    <x v="1"/>
  </r>
  <r>
    <n v="10719"/>
    <s v="Morgan"/>
    <s v="morganny@gmail.com"/>
    <x v="2"/>
    <n v="180"/>
    <n v="450"/>
    <n v="995"/>
    <n v="447750"/>
    <n v="268650"/>
    <x v="3"/>
    <x v="0"/>
    <x v="6"/>
    <x v="2"/>
    <x v="1"/>
  </r>
  <r>
    <n v="10720"/>
    <s v="Kivell"/>
    <s v="kivel_go@yahoo.com"/>
    <x v="3"/>
    <n v="170"/>
    <n v="250"/>
    <n v="851"/>
    <n v="212750"/>
    <n v="68080"/>
    <x v="4"/>
    <x v="1"/>
    <x v="7"/>
    <x v="0"/>
    <x v="1"/>
  </r>
  <r>
    <n v="10721"/>
    <s v="Sorvino"/>
    <s v="sorvi2000@gmail.com"/>
    <x v="4"/>
    <n v="150"/>
    <n v="200"/>
    <n v="866"/>
    <n v="173200"/>
    <n v="43300"/>
    <x v="0"/>
    <x v="2"/>
    <x v="8"/>
    <x v="2"/>
    <x v="0"/>
  </r>
  <r>
    <n v="10722"/>
    <s v="Gill"/>
    <s v="gillhell@uk.com"/>
    <x v="5"/>
    <n v="80"/>
    <n v="150"/>
    <n v="987"/>
    <n v="148050"/>
    <n v="69090"/>
    <x v="1"/>
    <x v="3"/>
    <x v="9"/>
    <x v="2"/>
    <x v="0"/>
  </r>
  <r>
    <n v="10723"/>
    <s v="Sorvino"/>
    <s v="sorvi2000@gmail.com"/>
    <x v="6"/>
    <n v="90"/>
    <n v="150"/>
    <n v="776"/>
    <n v="116400"/>
    <n v="46560"/>
    <x v="2"/>
    <x v="4"/>
    <x v="10"/>
    <x v="0"/>
    <x v="1"/>
  </r>
  <r>
    <n v="10724"/>
    <s v="Thompson"/>
    <s v="thomp@uk.com"/>
    <x v="0"/>
    <n v="150"/>
    <n v="200"/>
    <n v="969"/>
    <n v="193800"/>
    <n v="48450"/>
    <x v="3"/>
    <x v="5"/>
    <x v="11"/>
    <x v="2"/>
    <x v="1"/>
  </r>
  <r>
    <n v="10725"/>
    <s v="Andrews"/>
    <s v="andy@gmail.com"/>
    <x v="1"/>
    <n v="250"/>
    <n v="500"/>
    <n v="718"/>
    <n v="359000"/>
    <n v="179500"/>
    <x v="4"/>
    <x v="0"/>
    <x v="0"/>
    <x v="2"/>
    <x v="1"/>
  </r>
  <r>
    <n v="10726"/>
    <s v="Jardine"/>
    <s v="jard@gmail.com"/>
    <x v="2"/>
    <n v="180"/>
    <n v="450"/>
    <n v="787"/>
    <n v="354150"/>
    <n v="212490"/>
    <x v="0"/>
    <x v="1"/>
    <x v="1"/>
    <x v="1"/>
    <x v="0"/>
  </r>
  <r>
    <n v="10727"/>
    <s v="Jardine"/>
    <s v="jard@gmail.com"/>
    <x v="3"/>
    <n v="170"/>
    <n v="250"/>
    <n v="901"/>
    <n v="225250"/>
    <n v="72080"/>
    <x v="1"/>
    <x v="2"/>
    <x v="2"/>
    <x v="1"/>
    <x v="0"/>
  </r>
  <r>
    <n v="10728"/>
    <s v="Andrews"/>
    <s v="andy@gmail.com"/>
    <x v="4"/>
    <n v="150"/>
    <n v="200"/>
    <n v="736"/>
    <n v="147200"/>
    <n v="36800"/>
    <x v="2"/>
    <x v="3"/>
    <x v="3"/>
    <x v="1"/>
    <x v="1"/>
  </r>
  <r>
    <n v="10729"/>
    <s v="Jardine"/>
    <s v="jard@gmail.com"/>
    <x v="5"/>
    <n v="80"/>
    <n v="150"/>
    <n v="710"/>
    <n v="106500"/>
    <n v="49700"/>
    <x v="3"/>
    <x v="4"/>
    <x v="4"/>
    <x v="2"/>
    <x v="1"/>
  </r>
  <r>
    <n v="10730"/>
    <s v="Gill"/>
    <s v="gillhell@uk.com"/>
    <x v="6"/>
    <n v="90"/>
    <n v="150"/>
    <n v="719"/>
    <n v="107850"/>
    <n v="43140"/>
    <x v="4"/>
    <x v="5"/>
    <x v="5"/>
    <x v="0"/>
    <x v="1"/>
  </r>
  <r>
    <n v="10731"/>
    <s v="Sorvino"/>
    <s v="sorvi2000@gmail.com"/>
    <x v="0"/>
    <n v="150"/>
    <n v="200"/>
    <n v="738"/>
    <n v="147600"/>
    <n v="36900"/>
    <x v="0"/>
    <x v="0"/>
    <x v="6"/>
    <x v="2"/>
    <x v="0"/>
  </r>
  <r>
    <n v="10732"/>
    <s v="Jones"/>
    <s v="jone.ai@yahoo.com"/>
    <x v="1"/>
    <n v="250"/>
    <n v="500"/>
    <n v="884"/>
    <n v="442000"/>
    <n v="221000"/>
    <x v="1"/>
    <x v="1"/>
    <x v="7"/>
    <x v="0"/>
    <x v="0"/>
  </r>
  <r>
    <n v="10733"/>
    <s v="Andrews"/>
    <s v="andy@gmail.com"/>
    <x v="2"/>
    <n v="180"/>
    <n v="450"/>
    <n v="772"/>
    <n v="347400"/>
    <n v="208440"/>
    <x v="2"/>
    <x v="2"/>
    <x v="8"/>
    <x v="2"/>
    <x v="1"/>
  </r>
  <r>
    <n v="10734"/>
    <s v="Jardine"/>
    <s v="jard@gmail.com"/>
    <x v="3"/>
    <n v="170"/>
    <n v="250"/>
    <n v="762"/>
    <n v="190500"/>
    <n v="60960"/>
    <x v="3"/>
    <x v="3"/>
    <x v="9"/>
    <x v="2"/>
    <x v="1"/>
  </r>
  <r>
    <n v="10735"/>
    <s v="Thompson"/>
    <s v="thomp@uk.com"/>
    <x v="4"/>
    <n v="150"/>
    <n v="200"/>
    <n v="830"/>
    <n v="166000"/>
    <n v="41500"/>
    <x v="4"/>
    <x v="4"/>
    <x v="10"/>
    <x v="1"/>
    <x v="1"/>
  </r>
  <r>
    <n v="10736"/>
    <s v="Jones"/>
    <s v="jone.ai@yahoo.com"/>
    <x v="5"/>
    <n v="80"/>
    <n v="150"/>
    <n v="995"/>
    <n v="149250"/>
    <n v="69650"/>
    <x v="0"/>
    <x v="5"/>
    <x v="11"/>
    <x v="1"/>
    <x v="0"/>
  </r>
  <r>
    <n v="10737"/>
    <s v="Morgan"/>
    <s v="morganny@gmail.com"/>
    <x v="6"/>
    <n v="90"/>
    <n v="150"/>
    <n v="812"/>
    <n v="121800"/>
    <n v="48720"/>
    <x v="1"/>
    <x v="0"/>
    <x v="0"/>
    <x v="0"/>
    <x v="0"/>
  </r>
  <r>
    <n v="10738"/>
    <s v="Howard"/>
    <s v="howard_freeman@yahoo.com"/>
    <x v="0"/>
    <n v="150"/>
    <n v="200"/>
    <n v="993"/>
    <n v="198600"/>
    <n v="49650"/>
    <x v="2"/>
    <x v="1"/>
    <x v="1"/>
    <x v="1"/>
    <x v="1"/>
  </r>
  <r>
    <n v="10739"/>
    <s v="Parent"/>
    <s v="parentty@uk.com"/>
    <x v="1"/>
    <n v="250"/>
    <n v="500"/>
    <n v="941"/>
    <n v="470500"/>
    <n v="235250"/>
    <x v="3"/>
    <x v="2"/>
    <x v="2"/>
    <x v="2"/>
    <x v="1"/>
  </r>
  <r>
    <n v="10740"/>
    <s v="Jones"/>
    <s v="jone.ai@yahoo.com"/>
    <x v="2"/>
    <n v="180"/>
    <n v="450"/>
    <n v="703"/>
    <n v="316350"/>
    <n v="189810"/>
    <x v="4"/>
    <x v="3"/>
    <x v="3"/>
    <x v="0"/>
    <x v="1"/>
  </r>
  <r>
    <n v="10741"/>
    <s v="Smith"/>
    <s v="smithMan@yahoo.com"/>
    <x v="3"/>
    <n v="170"/>
    <n v="250"/>
    <n v="834"/>
    <n v="208500"/>
    <n v="66720"/>
    <x v="0"/>
    <x v="4"/>
    <x v="4"/>
    <x v="0"/>
    <x v="0"/>
  </r>
  <r>
    <n v="10742"/>
    <s v="Jones"/>
    <s v="jone.ai@yahoo.com"/>
    <x v="4"/>
    <n v="150"/>
    <n v="200"/>
    <n v="843"/>
    <n v="168600"/>
    <n v="42150"/>
    <x v="1"/>
    <x v="5"/>
    <x v="5"/>
    <x v="0"/>
    <x v="0"/>
  </r>
  <r>
    <n v="10743"/>
    <s v="Jardine"/>
    <s v="jard@gmail.com"/>
    <x v="5"/>
    <n v="80"/>
    <n v="150"/>
    <n v="749"/>
    <n v="112350"/>
    <n v="52430"/>
    <x v="2"/>
    <x v="0"/>
    <x v="6"/>
    <x v="0"/>
    <x v="1"/>
  </r>
  <r>
    <n v="10744"/>
    <s v="Gill"/>
    <s v="gillhell@uk.com"/>
    <x v="6"/>
    <n v="90"/>
    <n v="150"/>
    <n v="859"/>
    <n v="128850"/>
    <n v="51540"/>
    <x v="3"/>
    <x v="1"/>
    <x v="7"/>
    <x v="2"/>
    <x v="1"/>
  </r>
  <r>
    <n v="10745"/>
    <s v="Sorvino"/>
    <s v="sorvi2000@gmail.com"/>
    <x v="0"/>
    <n v="150"/>
    <n v="200"/>
    <n v="962"/>
    <n v="192400"/>
    <n v="48100"/>
    <x v="4"/>
    <x v="2"/>
    <x v="8"/>
    <x v="2"/>
    <x v="1"/>
  </r>
  <r>
    <n v="10746"/>
    <s v="Jones"/>
    <s v="jone.ai@yahoo.com"/>
    <x v="1"/>
    <n v="250"/>
    <n v="500"/>
    <n v="816"/>
    <n v="408000"/>
    <n v="204000"/>
    <x v="0"/>
    <x v="3"/>
    <x v="9"/>
    <x v="0"/>
    <x v="0"/>
  </r>
  <r>
    <n v="10747"/>
    <s v="Andrews"/>
    <s v="andy@gmail.com"/>
    <x v="2"/>
    <n v="180"/>
    <n v="450"/>
    <n v="989"/>
    <n v="445050"/>
    <n v="267030"/>
    <x v="1"/>
    <x v="4"/>
    <x v="10"/>
    <x v="2"/>
    <x v="0"/>
  </r>
  <r>
    <n v="10748"/>
    <s v="Jardine"/>
    <s v="jard@gmail.com"/>
    <x v="3"/>
    <n v="170"/>
    <n v="250"/>
    <n v="702"/>
    <n v="175500"/>
    <n v="56160"/>
    <x v="2"/>
    <x v="5"/>
    <x v="11"/>
    <x v="1"/>
    <x v="1"/>
  </r>
  <r>
    <n v="10749"/>
    <s v="Thompson"/>
    <s v="thomp@uk.com"/>
    <x v="4"/>
    <n v="150"/>
    <n v="200"/>
    <n v="830"/>
    <n v="166000"/>
    <n v="41500"/>
    <x v="3"/>
    <x v="0"/>
    <x v="0"/>
    <x v="1"/>
    <x v="1"/>
  </r>
  <r>
    <n v="10750"/>
    <s v="Jones"/>
    <s v="jone.ai@yahoo.com"/>
    <x v="5"/>
    <n v="80"/>
    <n v="150"/>
    <n v="710"/>
    <n v="106500"/>
    <n v="49700"/>
    <x v="4"/>
    <x v="1"/>
    <x v="1"/>
    <x v="1"/>
    <x v="1"/>
  </r>
  <r>
    <n v="10751"/>
    <s v="Morgan"/>
    <s v="morganny@gmail.com"/>
    <x v="6"/>
    <n v="90"/>
    <n v="150"/>
    <n v="708"/>
    <n v="106200"/>
    <n v="42480"/>
    <x v="0"/>
    <x v="2"/>
    <x v="2"/>
    <x v="1"/>
    <x v="0"/>
  </r>
  <r>
    <n v="10752"/>
    <s v="Howard"/>
    <s v="howard_freeman@yahoo.com"/>
    <x v="0"/>
    <n v="150"/>
    <n v="200"/>
    <n v="816"/>
    <n v="163200"/>
    <n v="40800"/>
    <x v="1"/>
    <x v="3"/>
    <x v="3"/>
    <x v="0"/>
    <x v="0"/>
  </r>
  <r>
    <n v="10753"/>
    <s v="Parent"/>
    <s v="parentty@uk.com"/>
    <x v="1"/>
    <n v="250"/>
    <n v="500"/>
    <n v="722"/>
    <n v="361000"/>
    <n v="180500"/>
    <x v="2"/>
    <x v="4"/>
    <x v="4"/>
    <x v="2"/>
    <x v="1"/>
  </r>
  <r>
    <n v="10754"/>
    <s v="Jones"/>
    <s v="jone.ai@yahoo.com"/>
    <x v="2"/>
    <n v="180"/>
    <n v="450"/>
    <n v="778"/>
    <n v="350100"/>
    <n v="210060"/>
    <x v="3"/>
    <x v="5"/>
    <x v="5"/>
    <x v="2"/>
    <x v="1"/>
  </r>
  <r>
    <n v="10755"/>
    <s v="Smith"/>
    <s v="smithMan@yahoo.com"/>
    <x v="3"/>
    <n v="170"/>
    <n v="250"/>
    <n v="732"/>
    <n v="183000"/>
    <n v="58560"/>
    <x v="4"/>
    <x v="0"/>
    <x v="6"/>
    <x v="0"/>
    <x v="1"/>
  </r>
  <r>
    <n v="10756"/>
    <s v="Jones"/>
    <s v="jone.ai@yahoo.com"/>
    <x v="4"/>
    <n v="150"/>
    <n v="200"/>
    <n v="881"/>
    <n v="176200"/>
    <n v="44050"/>
    <x v="0"/>
    <x v="1"/>
    <x v="7"/>
    <x v="1"/>
    <x v="0"/>
  </r>
  <r>
    <n v="10757"/>
    <s v="Morgan"/>
    <s v="morganny@gmail.com"/>
    <x v="5"/>
    <n v="80"/>
    <n v="150"/>
    <n v="939"/>
    <n v="140850"/>
    <n v="65730"/>
    <x v="1"/>
    <x v="2"/>
    <x v="8"/>
    <x v="2"/>
    <x v="0"/>
  </r>
  <r>
    <n v="10758"/>
    <s v="Jones"/>
    <s v="jone.ai@yahoo.com"/>
    <x v="6"/>
    <n v="90"/>
    <n v="150"/>
    <n v="907"/>
    <n v="136050"/>
    <n v="54420"/>
    <x v="2"/>
    <x v="3"/>
    <x v="9"/>
    <x v="0"/>
    <x v="1"/>
  </r>
  <r>
    <n v="10759"/>
    <s v="Parent"/>
    <s v="parentty@uk.com"/>
    <x v="0"/>
    <n v="150"/>
    <n v="200"/>
    <n v="709"/>
    <n v="141800"/>
    <n v="35450"/>
    <x v="3"/>
    <x v="4"/>
    <x v="10"/>
    <x v="0"/>
    <x v="1"/>
  </r>
  <r>
    <n v="10760"/>
    <s v="Kivell"/>
    <s v="kivel_go@yahoo.com"/>
    <x v="1"/>
    <n v="250"/>
    <n v="500"/>
    <n v="886"/>
    <n v="443000"/>
    <n v="221500"/>
    <x v="4"/>
    <x v="5"/>
    <x v="11"/>
    <x v="2"/>
    <x v="1"/>
  </r>
  <r>
    <n v="10761"/>
    <s v="Smith"/>
    <s v="smithMan@yahoo.com"/>
    <x v="2"/>
    <n v="180"/>
    <n v="450"/>
    <n v="828"/>
    <n v="372600"/>
    <n v="223560"/>
    <x v="0"/>
    <x v="0"/>
    <x v="0"/>
    <x v="2"/>
    <x v="0"/>
  </r>
  <r>
    <n v="10762"/>
    <s v="Parent"/>
    <s v="parentty@uk.com"/>
    <x v="3"/>
    <n v="170"/>
    <n v="250"/>
    <n v="700"/>
    <n v="175000"/>
    <n v="56000"/>
    <x v="1"/>
    <x v="1"/>
    <x v="1"/>
    <x v="0"/>
    <x v="0"/>
  </r>
  <r>
    <n v="10763"/>
    <s v="Gill"/>
    <s v="gillhell@uk.com"/>
    <x v="4"/>
    <n v="150"/>
    <n v="200"/>
    <n v="928"/>
    <n v="185600"/>
    <n v="46400"/>
    <x v="2"/>
    <x v="2"/>
    <x v="2"/>
    <x v="1"/>
    <x v="1"/>
  </r>
  <r>
    <n v="10764"/>
    <s v="Smith"/>
    <s v="smithMan@yahoo.com"/>
    <x v="5"/>
    <n v="80"/>
    <n v="150"/>
    <n v="737"/>
    <n v="110550"/>
    <n v="51590"/>
    <x v="3"/>
    <x v="3"/>
    <x v="3"/>
    <x v="1"/>
    <x v="1"/>
  </r>
  <r>
    <n v="10765"/>
    <s v="Jones"/>
    <s v="jone.ai@yahoo.com"/>
    <x v="6"/>
    <n v="90"/>
    <n v="150"/>
    <n v="986"/>
    <n v="147900"/>
    <n v="59160"/>
    <x v="4"/>
    <x v="4"/>
    <x v="4"/>
    <x v="0"/>
    <x v="1"/>
  </r>
  <r>
    <n v="10766"/>
    <s v="Sorvino"/>
    <s v="sorvi2000@gmail.com"/>
    <x v="0"/>
    <n v="150"/>
    <n v="200"/>
    <n v="733"/>
    <n v="146600"/>
    <n v="36650"/>
    <x v="0"/>
    <x v="5"/>
    <x v="5"/>
    <x v="1"/>
    <x v="0"/>
  </r>
  <r>
    <n v="10767"/>
    <s v="Jardine"/>
    <s v="jard@gmail.com"/>
    <x v="1"/>
    <n v="250"/>
    <n v="500"/>
    <n v="769"/>
    <n v="384500"/>
    <n v="192250"/>
    <x v="1"/>
    <x v="0"/>
    <x v="6"/>
    <x v="2"/>
    <x v="0"/>
  </r>
  <r>
    <n v="10768"/>
    <s v="Andrews"/>
    <s v="andy@gmail.com"/>
    <x v="2"/>
    <n v="180"/>
    <n v="450"/>
    <n v="782"/>
    <n v="351900"/>
    <n v="211140"/>
    <x v="2"/>
    <x v="1"/>
    <x v="7"/>
    <x v="2"/>
    <x v="1"/>
  </r>
  <r>
    <n v="10769"/>
    <s v="Howard"/>
    <s v="howard_freeman@yahoo.com"/>
    <x v="3"/>
    <n v="170"/>
    <n v="250"/>
    <n v="755"/>
    <n v="188750"/>
    <n v="60400"/>
    <x v="3"/>
    <x v="2"/>
    <x v="8"/>
    <x v="2"/>
    <x v="1"/>
  </r>
  <r>
    <n v="10770"/>
    <s v="Gill"/>
    <s v="gillhell@uk.com"/>
    <x v="4"/>
    <n v="150"/>
    <n v="200"/>
    <n v="980"/>
    <n v="196000"/>
    <n v="49000"/>
    <x v="4"/>
    <x v="3"/>
    <x v="9"/>
    <x v="0"/>
    <x v="1"/>
  </r>
  <r>
    <n v="10771"/>
    <s v="Gill"/>
    <s v="gillhell@uk.com"/>
    <x v="5"/>
    <n v="80"/>
    <n v="150"/>
    <n v="755"/>
    <n v="113250"/>
    <n v="52850"/>
    <x v="0"/>
    <x v="4"/>
    <x v="10"/>
    <x v="0"/>
    <x v="0"/>
  </r>
  <r>
    <n v="10772"/>
    <s v="Kivell"/>
    <s v="kivel_go@yahoo.com"/>
    <x v="6"/>
    <n v="90"/>
    <n v="150"/>
    <n v="804"/>
    <n v="120600"/>
    <n v="48240"/>
    <x v="1"/>
    <x v="5"/>
    <x v="11"/>
    <x v="0"/>
    <x v="0"/>
  </r>
  <r>
    <n v="10773"/>
    <s v="Jones"/>
    <s v="jone.ai@yahoo.com"/>
    <x v="0"/>
    <n v="150"/>
    <n v="200"/>
    <n v="821"/>
    <n v="164200"/>
    <n v="41050"/>
    <x v="2"/>
    <x v="0"/>
    <x v="0"/>
    <x v="2"/>
    <x v="1"/>
  </r>
  <r>
    <n v="10774"/>
    <s v="Morgan"/>
    <s v="morganny@gmail.com"/>
    <x v="1"/>
    <n v="250"/>
    <n v="500"/>
    <n v="768"/>
    <n v="384000"/>
    <n v="192000"/>
    <x v="3"/>
    <x v="1"/>
    <x v="1"/>
    <x v="2"/>
    <x v="1"/>
  </r>
  <r>
    <n v="10775"/>
    <s v="Kivell"/>
    <s v="kivel_go@yahoo.com"/>
    <x v="2"/>
    <n v="180"/>
    <n v="450"/>
    <n v="929"/>
    <n v="418050"/>
    <n v="250830"/>
    <x v="4"/>
    <x v="2"/>
    <x v="2"/>
    <x v="0"/>
    <x v="1"/>
  </r>
  <r>
    <n v="10776"/>
    <s v="Sorvino"/>
    <s v="sorvi2000@gmail.com"/>
    <x v="3"/>
    <n v="170"/>
    <n v="250"/>
    <n v="938"/>
    <n v="234500"/>
    <n v="75040"/>
    <x v="0"/>
    <x v="3"/>
    <x v="3"/>
    <x v="1"/>
    <x v="0"/>
  </r>
  <r>
    <n v="10777"/>
    <s v="Gill"/>
    <s v="gillhell@uk.com"/>
    <x v="4"/>
    <n v="150"/>
    <n v="200"/>
    <n v="776"/>
    <n v="155200"/>
    <n v="38800"/>
    <x v="1"/>
    <x v="4"/>
    <x v="4"/>
    <x v="1"/>
    <x v="0"/>
  </r>
  <r>
    <n v="10778"/>
    <s v="Sorvino"/>
    <s v="sorvi2000@gmail.com"/>
    <x v="5"/>
    <n v="80"/>
    <n v="150"/>
    <n v="830"/>
    <n v="124500"/>
    <n v="58100"/>
    <x v="2"/>
    <x v="5"/>
    <x v="5"/>
    <x v="1"/>
    <x v="1"/>
  </r>
  <r>
    <n v="10779"/>
    <s v="Thompson"/>
    <s v="thomp@uk.com"/>
    <x v="6"/>
    <n v="90"/>
    <n v="150"/>
    <n v="881"/>
    <n v="132150"/>
    <n v="52860"/>
    <x v="3"/>
    <x v="0"/>
    <x v="6"/>
    <x v="2"/>
    <x v="1"/>
  </r>
  <r>
    <n v="10780"/>
    <s v="Andrews"/>
    <s v="andy@gmail.com"/>
    <x v="0"/>
    <n v="150"/>
    <n v="200"/>
    <n v="854"/>
    <n v="170800"/>
    <n v="42700"/>
    <x v="4"/>
    <x v="1"/>
    <x v="7"/>
    <x v="0"/>
    <x v="1"/>
  </r>
  <r>
    <n v="10781"/>
    <s v="Jardine"/>
    <s v="jard@gmail.com"/>
    <x v="1"/>
    <n v="250"/>
    <n v="500"/>
    <n v="843"/>
    <n v="421500"/>
    <n v="210750"/>
    <x v="0"/>
    <x v="2"/>
    <x v="8"/>
    <x v="2"/>
    <x v="0"/>
  </r>
  <r>
    <n v="10782"/>
    <s v="Jardine"/>
    <s v="jard@gmail.com"/>
    <x v="2"/>
    <n v="180"/>
    <n v="450"/>
    <n v="927"/>
    <n v="417150"/>
    <n v="250290"/>
    <x v="1"/>
    <x v="3"/>
    <x v="9"/>
    <x v="0"/>
    <x v="0"/>
  </r>
  <r>
    <n v="10783"/>
    <s v="Andrews"/>
    <s v="andy@gmail.com"/>
    <x v="3"/>
    <n v="170"/>
    <n v="250"/>
    <n v="988"/>
    <n v="247000"/>
    <n v="79040"/>
    <x v="2"/>
    <x v="4"/>
    <x v="10"/>
    <x v="0"/>
    <x v="1"/>
  </r>
  <r>
    <n v="10784"/>
    <s v="Jardine"/>
    <s v="jard@gmail.com"/>
    <x v="4"/>
    <n v="150"/>
    <n v="200"/>
    <n v="864"/>
    <n v="172800"/>
    <n v="43200"/>
    <x v="3"/>
    <x v="5"/>
    <x v="11"/>
    <x v="1"/>
    <x v="1"/>
  </r>
  <r>
    <n v="10785"/>
    <s v="Gill"/>
    <s v="gillhell@uk.com"/>
    <x v="5"/>
    <n v="80"/>
    <n v="150"/>
    <n v="952"/>
    <n v="142800"/>
    <n v="66640"/>
    <x v="4"/>
    <x v="0"/>
    <x v="0"/>
    <x v="2"/>
    <x v="1"/>
  </r>
  <r>
    <n v="10786"/>
    <s v="Sorvino"/>
    <s v="sorvi2000@gmail.com"/>
    <x v="6"/>
    <n v="90"/>
    <n v="150"/>
    <n v="817"/>
    <n v="122550"/>
    <n v="49020"/>
    <x v="0"/>
    <x v="1"/>
    <x v="1"/>
    <x v="1"/>
    <x v="0"/>
  </r>
  <r>
    <n v="10787"/>
    <s v="Jones"/>
    <s v="jone.ai@yahoo.com"/>
    <x v="0"/>
    <n v="150"/>
    <n v="200"/>
    <n v="980"/>
    <n v="196000"/>
    <n v="49000"/>
    <x v="1"/>
    <x v="2"/>
    <x v="2"/>
    <x v="1"/>
    <x v="0"/>
  </r>
  <r>
    <n v="10788"/>
    <s v="Andrews"/>
    <s v="andy@gmail.com"/>
    <x v="1"/>
    <n v="250"/>
    <n v="500"/>
    <n v="826"/>
    <n v="413000"/>
    <n v="206500"/>
    <x v="2"/>
    <x v="3"/>
    <x v="3"/>
    <x v="0"/>
    <x v="1"/>
  </r>
  <r>
    <n v="10789"/>
    <s v="Jardine"/>
    <s v="jard@gmail.com"/>
    <x v="2"/>
    <n v="180"/>
    <n v="450"/>
    <n v="864"/>
    <n v="388800"/>
    <n v="233280"/>
    <x v="3"/>
    <x v="4"/>
    <x v="4"/>
    <x v="2"/>
    <x v="1"/>
  </r>
  <r>
    <n v="10790"/>
    <s v="Thompson"/>
    <s v="thomp@uk.com"/>
    <x v="3"/>
    <n v="170"/>
    <n v="250"/>
    <n v="737"/>
    <n v="184250"/>
    <n v="58960"/>
    <x v="4"/>
    <x v="5"/>
    <x v="5"/>
    <x v="1"/>
    <x v="1"/>
  </r>
  <r>
    <n v="10791"/>
    <s v="Jones"/>
    <s v="jone.ai@yahoo.com"/>
    <x v="4"/>
    <n v="150"/>
    <n v="200"/>
    <n v="773"/>
    <n v="154600"/>
    <n v="38650"/>
    <x v="0"/>
    <x v="0"/>
    <x v="6"/>
    <x v="1"/>
    <x v="0"/>
  </r>
  <r>
    <n v="10792"/>
    <s v="Morgan"/>
    <s v="morganny@gmail.com"/>
    <x v="5"/>
    <n v="80"/>
    <n v="150"/>
    <n v="902"/>
    <n v="135300"/>
    <n v="63140"/>
    <x v="1"/>
    <x v="1"/>
    <x v="7"/>
    <x v="0"/>
    <x v="0"/>
  </r>
  <r>
    <n v="10793"/>
    <s v="Howard"/>
    <s v="howard_freeman@yahoo.com"/>
    <x v="6"/>
    <n v="90"/>
    <n v="150"/>
    <n v="888"/>
    <n v="133200"/>
    <n v="53280"/>
    <x v="2"/>
    <x v="2"/>
    <x v="8"/>
    <x v="0"/>
    <x v="1"/>
  </r>
  <r>
    <n v="10794"/>
    <s v="Parent"/>
    <s v="parentty@uk.com"/>
    <x v="0"/>
    <n v="150"/>
    <n v="200"/>
    <n v="893"/>
    <n v="178600"/>
    <n v="44650"/>
    <x v="3"/>
    <x v="3"/>
    <x v="9"/>
    <x v="0"/>
    <x v="1"/>
  </r>
  <r>
    <n v="10795"/>
    <s v="Jones"/>
    <s v="jone.ai@yahoo.com"/>
    <x v="1"/>
    <n v="250"/>
    <n v="500"/>
    <n v="718"/>
    <n v="359000"/>
    <n v="179500"/>
    <x v="4"/>
    <x v="4"/>
    <x v="10"/>
    <x v="2"/>
    <x v="1"/>
  </r>
  <r>
    <n v="10796"/>
    <s v="Smith"/>
    <s v="smithMan@yahoo.com"/>
    <x v="2"/>
    <n v="180"/>
    <n v="450"/>
    <n v="744"/>
    <n v="334800"/>
    <n v="200880"/>
    <x v="0"/>
    <x v="5"/>
    <x v="11"/>
    <x v="2"/>
    <x v="0"/>
  </r>
  <r>
    <n v="10797"/>
    <s v="Jones"/>
    <s v="jone.ai@yahoo.com"/>
    <x v="3"/>
    <n v="170"/>
    <n v="250"/>
    <n v="959"/>
    <n v="239750"/>
    <n v="76720"/>
    <x v="1"/>
    <x v="0"/>
    <x v="0"/>
    <x v="2"/>
    <x v="0"/>
  </r>
  <r>
    <n v="10798"/>
    <s v="Morgan"/>
    <s v="morganny@gmail.com"/>
    <x v="4"/>
    <n v="150"/>
    <n v="200"/>
    <n v="976"/>
    <n v="195200"/>
    <n v="48800"/>
    <x v="2"/>
    <x v="1"/>
    <x v="1"/>
    <x v="2"/>
    <x v="1"/>
  </r>
  <r>
    <n v="10799"/>
    <s v="Jones"/>
    <s v="jone.ai@yahoo.com"/>
    <x v="5"/>
    <n v="80"/>
    <n v="150"/>
    <n v="940"/>
    <n v="141000"/>
    <n v="65800"/>
    <x v="3"/>
    <x v="2"/>
    <x v="2"/>
    <x v="1"/>
    <x v="1"/>
  </r>
  <r>
    <n v="10800"/>
    <s v="Parent"/>
    <s v="parentty@uk.com"/>
    <x v="6"/>
    <n v="90"/>
    <n v="150"/>
    <n v="956"/>
    <n v="143400"/>
    <n v="57360"/>
    <x v="4"/>
    <x v="3"/>
    <x v="3"/>
    <x v="0"/>
    <x v="1"/>
  </r>
  <r>
    <n v="10801"/>
    <s v="Kivell"/>
    <s v="kivel_go@yahoo.com"/>
    <x v="0"/>
    <n v="150"/>
    <n v="200"/>
    <n v="908"/>
    <n v="181600"/>
    <n v="45400"/>
    <x v="0"/>
    <x v="4"/>
    <x v="4"/>
    <x v="1"/>
    <x v="0"/>
  </r>
  <r>
    <n v="10802"/>
    <s v="Smith"/>
    <s v="smithMan@yahoo.com"/>
    <x v="1"/>
    <n v="250"/>
    <n v="500"/>
    <n v="866"/>
    <n v="433000"/>
    <n v="216500"/>
    <x v="1"/>
    <x v="5"/>
    <x v="5"/>
    <x v="1"/>
    <x v="0"/>
  </r>
  <r>
    <n v="10803"/>
    <s v="Parent"/>
    <s v="parentty@uk.com"/>
    <x v="2"/>
    <n v="180"/>
    <n v="450"/>
    <n v="735"/>
    <n v="330750"/>
    <n v="198450"/>
    <x v="2"/>
    <x v="0"/>
    <x v="6"/>
    <x v="0"/>
    <x v="1"/>
  </r>
  <r>
    <n v="10804"/>
    <s v="Gill"/>
    <s v="gillhell@uk.com"/>
    <x v="3"/>
    <n v="170"/>
    <n v="250"/>
    <n v="802"/>
    <n v="200500"/>
    <n v="64160"/>
    <x v="3"/>
    <x v="1"/>
    <x v="7"/>
    <x v="2"/>
    <x v="1"/>
  </r>
  <r>
    <n v="10805"/>
    <s v="Smith"/>
    <s v="smithMan@yahoo.com"/>
    <x v="4"/>
    <n v="150"/>
    <n v="200"/>
    <n v="976"/>
    <n v="195200"/>
    <n v="48800"/>
    <x v="4"/>
    <x v="2"/>
    <x v="8"/>
    <x v="1"/>
    <x v="1"/>
  </r>
  <r>
    <n v="10806"/>
    <s v="Jones"/>
    <s v="jone.ai@yahoo.com"/>
    <x v="5"/>
    <n v="80"/>
    <n v="150"/>
    <n v="914"/>
    <n v="137100"/>
    <n v="63980"/>
    <x v="0"/>
    <x v="3"/>
    <x v="9"/>
    <x v="2"/>
    <x v="0"/>
  </r>
  <r>
    <n v="10807"/>
    <s v="Sorvino"/>
    <s v="sorvi2000@gmail.com"/>
    <x v="6"/>
    <n v="90"/>
    <n v="150"/>
    <n v="821"/>
    <n v="123150"/>
    <n v="49260"/>
    <x v="1"/>
    <x v="4"/>
    <x v="10"/>
    <x v="2"/>
    <x v="0"/>
  </r>
  <r>
    <n v="10808"/>
    <s v="Jardine"/>
    <s v="jard@gmail.com"/>
    <x v="0"/>
    <n v="150"/>
    <n v="200"/>
    <n v="804"/>
    <n v="160800"/>
    <n v="40200"/>
    <x v="2"/>
    <x v="5"/>
    <x v="11"/>
    <x v="2"/>
    <x v="1"/>
  </r>
  <r>
    <n v="10809"/>
    <s v="Andrews"/>
    <s v="andy@gmail.com"/>
    <x v="1"/>
    <n v="250"/>
    <n v="500"/>
    <n v="946"/>
    <n v="473000"/>
    <n v="236500"/>
    <x v="3"/>
    <x v="0"/>
    <x v="0"/>
    <x v="2"/>
    <x v="1"/>
  </r>
  <r>
    <n v="10810"/>
    <s v="Howard"/>
    <s v="howard_freeman@yahoo.com"/>
    <x v="2"/>
    <n v="180"/>
    <n v="450"/>
    <n v="997"/>
    <n v="448650"/>
    <n v="269190"/>
    <x v="4"/>
    <x v="1"/>
    <x v="1"/>
    <x v="0"/>
    <x v="1"/>
  </r>
  <r>
    <n v="10811"/>
    <s v="Gill"/>
    <s v="gillhell@uk.com"/>
    <x v="3"/>
    <n v="170"/>
    <n v="250"/>
    <n v="770"/>
    <n v="192500"/>
    <n v="61600"/>
    <x v="0"/>
    <x v="2"/>
    <x v="2"/>
    <x v="0"/>
    <x v="0"/>
  </r>
  <r>
    <n v="10812"/>
    <s v="Gill"/>
    <s v="gillhell@uk.com"/>
    <x v="4"/>
    <n v="150"/>
    <n v="200"/>
    <n v="901"/>
    <n v="180200"/>
    <n v="45050"/>
    <x v="1"/>
    <x v="3"/>
    <x v="3"/>
    <x v="2"/>
    <x v="0"/>
  </r>
  <r>
    <n v="10813"/>
    <s v="Kivell"/>
    <s v="kivel_go@yahoo.com"/>
    <x v="5"/>
    <n v="80"/>
    <n v="150"/>
    <n v="719"/>
    <n v="107850"/>
    <n v="50330"/>
    <x v="2"/>
    <x v="4"/>
    <x v="4"/>
    <x v="0"/>
    <x v="1"/>
  </r>
  <r>
    <n v="10814"/>
    <s v="Jones"/>
    <s v="jone.ai@yahoo.com"/>
    <x v="6"/>
    <n v="90"/>
    <n v="150"/>
    <n v="933"/>
    <n v="139950"/>
    <n v="55980"/>
    <x v="3"/>
    <x v="5"/>
    <x v="5"/>
    <x v="1"/>
    <x v="1"/>
  </r>
  <r>
    <n v="10815"/>
    <s v="Morgan"/>
    <s v="morganny@gmail.com"/>
    <x v="0"/>
    <n v="150"/>
    <n v="200"/>
    <n v="992"/>
    <n v="198400"/>
    <n v="49600"/>
    <x v="4"/>
    <x v="0"/>
    <x v="6"/>
    <x v="2"/>
    <x v="1"/>
  </r>
  <r>
    <n v="10816"/>
    <s v="Kivell"/>
    <s v="kivel_go@yahoo.com"/>
    <x v="1"/>
    <n v="250"/>
    <n v="500"/>
    <n v="818"/>
    <n v="409000"/>
    <n v="204500"/>
    <x v="0"/>
    <x v="1"/>
    <x v="7"/>
    <x v="1"/>
    <x v="0"/>
  </r>
  <r>
    <n v="10817"/>
    <s v="Sorvino"/>
    <s v="sorvi2000@gmail.com"/>
    <x v="2"/>
    <n v="180"/>
    <n v="450"/>
    <n v="828"/>
    <n v="372600"/>
    <n v="223560"/>
    <x v="1"/>
    <x v="2"/>
    <x v="8"/>
    <x v="2"/>
    <x v="0"/>
  </r>
  <r>
    <n v="10818"/>
    <s v="Gill"/>
    <s v="gillhell@uk.com"/>
    <x v="3"/>
    <n v="170"/>
    <n v="250"/>
    <n v="758"/>
    <n v="189500"/>
    <n v="60640"/>
    <x v="2"/>
    <x v="3"/>
    <x v="9"/>
    <x v="2"/>
    <x v="1"/>
  </r>
  <r>
    <n v="10819"/>
    <s v="Sorvino"/>
    <s v="sorvi2000@gmail.com"/>
    <x v="4"/>
    <n v="150"/>
    <n v="200"/>
    <n v="787"/>
    <n v="157400"/>
    <n v="39350"/>
    <x v="3"/>
    <x v="4"/>
    <x v="10"/>
    <x v="1"/>
    <x v="1"/>
  </r>
  <r>
    <n v="10820"/>
    <s v="Thompson"/>
    <s v="thomp@uk.com"/>
    <x v="5"/>
    <n v="80"/>
    <n v="150"/>
    <n v="929"/>
    <n v="139350"/>
    <n v="65030"/>
    <x v="4"/>
    <x v="5"/>
    <x v="11"/>
    <x v="0"/>
    <x v="1"/>
  </r>
  <r>
    <n v="10821"/>
    <s v="Andrews"/>
    <s v="andy@gmail.com"/>
    <x v="6"/>
    <n v="90"/>
    <n v="150"/>
    <n v="785"/>
    <n v="117750"/>
    <n v="47100"/>
    <x v="0"/>
    <x v="0"/>
    <x v="0"/>
    <x v="0"/>
    <x v="0"/>
  </r>
  <r>
    <n v="10822"/>
    <s v="Jardine"/>
    <s v="jard@gmail.com"/>
    <x v="0"/>
    <n v="150"/>
    <n v="200"/>
    <n v="701"/>
    <n v="140200"/>
    <n v="35050"/>
    <x v="1"/>
    <x v="1"/>
    <x v="1"/>
    <x v="2"/>
    <x v="0"/>
  </r>
  <r>
    <n v="10823"/>
    <s v="Jardine"/>
    <s v="jard@gmail.com"/>
    <x v="1"/>
    <n v="250"/>
    <n v="500"/>
    <n v="757"/>
    <n v="378500"/>
    <n v="189250"/>
    <x v="2"/>
    <x v="2"/>
    <x v="2"/>
    <x v="0"/>
    <x v="1"/>
  </r>
  <r>
    <n v="10824"/>
    <s v="Andrews"/>
    <s v="andy@gmail.com"/>
    <x v="2"/>
    <n v="180"/>
    <n v="450"/>
    <n v="810"/>
    <n v="364500"/>
    <n v="218700"/>
    <x v="3"/>
    <x v="3"/>
    <x v="3"/>
    <x v="0"/>
    <x v="1"/>
  </r>
  <r>
    <n v="10825"/>
    <s v="Jones"/>
    <s v="jone.ai@yahoo.com"/>
    <x v="3"/>
    <n v="170"/>
    <n v="250"/>
    <n v="874"/>
    <n v="218500"/>
    <n v="69920"/>
    <x v="4"/>
    <x v="4"/>
    <x v="4"/>
    <x v="2"/>
    <x v="1"/>
  </r>
  <r>
    <n v="10826"/>
    <s v="Morgan"/>
    <s v="morganny@gmail.com"/>
    <x v="4"/>
    <n v="150"/>
    <n v="200"/>
    <n v="820"/>
    <n v="164000"/>
    <n v="41000"/>
    <x v="0"/>
    <x v="5"/>
    <x v="5"/>
    <x v="1"/>
    <x v="0"/>
  </r>
  <r>
    <n v="10827"/>
    <s v="Kivell"/>
    <s v="kivel_go@yahoo.com"/>
    <x v="5"/>
    <n v="80"/>
    <n v="150"/>
    <n v="874"/>
    <n v="131100"/>
    <n v="61180"/>
    <x v="1"/>
    <x v="0"/>
    <x v="6"/>
    <x v="1"/>
    <x v="0"/>
  </r>
  <r>
    <n v="10828"/>
    <s v="Sorvino"/>
    <s v="sorvi2000@gmail.com"/>
    <x v="6"/>
    <n v="90"/>
    <n v="150"/>
    <n v="958"/>
    <n v="143700"/>
    <n v="57480"/>
    <x v="2"/>
    <x v="1"/>
    <x v="7"/>
    <x v="0"/>
    <x v="1"/>
  </r>
  <r>
    <n v="10829"/>
    <s v="Gill"/>
    <s v="gillhell@uk.com"/>
    <x v="0"/>
    <n v="150"/>
    <n v="200"/>
    <n v="742"/>
    <n v="148400"/>
    <n v="37100"/>
    <x v="3"/>
    <x v="2"/>
    <x v="8"/>
    <x v="1"/>
    <x v="1"/>
  </r>
  <r>
    <n v="10830"/>
    <s v="Sorvino"/>
    <s v="sorvi2000@gmail.com"/>
    <x v="1"/>
    <n v="250"/>
    <n v="500"/>
    <n v="973"/>
    <n v="486500"/>
    <n v="243250"/>
    <x v="4"/>
    <x v="3"/>
    <x v="9"/>
    <x v="1"/>
    <x v="1"/>
  </r>
  <r>
    <n v="10831"/>
    <s v="Thompson"/>
    <s v="thomp@uk.com"/>
    <x v="2"/>
    <n v="180"/>
    <n v="450"/>
    <n v="961"/>
    <n v="432450"/>
    <n v="259470"/>
    <x v="0"/>
    <x v="4"/>
    <x v="10"/>
    <x v="2"/>
    <x v="0"/>
  </r>
  <r>
    <n v="10832"/>
    <s v="Andrews"/>
    <s v="andy@gmail.com"/>
    <x v="3"/>
    <n v="170"/>
    <n v="250"/>
    <n v="752"/>
    <n v="188000"/>
    <n v="60160"/>
    <x v="1"/>
    <x v="5"/>
    <x v="11"/>
    <x v="2"/>
    <x v="0"/>
  </r>
  <r>
    <n v="10833"/>
    <s v="Jardine"/>
    <s v="jard@gmail.com"/>
    <x v="4"/>
    <n v="150"/>
    <n v="200"/>
    <n v="938"/>
    <n v="187600"/>
    <n v="46900"/>
    <x v="2"/>
    <x v="0"/>
    <x v="0"/>
    <x v="1"/>
    <x v="1"/>
  </r>
  <r>
    <n v="10834"/>
    <s v="Jardine"/>
    <s v="jard@gmail.com"/>
    <x v="5"/>
    <n v="80"/>
    <n v="150"/>
    <n v="777"/>
    <n v="116550"/>
    <n v="54390"/>
    <x v="3"/>
    <x v="1"/>
    <x v="1"/>
    <x v="1"/>
    <x v="1"/>
  </r>
  <r>
    <n v="10835"/>
    <s v="Andrews"/>
    <s v="andy@gmail.com"/>
    <x v="6"/>
    <n v="90"/>
    <n v="150"/>
    <n v="855"/>
    <n v="128250"/>
    <n v="51300"/>
    <x v="4"/>
    <x v="2"/>
    <x v="2"/>
    <x v="1"/>
    <x v="1"/>
  </r>
  <r>
    <n v="10836"/>
    <s v="Jardine"/>
    <s v="jard@gmail.com"/>
    <x v="0"/>
    <n v="150"/>
    <n v="200"/>
    <n v="870"/>
    <n v="174000"/>
    <n v="43500"/>
    <x v="0"/>
    <x v="3"/>
    <x v="3"/>
    <x v="2"/>
    <x v="0"/>
  </r>
  <r>
    <n v="10837"/>
    <s v="Gill"/>
    <s v="gillhell@uk.com"/>
    <x v="1"/>
    <n v="250"/>
    <n v="500"/>
    <n v="922"/>
    <n v="461000"/>
    <n v="230500"/>
    <x v="1"/>
    <x v="4"/>
    <x v="4"/>
    <x v="1"/>
    <x v="0"/>
  </r>
  <r>
    <n v="10838"/>
    <s v="Sorvino"/>
    <s v="sorvi2000@gmail.com"/>
    <x v="2"/>
    <n v="180"/>
    <n v="450"/>
    <n v="856"/>
    <n v="385200"/>
    <n v="231120"/>
    <x v="2"/>
    <x v="5"/>
    <x v="5"/>
    <x v="1"/>
    <x v="1"/>
  </r>
  <r>
    <n v="10839"/>
    <s v="Jones"/>
    <s v="jone.ai@yahoo.com"/>
    <x v="3"/>
    <n v="170"/>
    <n v="250"/>
    <n v="852"/>
    <n v="213000"/>
    <n v="68160"/>
    <x v="3"/>
    <x v="0"/>
    <x v="6"/>
    <x v="1"/>
    <x v="1"/>
  </r>
  <r>
    <n v="10840"/>
    <s v="Andrews"/>
    <s v="andy@gmail.com"/>
    <x v="4"/>
    <n v="150"/>
    <n v="200"/>
    <n v="981"/>
    <n v="196200"/>
    <n v="49050"/>
    <x v="4"/>
    <x v="1"/>
    <x v="7"/>
    <x v="1"/>
    <x v="1"/>
  </r>
  <r>
    <n v="10841"/>
    <s v="Jardine"/>
    <s v="jard@gmail.com"/>
    <x v="5"/>
    <n v="80"/>
    <n v="150"/>
    <n v="910"/>
    <n v="136500"/>
    <n v="63700"/>
    <x v="0"/>
    <x v="2"/>
    <x v="8"/>
    <x v="2"/>
    <x v="0"/>
  </r>
  <r>
    <n v="10842"/>
    <s v="Thompson"/>
    <s v="thomp@uk.com"/>
    <x v="6"/>
    <n v="90"/>
    <n v="150"/>
    <n v="805"/>
    <n v="120750"/>
    <n v="48300"/>
    <x v="1"/>
    <x v="3"/>
    <x v="9"/>
    <x v="1"/>
    <x v="0"/>
  </r>
  <r>
    <n v="10843"/>
    <s v="Jones"/>
    <s v="jone.ai@yahoo.com"/>
    <x v="0"/>
    <n v="150"/>
    <n v="200"/>
    <n v="932"/>
    <n v="186400"/>
    <n v="46600"/>
    <x v="2"/>
    <x v="4"/>
    <x v="10"/>
    <x v="1"/>
    <x v="1"/>
  </r>
  <r>
    <n v="10844"/>
    <s v="Morgan"/>
    <s v="morganny@gmail.com"/>
    <x v="1"/>
    <n v="250"/>
    <n v="500"/>
    <n v="891"/>
    <n v="445500"/>
    <n v="222750"/>
    <x v="3"/>
    <x v="5"/>
    <x v="11"/>
    <x v="1"/>
    <x v="1"/>
  </r>
  <r>
    <n v="10845"/>
    <s v="Howard"/>
    <s v="howard_freeman@yahoo.com"/>
    <x v="2"/>
    <n v="180"/>
    <n v="450"/>
    <n v="803"/>
    <n v="361350"/>
    <n v="216810"/>
    <x v="4"/>
    <x v="0"/>
    <x v="0"/>
    <x v="1"/>
    <x v="1"/>
  </r>
  <r>
    <n v="10846"/>
    <s v="Parent"/>
    <s v="parentty@uk.com"/>
    <x v="3"/>
    <n v="170"/>
    <n v="250"/>
    <n v="818"/>
    <n v="204500"/>
    <n v="65440"/>
    <x v="0"/>
    <x v="1"/>
    <x v="1"/>
    <x v="2"/>
    <x v="0"/>
  </r>
  <r>
    <n v="10847"/>
    <s v="Jones"/>
    <s v="jone.ai@yahoo.com"/>
    <x v="4"/>
    <n v="150"/>
    <n v="200"/>
    <n v="932"/>
    <n v="186400"/>
    <n v="46600"/>
    <x v="1"/>
    <x v="2"/>
    <x v="2"/>
    <x v="0"/>
    <x v="0"/>
  </r>
  <r>
    <n v="10848"/>
    <s v="Smith"/>
    <s v="smithMan@yahoo.com"/>
    <x v="5"/>
    <n v="80"/>
    <n v="150"/>
    <n v="893"/>
    <n v="133950"/>
    <n v="62510"/>
    <x v="2"/>
    <x v="3"/>
    <x v="3"/>
    <x v="0"/>
    <x v="1"/>
  </r>
  <r>
    <n v="10849"/>
    <s v="Jones"/>
    <s v="jone.ai@yahoo.com"/>
    <x v="6"/>
    <n v="90"/>
    <n v="150"/>
    <n v="824"/>
    <n v="123600"/>
    <n v="49440"/>
    <x v="3"/>
    <x v="4"/>
    <x v="4"/>
    <x v="0"/>
    <x v="1"/>
  </r>
  <r>
    <n v="10850"/>
    <s v="Jardine"/>
    <s v="jard@gmail.com"/>
    <x v="0"/>
    <n v="150"/>
    <n v="200"/>
    <n v="931"/>
    <n v="186200"/>
    <n v="46550"/>
    <x v="4"/>
    <x v="5"/>
    <x v="5"/>
    <x v="0"/>
    <x v="1"/>
  </r>
  <r>
    <n v="10851"/>
    <s v="Gill"/>
    <s v="gillhell@uk.com"/>
    <x v="1"/>
    <n v="250"/>
    <n v="500"/>
    <n v="783"/>
    <n v="391500"/>
    <n v="195750"/>
    <x v="0"/>
    <x v="0"/>
    <x v="6"/>
    <x v="0"/>
    <x v="0"/>
  </r>
  <r>
    <n v="10852"/>
    <s v="Sorvino"/>
    <s v="sorvi2000@gmail.com"/>
    <x v="2"/>
    <n v="180"/>
    <n v="450"/>
    <n v="708"/>
    <n v="318600"/>
    <n v="191160"/>
    <x v="1"/>
    <x v="1"/>
    <x v="7"/>
    <x v="2"/>
    <x v="0"/>
  </r>
  <r>
    <n v="10853"/>
    <s v="Jones"/>
    <s v="jone.ai@yahoo.com"/>
    <x v="3"/>
    <n v="170"/>
    <n v="250"/>
    <n v="861"/>
    <n v="215250"/>
    <n v="68880"/>
    <x v="2"/>
    <x v="2"/>
    <x v="8"/>
    <x v="2"/>
    <x v="1"/>
  </r>
  <r>
    <n v="10854"/>
    <s v="Andrews"/>
    <s v="andy@gmail.com"/>
    <x v="4"/>
    <n v="150"/>
    <n v="200"/>
    <n v="798"/>
    <n v="159600"/>
    <n v="39900"/>
    <x v="3"/>
    <x v="3"/>
    <x v="9"/>
    <x v="2"/>
    <x v="1"/>
  </r>
  <r>
    <n v="10855"/>
    <s v="Jardine"/>
    <s v="jard@gmail.com"/>
    <x v="5"/>
    <n v="80"/>
    <n v="150"/>
    <n v="934"/>
    <n v="140100"/>
    <n v="65380"/>
    <x v="4"/>
    <x v="4"/>
    <x v="10"/>
    <x v="0"/>
    <x v="1"/>
  </r>
  <r>
    <n v="10856"/>
    <s v="Thompson"/>
    <s v="thomp@uk.com"/>
    <x v="6"/>
    <n v="90"/>
    <n v="150"/>
    <n v="950"/>
    <n v="142500"/>
    <n v="57000"/>
    <x v="0"/>
    <x v="5"/>
    <x v="11"/>
    <x v="2"/>
    <x v="0"/>
  </r>
  <r>
    <n v="10857"/>
    <s v="Jones"/>
    <s v="jone.ai@yahoo.com"/>
    <x v="0"/>
    <n v="150"/>
    <n v="200"/>
    <n v="986"/>
    <n v="197200"/>
    <n v="49300"/>
    <x v="1"/>
    <x v="0"/>
    <x v="0"/>
    <x v="1"/>
    <x v="0"/>
  </r>
  <r>
    <n v="10858"/>
    <s v="Morgan"/>
    <s v="morganny@gmail.com"/>
    <x v="1"/>
    <n v="250"/>
    <n v="500"/>
    <n v="767"/>
    <n v="383500"/>
    <n v="191750"/>
    <x v="2"/>
    <x v="1"/>
    <x v="1"/>
    <x v="2"/>
    <x v="1"/>
  </r>
  <r>
    <n v="10859"/>
    <s v="Howard"/>
    <s v="howard_freeman@yahoo.com"/>
    <x v="2"/>
    <n v="180"/>
    <n v="450"/>
    <n v="898"/>
    <n v="404100"/>
    <n v="242460"/>
    <x v="3"/>
    <x v="2"/>
    <x v="2"/>
    <x v="2"/>
    <x v="1"/>
  </r>
  <r>
    <n v="10860"/>
    <s v="Parent"/>
    <s v="parentty@uk.com"/>
    <x v="3"/>
    <n v="170"/>
    <n v="250"/>
    <n v="859"/>
    <n v="214750"/>
    <n v="68720"/>
    <x v="4"/>
    <x v="3"/>
    <x v="3"/>
    <x v="1"/>
    <x v="1"/>
  </r>
  <r>
    <n v="10861"/>
    <s v="Jones"/>
    <s v="jone.ai@yahoo.com"/>
    <x v="4"/>
    <n v="150"/>
    <n v="200"/>
    <n v="934"/>
    <n v="186800"/>
    <n v="46700"/>
    <x v="0"/>
    <x v="4"/>
    <x v="4"/>
    <x v="0"/>
    <x v="0"/>
  </r>
  <r>
    <n v="10862"/>
    <s v="Smith"/>
    <s v="smithMan@yahoo.com"/>
    <x v="5"/>
    <n v="80"/>
    <n v="150"/>
    <n v="879"/>
    <n v="131850"/>
    <n v="61530"/>
    <x v="1"/>
    <x v="5"/>
    <x v="5"/>
    <x v="2"/>
    <x v="0"/>
  </r>
  <r>
    <n v="10863"/>
    <s v="Jones"/>
    <s v="jone.ai@yahoo.com"/>
    <x v="6"/>
    <n v="90"/>
    <n v="150"/>
    <n v="872"/>
    <n v="130800"/>
    <n v="52320"/>
    <x v="2"/>
    <x v="0"/>
    <x v="6"/>
    <x v="2"/>
    <x v="1"/>
  </r>
  <r>
    <n v="10864"/>
    <s v="Morgan"/>
    <s v="morganny@gmail.com"/>
    <x v="0"/>
    <n v="150"/>
    <n v="200"/>
    <n v="991"/>
    <n v="198200"/>
    <n v="49550"/>
    <x v="3"/>
    <x v="1"/>
    <x v="7"/>
    <x v="1"/>
    <x v="1"/>
  </r>
  <r>
    <n v="10865"/>
    <s v="Jones"/>
    <s v="jone.ai@yahoo.com"/>
    <x v="1"/>
    <n v="250"/>
    <n v="500"/>
    <n v="738"/>
    <n v="369000"/>
    <n v="184500"/>
    <x v="4"/>
    <x v="2"/>
    <x v="8"/>
    <x v="1"/>
    <x v="1"/>
  </r>
  <r>
    <n v="10866"/>
    <s v="Parent"/>
    <s v="parentty@uk.com"/>
    <x v="2"/>
    <n v="180"/>
    <n v="450"/>
    <n v="849"/>
    <n v="382050"/>
    <n v="229230"/>
    <x v="0"/>
    <x v="3"/>
    <x v="9"/>
    <x v="1"/>
    <x v="0"/>
  </r>
  <r>
    <n v="10867"/>
    <s v="Kivell"/>
    <s v="kivel_go@yahoo.com"/>
    <x v="3"/>
    <n v="170"/>
    <n v="250"/>
    <n v="997"/>
    <n v="249250"/>
    <n v="79760"/>
    <x v="1"/>
    <x v="4"/>
    <x v="10"/>
    <x v="2"/>
    <x v="0"/>
  </r>
  <r>
    <n v="10868"/>
    <s v="Smith"/>
    <s v="smithMan@yahoo.com"/>
    <x v="4"/>
    <n v="150"/>
    <n v="200"/>
    <n v="842"/>
    <n v="168400"/>
    <n v="42100"/>
    <x v="2"/>
    <x v="5"/>
    <x v="11"/>
    <x v="2"/>
    <x v="1"/>
  </r>
  <r>
    <n v="10869"/>
    <s v="Parent"/>
    <s v="parentty@uk.com"/>
    <x v="5"/>
    <n v="80"/>
    <n v="150"/>
    <n v="866"/>
    <n v="129900"/>
    <n v="60620"/>
    <x v="3"/>
    <x v="0"/>
    <x v="0"/>
    <x v="0"/>
    <x v="1"/>
  </r>
  <r>
    <n v="10870"/>
    <s v="Gill"/>
    <s v="gillhell@uk.com"/>
    <x v="6"/>
    <n v="90"/>
    <n v="150"/>
    <n v="904"/>
    <n v="135600"/>
    <n v="54240"/>
    <x v="4"/>
    <x v="1"/>
    <x v="1"/>
    <x v="1"/>
    <x v="1"/>
  </r>
  <r>
    <n v="10871"/>
    <s v="Smith"/>
    <s v="smithMan@yahoo.com"/>
    <x v="0"/>
    <n v="150"/>
    <n v="200"/>
    <n v="977"/>
    <n v="195400"/>
    <n v="48850"/>
    <x v="0"/>
    <x v="2"/>
    <x v="2"/>
    <x v="1"/>
    <x v="0"/>
  </r>
  <r>
    <n v="10872"/>
    <s v="Jones"/>
    <s v="jone.ai@yahoo.com"/>
    <x v="1"/>
    <n v="250"/>
    <n v="500"/>
    <n v="848"/>
    <n v="424000"/>
    <n v="212000"/>
    <x v="1"/>
    <x v="3"/>
    <x v="3"/>
    <x v="2"/>
    <x v="0"/>
  </r>
  <r>
    <n v="10873"/>
    <s v="Sorvino"/>
    <s v="sorvi2000@gmail.com"/>
    <x v="2"/>
    <n v="180"/>
    <n v="450"/>
    <n v="924"/>
    <n v="415800"/>
    <n v="249480"/>
    <x v="2"/>
    <x v="4"/>
    <x v="4"/>
    <x v="2"/>
    <x v="1"/>
  </r>
  <r>
    <n v="10874"/>
    <s v="Jardine"/>
    <s v="jard@gmail.com"/>
    <x v="3"/>
    <n v="170"/>
    <n v="250"/>
    <n v="977"/>
    <n v="244250"/>
    <n v="78160"/>
    <x v="3"/>
    <x v="5"/>
    <x v="5"/>
    <x v="0"/>
    <x v="1"/>
  </r>
  <r>
    <n v="10875"/>
    <s v="Andrews"/>
    <s v="andy@gmail.com"/>
    <x v="4"/>
    <n v="150"/>
    <n v="200"/>
    <n v="771"/>
    <n v="154200"/>
    <n v="38550"/>
    <x v="4"/>
    <x v="0"/>
    <x v="6"/>
    <x v="2"/>
    <x v="1"/>
  </r>
  <r>
    <n v="10876"/>
    <s v="Howard"/>
    <s v="howard_freeman@yahoo.com"/>
    <x v="5"/>
    <n v="80"/>
    <n v="150"/>
    <n v="862"/>
    <n v="129300"/>
    <n v="60340"/>
    <x v="0"/>
    <x v="1"/>
    <x v="7"/>
    <x v="2"/>
    <x v="0"/>
  </r>
  <r>
    <n v="10877"/>
    <s v="Gill"/>
    <s v="gillhell@uk.com"/>
    <x v="6"/>
    <n v="90"/>
    <n v="150"/>
    <n v="716"/>
    <n v="107400"/>
    <n v="42960"/>
    <x v="1"/>
    <x v="2"/>
    <x v="8"/>
    <x v="0"/>
    <x v="0"/>
  </r>
  <r>
    <n v="10878"/>
    <s v="Gill"/>
    <s v="gillhell@uk.com"/>
    <x v="0"/>
    <n v="150"/>
    <n v="200"/>
    <n v="923"/>
    <n v="184600"/>
    <n v="46150"/>
    <x v="2"/>
    <x v="3"/>
    <x v="9"/>
    <x v="2"/>
    <x v="1"/>
  </r>
  <r>
    <n v="10879"/>
    <s v="Kivell"/>
    <s v="kivel_go@yahoo.com"/>
    <x v="1"/>
    <n v="250"/>
    <n v="500"/>
    <n v="729"/>
    <n v="364500"/>
    <n v="182250"/>
    <x v="3"/>
    <x v="4"/>
    <x v="10"/>
    <x v="1"/>
    <x v="1"/>
  </r>
  <r>
    <n v="10880"/>
    <s v="Jones"/>
    <s v="jone.ai@yahoo.com"/>
    <x v="2"/>
    <n v="180"/>
    <n v="450"/>
    <n v="766"/>
    <n v="344700"/>
    <n v="206820"/>
    <x v="4"/>
    <x v="5"/>
    <x v="11"/>
    <x v="2"/>
    <x v="1"/>
  </r>
  <r>
    <n v="10881"/>
    <s v="Morgan"/>
    <s v="morganny@gmail.com"/>
    <x v="3"/>
    <n v="170"/>
    <n v="250"/>
    <n v="704"/>
    <n v="176000"/>
    <n v="56320"/>
    <x v="0"/>
    <x v="0"/>
    <x v="0"/>
    <x v="0"/>
    <x v="0"/>
  </r>
  <r>
    <n v="10882"/>
    <s v="Kivell"/>
    <s v="kivel_go@yahoo.com"/>
    <x v="4"/>
    <n v="150"/>
    <n v="200"/>
    <n v="823"/>
    <n v="164600"/>
    <n v="41150"/>
    <x v="1"/>
    <x v="1"/>
    <x v="1"/>
    <x v="1"/>
    <x v="0"/>
  </r>
  <r>
    <n v="10883"/>
    <s v="Sorvino"/>
    <s v="sorvi2000@gmail.com"/>
    <x v="5"/>
    <n v="80"/>
    <n v="150"/>
    <n v="869"/>
    <n v="130350"/>
    <n v="60830"/>
    <x v="2"/>
    <x v="2"/>
    <x v="2"/>
    <x v="2"/>
    <x v="1"/>
  </r>
  <r>
    <n v="10884"/>
    <s v="Gill"/>
    <s v="gillhell@uk.com"/>
    <x v="6"/>
    <n v="90"/>
    <n v="150"/>
    <n v="928"/>
    <n v="139200"/>
    <n v="55680"/>
    <x v="3"/>
    <x v="3"/>
    <x v="3"/>
    <x v="0"/>
    <x v="1"/>
  </r>
  <r>
    <n v="10885"/>
    <s v="Sorvino"/>
    <s v="sorvi2000@gmail.com"/>
    <x v="0"/>
    <n v="150"/>
    <n v="200"/>
    <n v="903"/>
    <n v="180600"/>
    <n v="45150"/>
    <x v="4"/>
    <x v="4"/>
    <x v="4"/>
    <x v="0"/>
    <x v="1"/>
  </r>
  <r>
    <n v="10886"/>
    <s v="Thompson"/>
    <s v="thomp@uk.com"/>
    <x v="1"/>
    <n v="250"/>
    <n v="500"/>
    <n v="916"/>
    <n v="458000"/>
    <n v="229000"/>
    <x v="0"/>
    <x v="5"/>
    <x v="5"/>
    <x v="1"/>
    <x v="0"/>
  </r>
  <r>
    <n v="10887"/>
    <s v="Andrews"/>
    <s v="andy@gmail.com"/>
    <x v="2"/>
    <n v="180"/>
    <n v="450"/>
    <n v="988"/>
    <n v="444600"/>
    <n v="266760"/>
    <x v="1"/>
    <x v="0"/>
    <x v="6"/>
    <x v="1"/>
    <x v="0"/>
  </r>
  <r>
    <n v="10888"/>
    <s v="Jardine"/>
    <s v="jard@gmail.com"/>
    <x v="3"/>
    <n v="170"/>
    <n v="250"/>
    <n v="905"/>
    <n v="226250"/>
    <n v="72400"/>
    <x v="2"/>
    <x v="1"/>
    <x v="7"/>
    <x v="2"/>
    <x v="1"/>
  </r>
  <r>
    <n v="10889"/>
    <s v="Jardine"/>
    <s v="jard@gmail.com"/>
    <x v="4"/>
    <n v="150"/>
    <n v="200"/>
    <n v="947"/>
    <n v="189400"/>
    <n v="47350"/>
    <x v="3"/>
    <x v="2"/>
    <x v="8"/>
    <x v="1"/>
    <x v="1"/>
  </r>
  <r>
    <n v="10890"/>
    <s v="Andrews"/>
    <s v="andy@gmail.com"/>
    <x v="5"/>
    <n v="80"/>
    <n v="150"/>
    <n v="926"/>
    <n v="138900"/>
    <n v="64820"/>
    <x v="4"/>
    <x v="3"/>
    <x v="9"/>
    <x v="2"/>
    <x v="1"/>
  </r>
  <r>
    <n v="10891"/>
    <s v="Jardine"/>
    <s v="jard@gmail.com"/>
    <x v="6"/>
    <n v="90"/>
    <n v="150"/>
    <n v="907"/>
    <n v="136050"/>
    <n v="54420"/>
    <x v="0"/>
    <x v="4"/>
    <x v="10"/>
    <x v="0"/>
    <x v="0"/>
  </r>
  <r>
    <n v="10892"/>
    <s v="Gill"/>
    <s v="gillhell@uk.com"/>
    <x v="0"/>
    <n v="150"/>
    <n v="200"/>
    <n v="848"/>
    <n v="169600"/>
    <n v="42400"/>
    <x v="1"/>
    <x v="5"/>
    <x v="11"/>
    <x v="0"/>
    <x v="0"/>
  </r>
  <r>
    <n v="10893"/>
    <s v="Sorvino"/>
    <s v="sorvi2000@gmail.com"/>
    <x v="1"/>
    <n v="250"/>
    <n v="500"/>
    <n v="878"/>
    <n v="439000"/>
    <n v="219500"/>
    <x v="2"/>
    <x v="0"/>
    <x v="0"/>
    <x v="2"/>
    <x v="1"/>
  </r>
  <r>
    <n v="10894"/>
    <s v="Jones"/>
    <s v="jone.ai@yahoo.com"/>
    <x v="2"/>
    <n v="180"/>
    <n v="450"/>
    <n v="706"/>
    <n v="317700"/>
    <n v="190620"/>
    <x v="3"/>
    <x v="1"/>
    <x v="1"/>
    <x v="1"/>
    <x v="1"/>
  </r>
  <r>
    <n v="10895"/>
    <s v="Andrews"/>
    <s v="andy@gmail.com"/>
    <x v="3"/>
    <n v="170"/>
    <n v="250"/>
    <n v="781"/>
    <n v="195250"/>
    <n v="62480"/>
    <x v="4"/>
    <x v="2"/>
    <x v="2"/>
    <x v="0"/>
    <x v="1"/>
  </r>
  <r>
    <n v="10896"/>
    <s v="Jardine"/>
    <s v="jard@gmail.com"/>
    <x v="4"/>
    <n v="150"/>
    <n v="200"/>
    <n v="818"/>
    <n v="163600"/>
    <n v="40900"/>
    <x v="0"/>
    <x v="3"/>
    <x v="3"/>
    <x v="2"/>
    <x v="0"/>
  </r>
  <r>
    <n v="10897"/>
    <s v="Thompson"/>
    <s v="thomp@uk.com"/>
    <x v="5"/>
    <n v="80"/>
    <n v="150"/>
    <n v="852"/>
    <n v="127800"/>
    <n v="59640"/>
    <x v="1"/>
    <x v="4"/>
    <x v="4"/>
    <x v="2"/>
    <x v="0"/>
  </r>
  <r>
    <n v="10898"/>
    <s v="Jones"/>
    <s v="jone.ai@yahoo.com"/>
    <x v="6"/>
    <n v="90"/>
    <n v="150"/>
    <n v="786"/>
    <n v="117900"/>
    <n v="47160"/>
    <x v="2"/>
    <x v="5"/>
    <x v="5"/>
    <x v="0"/>
    <x v="1"/>
  </r>
  <r>
    <n v="10899"/>
    <s v="Morgan"/>
    <s v="morganny@gmail.com"/>
    <x v="0"/>
    <n v="150"/>
    <n v="200"/>
    <n v="1000"/>
    <n v="200000"/>
    <n v="50000"/>
    <x v="3"/>
    <x v="0"/>
    <x v="6"/>
    <x v="1"/>
    <x v="1"/>
  </r>
  <r>
    <n v="10900"/>
    <s v="Howard"/>
    <s v="howard_freeman@yahoo.com"/>
    <x v="1"/>
    <n v="250"/>
    <n v="500"/>
    <n v="952"/>
    <n v="476000"/>
    <n v="238000"/>
    <x v="4"/>
    <x v="1"/>
    <x v="7"/>
    <x v="2"/>
    <x v="1"/>
  </r>
  <r>
    <n v="10901"/>
    <s v="Parent"/>
    <s v="parentty@uk.com"/>
    <x v="2"/>
    <n v="180"/>
    <n v="450"/>
    <n v="839"/>
    <n v="377550"/>
    <n v="226530"/>
    <x v="0"/>
    <x v="2"/>
    <x v="8"/>
    <x v="1"/>
    <x v="0"/>
  </r>
  <r>
    <n v="10902"/>
    <s v="Jones"/>
    <s v="jone.ai@yahoo.com"/>
    <x v="3"/>
    <n v="170"/>
    <n v="250"/>
    <n v="952"/>
    <n v="238000"/>
    <n v="76160"/>
    <x v="1"/>
    <x v="3"/>
    <x v="9"/>
    <x v="2"/>
    <x v="0"/>
  </r>
  <r>
    <n v="10903"/>
    <s v="Smith"/>
    <s v="smithMan@yahoo.com"/>
    <x v="4"/>
    <n v="150"/>
    <n v="200"/>
    <n v="777"/>
    <n v="155400"/>
    <n v="38850"/>
    <x v="2"/>
    <x v="4"/>
    <x v="10"/>
    <x v="2"/>
    <x v="1"/>
  </r>
  <r>
    <n v="10904"/>
    <s v="Jones"/>
    <s v="jone.ai@yahoo.com"/>
    <x v="5"/>
    <n v="80"/>
    <n v="150"/>
    <n v="864"/>
    <n v="129600"/>
    <n v="60480"/>
    <x v="3"/>
    <x v="5"/>
    <x v="11"/>
    <x v="1"/>
    <x v="1"/>
  </r>
  <r>
    <n v="10905"/>
    <s v="Morgan"/>
    <s v="morganny@gmail.com"/>
    <x v="6"/>
    <n v="90"/>
    <n v="150"/>
    <n v="934"/>
    <n v="140100"/>
    <n v="56040"/>
    <x v="4"/>
    <x v="0"/>
    <x v="0"/>
    <x v="2"/>
    <x v="1"/>
  </r>
  <r>
    <n v="10906"/>
    <s v="Jones"/>
    <s v="jone.ai@yahoo.com"/>
    <x v="0"/>
    <n v="150"/>
    <n v="200"/>
    <n v="902"/>
    <n v="180400"/>
    <n v="45100"/>
    <x v="0"/>
    <x v="1"/>
    <x v="1"/>
    <x v="1"/>
    <x v="0"/>
  </r>
  <r>
    <n v="10907"/>
    <s v="Parent"/>
    <s v="parentty@uk.com"/>
    <x v="1"/>
    <n v="250"/>
    <n v="500"/>
    <n v="793"/>
    <n v="396500"/>
    <n v="198250"/>
    <x v="1"/>
    <x v="2"/>
    <x v="2"/>
    <x v="2"/>
    <x v="0"/>
  </r>
  <r>
    <n v="10908"/>
    <s v="Kivell"/>
    <s v="kivel_go@yahoo.com"/>
    <x v="2"/>
    <n v="180"/>
    <n v="450"/>
    <n v="735"/>
    <n v="330750"/>
    <n v="198450"/>
    <x v="2"/>
    <x v="3"/>
    <x v="3"/>
    <x v="0"/>
    <x v="1"/>
  </r>
  <r>
    <n v="10909"/>
    <s v="Smith"/>
    <s v="smithMan@yahoo.com"/>
    <x v="3"/>
    <n v="170"/>
    <n v="250"/>
    <n v="890"/>
    <n v="222500"/>
    <n v="71200"/>
    <x v="3"/>
    <x v="4"/>
    <x v="4"/>
    <x v="1"/>
    <x v="1"/>
  </r>
  <r>
    <n v="10910"/>
    <s v="Parent"/>
    <s v="parentty@uk.com"/>
    <x v="4"/>
    <n v="150"/>
    <n v="200"/>
    <n v="969"/>
    <n v="193800"/>
    <n v="48450"/>
    <x v="4"/>
    <x v="5"/>
    <x v="5"/>
    <x v="1"/>
    <x v="1"/>
  </r>
  <r>
    <n v="10911"/>
    <s v="Gill"/>
    <s v="gillhell@uk.com"/>
    <x v="5"/>
    <n v="80"/>
    <n v="150"/>
    <n v="978"/>
    <n v="146700"/>
    <n v="68460"/>
    <x v="0"/>
    <x v="0"/>
    <x v="6"/>
    <x v="0"/>
    <x v="0"/>
  </r>
  <r>
    <n v="10912"/>
    <s v="Smith"/>
    <s v="smithMan@yahoo.com"/>
    <x v="6"/>
    <n v="90"/>
    <n v="150"/>
    <n v="855"/>
    <n v="128250"/>
    <n v="51300"/>
    <x v="1"/>
    <x v="1"/>
    <x v="7"/>
    <x v="2"/>
    <x v="0"/>
  </r>
  <r>
    <n v="10913"/>
    <s v="Jones"/>
    <s v="jone.ai@yahoo.com"/>
    <x v="0"/>
    <n v="150"/>
    <n v="200"/>
    <n v="835"/>
    <n v="167000"/>
    <n v="41750"/>
    <x v="2"/>
    <x v="2"/>
    <x v="8"/>
    <x v="2"/>
    <x v="1"/>
  </r>
  <r>
    <n v="10914"/>
    <s v="Sorvino"/>
    <s v="sorvi2000@gmail.com"/>
    <x v="1"/>
    <n v="250"/>
    <n v="500"/>
    <n v="835"/>
    <n v="417500"/>
    <n v="208750"/>
    <x v="3"/>
    <x v="3"/>
    <x v="9"/>
    <x v="0"/>
    <x v="1"/>
  </r>
  <r>
    <n v="10915"/>
    <s v="Jardine"/>
    <s v="jard@gmail.com"/>
    <x v="2"/>
    <n v="180"/>
    <n v="450"/>
    <n v="992"/>
    <n v="446400"/>
    <n v="267840"/>
    <x v="4"/>
    <x v="4"/>
    <x v="10"/>
    <x v="1"/>
    <x v="1"/>
  </r>
  <r>
    <n v="10916"/>
    <s v="Andrews"/>
    <s v="andy@gmail.com"/>
    <x v="3"/>
    <n v="170"/>
    <n v="250"/>
    <n v="702"/>
    <n v="175500"/>
    <n v="56160"/>
    <x v="0"/>
    <x v="5"/>
    <x v="11"/>
    <x v="2"/>
    <x v="0"/>
  </r>
  <r>
    <n v="10917"/>
    <s v="Howard"/>
    <s v="howard_freeman@yahoo.com"/>
    <x v="4"/>
    <n v="150"/>
    <n v="200"/>
    <n v="925"/>
    <n v="185000"/>
    <n v="46250"/>
    <x v="1"/>
    <x v="0"/>
    <x v="0"/>
    <x v="0"/>
    <x v="0"/>
  </r>
  <r>
    <n v="10918"/>
    <s v="Gill"/>
    <s v="gillhell@uk.com"/>
    <x v="5"/>
    <n v="80"/>
    <n v="150"/>
    <n v="997"/>
    <n v="149550"/>
    <n v="69790"/>
    <x v="2"/>
    <x v="1"/>
    <x v="1"/>
    <x v="2"/>
    <x v="1"/>
  </r>
  <r>
    <n v="10919"/>
    <s v="Gill"/>
    <s v="gillhell@uk.com"/>
    <x v="6"/>
    <n v="90"/>
    <n v="150"/>
    <n v="796"/>
    <n v="119400"/>
    <n v="47760"/>
    <x v="3"/>
    <x v="2"/>
    <x v="2"/>
    <x v="0"/>
    <x v="1"/>
  </r>
  <r>
    <n v="10920"/>
    <s v="Kivell"/>
    <s v="kivel_go@yahoo.com"/>
    <x v="0"/>
    <n v="150"/>
    <n v="200"/>
    <n v="741"/>
    <n v="148200"/>
    <n v="37050"/>
    <x v="4"/>
    <x v="3"/>
    <x v="3"/>
    <x v="0"/>
    <x v="1"/>
  </r>
  <r>
    <n v="10921"/>
    <s v="Jones"/>
    <s v="jone.ai@yahoo.com"/>
    <x v="1"/>
    <n v="250"/>
    <n v="500"/>
    <n v="827"/>
    <n v="413500"/>
    <n v="206750"/>
    <x v="0"/>
    <x v="4"/>
    <x v="4"/>
    <x v="1"/>
    <x v="0"/>
  </r>
  <r>
    <n v="10922"/>
    <s v="Morgan"/>
    <s v="morganny@gmail.com"/>
    <x v="2"/>
    <n v="180"/>
    <n v="450"/>
    <n v="849"/>
    <n v="382050"/>
    <n v="229230"/>
    <x v="1"/>
    <x v="5"/>
    <x v="5"/>
    <x v="1"/>
    <x v="0"/>
  </r>
  <r>
    <n v="10923"/>
    <s v="Kivell"/>
    <s v="kivel_go@yahoo.com"/>
    <x v="3"/>
    <n v="170"/>
    <n v="250"/>
    <n v="742"/>
    <n v="185500"/>
    <n v="59360"/>
    <x v="2"/>
    <x v="0"/>
    <x v="6"/>
    <x v="0"/>
    <x v="1"/>
  </r>
  <r>
    <n v="10924"/>
    <s v="Sorvino"/>
    <s v="sorvi2000@gmail.com"/>
    <x v="4"/>
    <n v="150"/>
    <n v="200"/>
    <n v="965"/>
    <n v="193000"/>
    <n v="48250"/>
    <x v="3"/>
    <x v="1"/>
    <x v="7"/>
    <x v="2"/>
    <x v="1"/>
  </r>
  <r>
    <n v="10925"/>
    <s v="Gill"/>
    <s v="gillhell@uk.com"/>
    <x v="5"/>
    <n v="80"/>
    <n v="150"/>
    <n v="983"/>
    <n v="147450"/>
    <n v="68810"/>
    <x v="4"/>
    <x v="2"/>
    <x v="8"/>
    <x v="0"/>
    <x v="1"/>
  </r>
  <r>
    <n v="10926"/>
    <s v="Sorvino"/>
    <s v="sorvi2000@gmail.com"/>
    <x v="6"/>
    <n v="90"/>
    <n v="150"/>
    <n v="820"/>
    <n v="123000"/>
    <n v="49200"/>
    <x v="0"/>
    <x v="3"/>
    <x v="9"/>
    <x v="2"/>
    <x v="0"/>
  </r>
  <r>
    <n v="10927"/>
    <s v="Thompson"/>
    <s v="thomp@uk.com"/>
    <x v="0"/>
    <n v="150"/>
    <n v="200"/>
    <n v="854"/>
    <n v="170800"/>
    <n v="42700"/>
    <x v="1"/>
    <x v="4"/>
    <x v="10"/>
    <x v="1"/>
    <x v="0"/>
  </r>
  <r>
    <n v="10928"/>
    <s v="Andrews"/>
    <s v="andy@gmail.com"/>
    <x v="1"/>
    <n v="250"/>
    <n v="500"/>
    <n v="768"/>
    <n v="384000"/>
    <n v="192000"/>
    <x v="2"/>
    <x v="5"/>
    <x v="11"/>
    <x v="0"/>
    <x v="1"/>
  </r>
  <r>
    <n v="10929"/>
    <s v="Jardine"/>
    <s v="jard@gmail.com"/>
    <x v="2"/>
    <n v="180"/>
    <n v="450"/>
    <n v="786"/>
    <n v="353700"/>
    <n v="212220"/>
    <x v="3"/>
    <x v="0"/>
    <x v="0"/>
    <x v="0"/>
    <x v="1"/>
  </r>
  <r>
    <n v="10930"/>
    <s v="Jardine"/>
    <s v="jard@gmail.com"/>
    <x v="3"/>
    <n v="170"/>
    <n v="250"/>
    <n v="856"/>
    <n v="214000"/>
    <n v="68480"/>
    <x v="4"/>
    <x v="1"/>
    <x v="1"/>
    <x v="0"/>
    <x v="1"/>
  </r>
  <r>
    <n v="10931"/>
    <s v="Andrews"/>
    <s v="andy@gmail.com"/>
    <x v="4"/>
    <n v="150"/>
    <n v="200"/>
    <n v="919"/>
    <n v="183800"/>
    <n v="45950"/>
    <x v="0"/>
    <x v="2"/>
    <x v="2"/>
    <x v="1"/>
    <x v="0"/>
  </r>
  <r>
    <n v="10932"/>
    <s v="Jones"/>
    <s v="jone.ai@yahoo.com"/>
    <x v="5"/>
    <n v="80"/>
    <n v="150"/>
    <n v="802"/>
    <n v="120300"/>
    <n v="56140"/>
    <x v="1"/>
    <x v="3"/>
    <x v="3"/>
    <x v="0"/>
    <x v="0"/>
  </r>
  <r>
    <n v="10933"/>
    <s v="Morgan"/>
    <s v="morganny@gmail.com"/>
    <x v="6"/>
    <n v="90"/>
    <n v="150"/>
    <n v="864"/>
    <n v="129600"/>
    <n v="51840"/>
    <x v="2"/>
    <x v="4"/>
    <x v="4"/>
    <x v="2"/>
    <x v="1"/>
  </r>
  <r>
    <n v="10934"/>
    <s v="Kivell"/>
    <s v="kivel_go@yahoo.com"/>
    <x v="0"/>
    <n v="150"/>
    <n v="200"/>
    <n v="993"/>
    <n v="198600"/>
    <n v="49650"/>
    <x v="3"/>
    <x v="5"/>
    <x v="5"/>
    <x v="1"/>
    <x v="1"/>
  </r>
  <r>
    <n v="10935"/>
    <s v="Sorvino"/>
    <s v="sorvi2000@gmail.com"/>
    <x v="1"/>
    <n v="250"/>
    <n v="500"/>
    <n v="796"/>
    <n v="398000"/>
    <n v="199000"/>
    <x v="4"/>
    <x v="0"/>
    <x v="6"/>
    <x v="2"/>
    <x v="1"/>
  </r>
  <r>
    <n v="10936"/>
    <s v="Gill"/>
    <s v="gillhell@uk.com"/>
    <x v="2"/>
    <n v="180"/>
    <n v="450"/>
    <n v="923"/>
    <n v="415350"/>
    <n v="249210"/>
    <x v="0"/>
    <x v="1"/>
    <x v="7"/>
    <x v="0"/>
    <x v="0"/>
  </r>
  <r>
    <n v="10937"/>
    <s v="Sorvino"/>
    <s v="sorvi2000@gmail.com"/>
    <x v="3"/>
    <n v="170"/>
    <n v="250"/>
    <n v="990"/>
    <n v="247500"/>
    <n v="79200"/>
    <x v="1"/>
    <x v="2"/>
    <x v="8"/>
    <x v="1"/>
    <x v="0"/>
  </r>
  <r>
    <n v="10938"/>
    <s v="Thompson"/>
    <s v="thomp@uk.com"/>
    <x v="4"/>
    <n v="150"/>
    <n v="200"/>
    <n v="957"/>
    <n v="191400"/>
    <n v="47850"/>
    <x v="2"/>
    <x v="3"/>
    <x v="9"/>
    <x v="2"/>
    <x v="1"/>
  </r>
  <r>
    <n v="10939"/>
    <s v="Andrews"/>
    <s v="andy@gmail.com"/>
    <x v="5"/>
    <n v="80"/>
    <n v="150"/>
    <n v="836"/>
    <n v="125400"/>
    <n v="58520"/>
    <x v="3"/>
    <x v="4"/>
    <x v="10"/>
    <x v="1"/>
    <x v="1"/>
  </r>
  <r>
    <n v="10940"/>
    <s v="Jardine"/>
    <s v="jard@gmail.com"/>
    <x v="6"/>
    <n v="90"/>
    <n v="150"/>
    <n v="936"/>
    <n v="140400"/>
    <n v="56160"/>
    <x v="4"/>
    <x v="5"/>
    <x v="11"/>
    <x v="0"/>
    <x v="1"/>
  </r>
  <r>
    <n v="10941"/>
    <s v="Jardine"/>
    <s v="jard@gmail.com"/>
    <x v="0"/>
    <n v="150"/>
    <n v="200"/>
    <n v="924"/>
    <n v="184800"/>
    <n v="46200"/>
    <x v="0"/>
    <x v="0"/>
    <x v="0"/>
    <x v="0"/>
    <x v="0"/>
  </r>
  <r>
    <n v="10942"/>
    <s v="Andrews"/>
    <s v="andy@gmail.com"/>
    <x v="1"/>
    <n v="250"/>
    <n v="500"/>
    <n v="998"/>
    <n v="499000"/>
    <n v="249500"/>
    <x v="1"/>
    <x v="1"/>
    <x v="1"/>
    <x v="2"/>
    <x v="0"/>
  </r>
  <r>
    <n v="10943"/>
    <s v="Jardine"/>
    <s v="jard@gmail.com"/>
    <x v="2"/>
    <n v="180"/>
    <n v="450"/>
    <n v="862"/>
    <n v="387900"/>
    <n v="232740"/>
    <x v="2"/>
    <x v="2"/>
    <x v="2"/>
    <x v="1"/>
    <x v="1"/>
  </r>
  <r>
    <n v="10944"/>
    <s v="Gill"/>
    <s v="gillhell@uk.com"/>
    <x v="3"/>
    <n v="170"/>
    <n v="250"/>
    <n v="963"/>
    <n v="240750"/>
    <n v="77040"/>
    <x v="3"/>
    <x v="3"/>
    <x v="3"/>
    <x v="1"/>
    <x v="1"/>
  </r>
  <r>
    <n v="10945"/>
    <s v="Sorvino"/>
    <s v="sorvi2000@gmail.com"/>
    <x v="4"/>
    <n v="150"/>
    <n v="200"/>
    <n v="849"/>
    <n v="169800"/>
    <n v="42450"/>
    <x v="4"/>
    <x v="4"/>
    <x v="4"/>
    <x v="2"/>
    <x v="1"/>
  </r>
  <r>
    <n v="10946"/>
    <s v="Jones"/>
    <s v="jone.ai@yahoo.com"/>
    <x v="5"/>
    <n v="80"/>
    <n v="150"/>
    <n v="938"/>
    <n v="140700"/>
    <n v="65660"/>
    <x v="0"/>
    <x v="5"/>
    <x v="5"/>
    <x v="2"/>
    <x v="0"/>
  </r>
  <r>
    <n v="10947"/>
    <s v="Andrews"/>
    <s v="andy@gmail.com"/>
    <x v="6"/>
    <n v="90"/>
    <n v="150"/>
    <n v="918"/>
    <n v="137700"/>
    <n v="55080"/>
    <x v="1"/>
    <x v="0"/>
    <x v="6"/>
    <x v="1"/>
    <x v="0"/>
  </r>
  <r>
    <n v="10948"/>
    <s v="Jardine"/>
    <s v="jard@gmail.com"/>
    <x v="0"/>
    <n v="150"/>
    <n v="200"/>
    <n v="728"/>
    <n v="145600"/>
    <n v="36400"/>
    <x v="2"/>
    <x v="1"/>
    <x v="7"/>
    <x v="2"/>
    <x v="1"/>
  </r>
  <r>
    <n v="10949"/>
    <s v="Thompson"/>
    <s v="thomp@uk.com"/>
    <x v="1"/>
    <n v="250"/>
    <n v="500"/>
    <n v="999"/>
    <n v="499500"/>
    <n v="249750"/>
    <x v="3"/>
    <x v="2"/>
    <x v="8"/>
    <x v="0"/>
    <x v="1"/>
  </r>
  <r>
    <n v="10950"/>
    <s v="Jones"/>
    <s v="jone.ai@yahoo.com"/>
    <x v="2"/>
    <n v="180"/>
    <n v="450"/>
    <n v="888"/>
    <n v="399600"/>
    <n v="239760"/>
    <x v="4"/>
    <x v="3"/>
    <x v="9"/>
    <x v="1"/>
    <x v="1"/>
  </r>
  <r>
    <n v="10951"/>
    <s v="Morgan"/>
    <s v="morganny@gmail.com"/>
    <x v="3"/>
    <n v="170"/>
    <n v="250"/>
    <n v="746"/>
    <n v="186500"/>
    <n v="59680"/>
    <x v="0"/>
    <x v="4"/>
    <x v="10"/>
    <x v="1"/>
    <x v="0"/>
  </r>
  <r>
    <n v="10952"/>
    <s v="Howard"/>
    <s v="howard_freeman@yahoo.com"/>
    <x v="4"/>
    <n v="150"/>
    <n v="200"/>
    <n v="989"/>
    <n v="197800"/>
    <n v="49450"/>
    <x v="1"/>
    <x v="5"/>
    <x v="11"/>
    <x v="2"/>
    <x v="0"/>
  </r>
  <r>
    <n v="10953"/>
    <s v="Parent"/>
    <s v="parentty@uk.com"/>
    <x v="5"/>
    <n v="80"/>
    <n v="150"/>
    <n v="948"/>
    <n v="142200"/>
    <n v="66360"/>
    <x v="2"/>
    <x v="0"/>
    <x v="0"/>
    <x v="0"/>
    <x v="1"/>
  </r>
  <r>
    <n v="10954"/>
    <s v="Jones"/>
    <s v="jone.ai@yahoo.com"/>
    <x v="6"/>
    <n v="90"/>
    <n v="150"/>
    <n v="919"/>
    <n v="137850"/>
    <n v="55140"/>
    <x v="3"/>
    <x v="1"/>
    <x v="1"/>
    <x v="0"/>
    <x v="1"/>
  </r>
  <r>
    <n v="10955"/>
    <s v="Smith"/>
    <s v="smithMan@yahoo.com"/>
    <x v="0"/>
    <n v="150"/>
    <n v="200"/>
    <n v="887"/>
    <n v="177400"/>
    <n v="44350"/>
    <x v="4"/>
    <x v="2"/>
    <x v="2"/>
    <x v="2"/>
    <x v="1"/>
  </r>
  <r>
    <n v="10956"/>
    <s v="Jones"/>
    <s v="jone.ai@yahoo.com"/>
    <x v="1"/>
    <n v="250"/>
    <n v="500"/>
    <n v="784"/>
    <n v="392000"/>
    <n v="196000"/>
    <x v="0"/>
    <x v="3"/>
    <x v="3"/>
    <x v="0"/>
    <x v="0"/>
  </r>
  <r>
    <n v="10957"/>
    <s v="Jardine"/>
    <s v="jard@gmail.com"/>
    <x v="2"/>
    <n v="180"/>
    <n v="450"/>
    <n v="795"/>
    <n v="357750"/>
    <n v="214650"/>
    <x v="1"/>
    <x v="4"/>
    <x v="4"/>
    <x v="2"/>
    <x v="0"/>
  </r>
  <r>
    <n v="10958"/>
    <s v="Gill"/>
    <s v="gillhell@uk.com"/>
    <x v="3"/>
    <n v="170"/>
    <n v="250"/>
    <n v="948"/>
    <n v="237000"/>
    <n v="75840"/>
    <x v="2"/>
    <x v="5"/>
    <x v="5"/>
    <x v="0"/>
    <x v="1"/>
  </r>
  <r>
    <n v="10959"/>
    <s v="Sorvino"/>
    <s v="sorvi2000@gmail.com"/>
    <x v="4"/>
    <n v="150"/>
    <n v="200"/>
    <n v="787"/>
    <n v="157400"/>
    <n v="39350"/>
    <x v="3"/>
    <x v="0"/>
    <x v="6"/>
    <x v="0"/>
    <x v="1"/>
  </r>
  <r>
    <n v="10960"/>
    <s v="Jones"/>
    <s v="jone.ai@yahoo.com"/>
    <x v="5"/>
    <n v="80"/>
    <n v="150"/>
    <n v="977"/>
    <n v="146550"/>
    <n v="68390"/>
    <x v="4"/>
    <x v="1"/>
    <x v="7"/>
    <x v="1"/>
    <x v="1"/>
  </r>
  <r>
    <n v="10961"/>
    <s v="Andrews"/>
    <s v="andy@gmail.com"/>
    <x v="6"/>
    <n v="90"/>
    <n v="150"/>
    <n v="955"/>
    <n v="143250"/>
    <n v="57300"/>
    <x v="0"/>
    <x v="2"/>
    <x v="8"/>
    <x v="2"/>
    <x v="0"/>
  </r>
  <r>
    <n v="10962"/>
    <s v="Jardine"/>
    <s v="jard@gmail.com"/>
    <x v="0"/>
    <n v="150"/>
    <n v="200"/>
    <n v="955"/>
    <n v="191000"/>
    <n v="47750"/>
    <x v="1"/>
    <x v="3"/>
    <x v="9"/>
    <x v="1"/>
    <x v="0"/>
  </r>
  <r>
    <n v="10963"/>
    <s v="Thompson"/>
    <s v="thomp@uk.com"/>
    <x v="1"/>
    <n v="250"/>
    <n v="500"/>
    <n v="765"/>
    <n v="382500"/>
    <n v="191250"/>
    <x v="2"/>
    <x v="4"/>
    <x v="10"/>
    <x v="2"/>
    <x v="1"/>
  </r>
  <r>
    <n v="10964"/>
    <s v="Jones"/>
    <s v="jone.ai@yahoo.com"/>
    <x v="2"/>
    <n v="180"/>
    <n v="450"/>
    <n v="887"/>
    <n v="399150"/>
    <n v="239490"/>
    <x v="3"/>
    <x v="5"/>
    <x v="11"/>
    <x v="0"/>
    <x v="1"/>
  </r>
  <r>
    <n v="10965"/>
    <s v="Morgan"/>
    <s v="morganny@gmail.com"/>
    <x v="3"/>
    <n v="170"/>
    <n v="250"/>
    <n v="729"/>
    <n v="182250"/>
    <n v="58320"/>
    <x v="4"/>
    <x v="0"/>
    <x v="0"/>
    <x v="0"/>
    <x v="1"/>
  </r>
  <r>
    <n v="10966"/>
    <s v="Howard"/>
    <s v="howard_freeman@yahoo.com"/>
    <x v="4"/>
    <n v="150"/>
    <n v="200"/>
    <n v="836"/>
    <n v="167200"/>
    <n v="41800"/>
    <x v="0"/>
    <x v="1"/>
    <x v="1"/>
    <x v="0"/>
    <x v="0"/>
  </r>
  <r>
    <n v="10967"/>
    <s v="Parent"/>
    <s v="parentty@uk.com"/>
    <x v="5"/>
    <n v="80"/>
    <n v="150"/>
    <n v="797"/>
    <n v="119550"/>
    <n v="55790"/>
    <x v="1"/>
    <x v="2"/>
    <x v="2"/>
    <x v="1"/>
    <x v="0"/>
  </r>
  <r>
    <n v="10968"/>
    <s v="Jones"/>
    <s v="jone.ai@yahoo.com"/>
    <x v="6"/>
    <n v="90"/>
    <n v="150"/>
    <n v="791"/>
    <n v="118650"/>
    <n v="47460"/>
    <x v="2"/>
    <x v="3"/>
    <x v="3"/>
    <x v="0"/>
    <x v="1"/>
  </r>
  <r>
    <n v="10969"/>
    <s v="Smith"/>
    <s v="smithMan@yahoo.com"/>
    <x v="0"/>
    <n v="150"/>
    <n v="200"/>
    <n v="773"/>
    <n v="154600"/>
    <n v="38650"/>
    <x v="3"/>
    <x v="4"/>
    <x v="4"/>
    <x v="1"/>
    <x v="1"/>
  </r>
  <r>
    <n v="10970"/>
    <s v="Jones"/>
    <s v="jone.ai@yahoo.com"/>
    <x v="1"/>
    <n v="250"/>
    <n v="500"/>
    <n v="767"/>
    <n v="383500"/>
    <n v="191750"/>
    <x v="4"/>
    <x v="5"/>
    <x v="5"/>
    <x v="2"/>
    <x v="1"/>
  </r>
  <r>
    <n v="10971"/>
    <s v="Morgan"/>
    <s v="morganny@gmail.com"/>
    <x v="2"/>
    <n v="180"/>
    <n v="450"/>
    <n v="939"/>
    <n v="422550"/>
    <n v="253530"/>
    <x v="0"/>
    <x v="0"/>
    <x v="6"/>
    <x v="0"/>
    <x v="0"/>
  </r>
  <r>
    <n v="10972"/>
    <s v="Jones"/>
    <s v="jone.ai@yahoo.com"/>
    <x v="3"/>
    <n v="170"/>
    <n v="250"/>
    <n v="832"/>
    <n v="208000"/>
    <n v="66560"/>
    <x v="1"/>
    <x v="1"/>
    <x v="7"/>
    <x v="1"/>
    <x v="0"/>
  </r>
  <r>
    <n v="10973"/>
    <s v="Parent"/>
    <s v="parentty@uk.com"/>
    <x v="4"/>
    <n v="150"/>
    <n v="200"/>
    <n v="768"/>
    <n v="153600"/>
    <n v="38400"/>
    <x v="2"/>
    <x v="2"/>
    <x v="8"/>
    <x v="1"/>
    <x v="1"/>
  </r>
  <r>
    <n v="10974"/>
    <s v="Kivell"/>
    <s v="kivel_go@yahoo.com"/>
    <x v="5"/>
    <n v="80"/>
    <n v="150"/>
    <n v="958"/>
    <n v="143700"/>
    <n v="67060"/>
    <x v="3"/>
    <x v="3"/>
    <x v="9"/>
    <x v="2"/>
    <x v="1"/>
  </r>
  <r>
    <n v="10975"/>
    <s v="Smith"/>
    <s v="smithMan@yahoo.com"/>
    <x v="6"/>
    <n v="90"/>
    <n v="150"/>
    <n v="958"/>
    <n v="143700"/>
    <n v="57480"/>
    <x v="4"/>
    <x v="4"/>
    <x v="10"/>
    <x v="1"/>
    <x v="1"/>
  </r>
  <r>
    <n v="10976"/>
    <s v="Parent"/>
    <s v="parentty@uk.com"/>
    <x v="0"/>
    <n v="150"/>
    <n v="200"/>
    <n v="927"/>
    <n v="185400"/>
    <n v="46350"/>
    <x v="0"/>
    <x v="5"/>
    <x v="11"/>
    <x v="0"/>
    <x v="0"/>
  </r>
  <r>
    <n v="10977"/>
    <s v="Gill"/>
    <s v="gillhell@uk.com"/>
    <x v="1"/>
    <n v="250"/>
    <n v="500"/>
    <n v="919"/>
    <n v="459500"/>
    <n v="229750"/>
    <x v="1"/>
    <x v="0"/>
    <x v="0"/>
    <x v="0"/>
    <x v="0"/>
  </r>
  <r>
    <n v="10978"/>
    <s v="Smith"/>
    <s v="smithMan@yahoo.com"/>
    <x v="2"/>
    <n v="180"/>
    <n v="450"/>
    <n v="830"/>
    <n v="373500"/>
    <n v="224100"/>
    <x v="2"/>
    <x v="1"/>
    <x v="1"/>
    <x v="1"/>
    <x v="1"/>
  </r>
  <r>
    <n v="10979"/>
    <s v="Jones"/>
    <s v="jone.ai@yahoo.com"/>
    <x v="3"/>
    <n v="170"/>
    <n v="250"/>
    <n v="874"/>
    <n v="218500"/>
    <n v="69920"/>
    <x v="3"/>
    <x v="2"/>
    <x v="2"/>
    <x v="1"/>
    <x v="1"/>
  </r>
  <r>
    <n v="10980"/>
    <s v="Sorvino"/>
    <s v="sorvi2000@gmail.com"/>
    <x v="4"/>
    <n v="150"/>
    <n v="200"/>
    <n v="954"/>
    <n v="190800"/>
    <n v="47700"/>
    <x v="4"/>
    <x v="3"/>
    <x v="3"/>
    <x v="2"/>
    <x v="1"/>
  </r>
  <r>
    <n v="10981"/>
    <s v="Jardine"/>
    <s v="jard@gmail.com"/>
    <x v="5"/>
    <n v="80"/>
    <n v="150"/>
    <n v="919"/>
    <n v="137850"/>
    <n v="64330"/>
    <x v="0"/>
    <x v="4"/>
    <x v="4"/>
    <x v="2"/>
    <x v="0"/>
  </r>
  <r>
    <n v="10982"/>
    <s v="Andrews"/>
    <s v="andy@gmail.com"/>
    <x v="6"/>
    <n v="90"/>
    <n v="150"/>
    <n v="796"/>
    <n v="119400"/>
    <n v="47760"/>
    <x v="1"/>
    <x v="5"/>
    <x v="5"/>
    <x v="2"/>
    <x v="0"/>
  </r>
  <r>
    <n v="10983"/>
    <s v="Howard"/>
    <s v="howard_freeman@yahoo.com"/>
    <x v="0"/>
    <n v="150"/>
    <n v="200"/>
    <n v="773"/>
    <n v="154600"/>
    <n v="38650"/>
    <x v="2"/>
    <x v="0"/>
    <x v="6"/>
    <x v="2"/>
    <x v="1"/>
  </r>
  <r>
    <n v="10984"/>
    <s v="Gill"/>
    <s v="gillhell@uk.com"/>
    <x v="1"/>
    <n v="250"/>
    <n v="500"/>
    <n v="891"/>
    <n v="445500"/>
    <n v="222750"/>
    <x v="3"/>
    <x v="1"/>
    <x v="7"/>
    <x v="1"/>
    <x v="1"/>
  </r>
  <r>
    <n v="10985"/>
    <s v="Gill"/>
    <s v="gillhell@uk.com"/>
    <x v="2"/>
    <n v="180"/>
    <n v="450"/>
    <n v="778"/>
    <n v="350100"/>
    <n v="210060"/>
    <x v="4"/>
    <x v="2"/>
    <x v="8"/>
    <x v="2"/>
    <x v="1"/>
  </r>
  <r>
    <n v="10986"/>
    <s v="Kivell"/>
    <s v="kivel_go@yahoo.com"/>
    <x v="3"/>
    <n v="170"/>
    <n v="250"/>
    <n v="950"/>
    <n v="237500"/>
    <n v="76000"/>
    <x v="0"/>
    <x v="3"/>
    <x v="9"/>
    <x v="1"/>
    <x v="0"/>
  </r>
  <r>
    <n v="10987"/>
    <s v="Jones"/>
    <s v="jone.ai@yahoo.com"/>
    <x v="4"/>
    <n v="150"/>
    <n v="200"/>
    <n v="840"/>
    <n v="168000"/>
    <n v="42000"/>
    <x v="1"/>
    <x v="4"/>
    <x v="10"/>
    <x v="2"/>
    <x v="0"/>
  </r>
  <r>
    <n v="10988"/>
    <s v="Morgan"/>
    <s v="morganny@gmail.com"/>
    <x v="5"/>
    <n v="80"/>
    <n v="150"/>
    <n v="821"/>
    <n v="123150"/>
    <n v="57470"/>
    <x v="2"/>
    <x v="5"/>
    <x v="11"/>
    <x v="2"/>
    <x v="1"/>
  </r>
  <r>
    <n v="10989"/>
    <s v="Kivell"/>
    <s v="kivel_go@yahoo.com"/>
    <x v="6"/>
    <n v="90"/>
    <n v="150"/>
    <n v="720"/>
    <n v="108000"/>
    <n v="43200"/>
    <x v="3"/>
    <x v="0"/>
    <x v="0"/>
    <x v="2"/>
    <x v="1"/>
  </r>
  <r>
    <n v="10990"/>
    <s v="Sorvino"/>
    <s v="sorvi2000@gmail.com"/>
    <x v="0"/>
    <n v="150"/>
    <n v="200"/>
    <n v="706"/>
    <n v="141200"/>
    <n v="35300"/>
    <x v="4"/>
    <x v="1"/>
    <x v="1"/>
    <x v="0"/>
    <x v="1"/>
  </r>
  <r>
    <n v="10991"/>
    <s v="Gill"/>
    <s v="gillhell@uk.com"/>
    <x v="1"/>
    <n v="250"/>
    <n v="500"/>
    <n v="827"/>
    <n v="413500"/>
    <n v="206750"/>
    <x v="0"/>
    <x v="2"/>
    <x v="2"/>
    <x v="1"/>
    <x v="0"/>
  </r>
  <r>
    <n v="10992"/>
    <s v="Sorvino"/>
    <s v="sorvi2000@gmail.com"/>
    <x v="2"/>
    <n v="180"/>
    <n v="450"/>
    <n v="792"/>
    <n v="356400"/>
    <n v="213840"/>
    <x v="1"/>
    <x v="3"/>
    <x v="3"/>
    <x v="2"/>
    <x v="0"/>
  </r>
  <r>
    <n v="10993"/>
    <s v="Thompson"/>
    <s v="thomp@uk.com"/>
    <x v="3"/>
    <n v="170"/>
    <n v="250"/>
    <n v="885"/>
    <n v="221250"/>
    <n v="70800"/>
    <x v="2"/>
    <x v="4"/>
    <x v="4"/>
    <x v="2"/>
    <x v="1"/>
  </r>
  <r>
    <n v="10994"/>
    <s v="Andrews"/>
    <s v="andy@gmail.com"/>
    <x v="4"/>
    <n v="150"/>
    <n v="200"/>
    <n v="973"/>
    <n v="194600"/>
    <n v="48650"/>
    <x v="3"/>
    <x v="5"/>
    <x v="5"/>
    <x v="0"/>
    <x v="1"/>
  </r>
  <r>
    <n v="10995"/>
    <s v="Jardine"/>
    <s v="jard@gmail.com"/>
    <x v="5"/>
    <n v="80"/>
    <n v="150"/>
    <n v="977"/>
    <n v="146550"/>
    <n v="68390"/>
    <x v="4"/>
    <x v="0"/>
    <x v="6"/>
    <x v="2"/>
    <x v="1"/>
  </r>
  <r>
    <n v="10996"/>
    <s v="Jardine"/>
    <s v="jard@gmail.com"/>
    <x v="6"/>
    <n v="90"/>
    <n v="150"/>
    <n v="873"/>
    <n v="130950"/>
    <n v="52380"/>
    <x v="0"/>
    <x v="1"/>
    <x v="7"/>
    <x v="0"/>
    <x v="0"/>
  </r>
  <r>
    <n v="10997"/>
    <s v="Andrews"/>
    <s v="andy@gmail.com"/>
    <x v="0"/>
    <n v="150"/>
    <n v="200"/>
    <n v="932"/>
    <n v="186400"/>
    <n v="46600"/>
    <x v="1"/>
    <x v="2"/>
    <x v="8"/>
    <x v="2"/>
    <x v="0"/>
  </r>
  <r>
    <n v="10998"/>
    <s v="Jardine"/>
    <s v="jard@gmail.com"/>
    <x v="1"/>
    <n v="250"/>
    <n v="500"/>
    <n v="701"/>
    <n v="350500"/>
    <n v="175250"/>
    <x v="2"/>
    <x v="3"/>
    <x v="9"/>
    <x v="1"/>
    <x v="1"/>
  </r>
  <r>
    <n v="10999"/>
    <s v="Gill"/>
    <s v="gillhell@uk.com"/>
    <x v="2"/>
    <n v="180"/>
    <n v="450"/>
    <n v="977"/>
    <n v="439650"/>
    <n v="263790"/>
    <x v="3"/>
    <x v="4"/>
    <x v="10"/>
    <x v="2"/>
    <x v="1"/>
  </r>
  <r>
    <n v="11000"/>
    <s v="Sorvino"/>
    <s v="sorvi2000@gmail.com"/>
    <x v="3"/>
    <n v="170"/>
    <n v="250"/>
    <n v="977"/>
    <n v="244250"/>
    <n v="78160"/>
    <x v="4"/>
    <x v="5"/>
    <x v="11"/>
    <x v="2"/>
    <x v="1"/>
  </r>
  <r>
    <n v="11001"/>
    <s v="Jones"/>
    <s v="jone.ai@yahoo.com"/>
    <x v="4"/>
    <n v="150"/>
    <n v="200"/>
    <n v="952"/>
    <n v="190400"/>
    <n v="47600"/>
    <x v="0"/>
    <x v="0"/>
    <x v="0"/>
    <x v="0"/>
    <x v="0"/>
  </r>
  <r>
    <n v="11002"/>
    <s v="Andrews"/>
    <s v="andy@gmail.com"/>
    <x v="5"/>
    <n v="80"/>
    <n v="150"/>
    <n v="750"/>
    <n v="112500"/>
    <n v="52500"/>
    <x v="1"/>
    <x v="1"/>
    <x v="1"/>
    <x v="1"/>
    <x v="0"/>
  </r>
  <r>
    <n v="11003"/>
    <s v="Jardine"/>
    <s v="jard@gmail.com"/>
    <x v="6"/>
    <n v="90"/>
    <n v="150"/>
    <n v="961"/>
    <n v="144150"/>
    <n v="57660"/>
    <x v="2"/>
    <x v="2"/>
    <x v="2"/>
    <x v="2"/>
    <x v="1"/>
  </r>
  <r>
    <n v="11004"/>
    <s v="Thompson"/>
    <s v="thomp@uk.com"/>
    <x v="0"/>
    <n v="150"/>
    <n v="200"/>
    <n v="702"/>
    <n v="140400"/>
    <n v="35100"/>
    <x v="3"/>
    <x v="3"/>
    <x v="3"/>
    <x v="1"/>
    <x v="1"/>
  </r>
  <r>
    <n v="11005"/>
    <s v="Jones"/>
    <s v="jone.ai@yahoo.com"/>
    <x v="1"/>
    <n v="250"/>
    <n v="500"/>
    <n v="984"/>
    <n v="492000"/>
    <n v="246000"/>
    <x v="4"/>
    <x v="4"/>
    <x v="4"/>
    <x v="2"/>
    <x v="1"/>
  </r>
  <r>
    <n v="11006"/>
    <s v="Morgan"/>
    <s v="morganny@gmail.com"/>
    <x v="2"/>
    <n v="180"/>
    <n v="450"/>
    <n v="861"/>
    <n v="387450"/>
    <n v="232470"/>
    <x v="0"/>
    <x v="5"/>
    <x v="5"/>
    <x v="2"/>
    <x v="0"/>
  </r>
  <r>
    <n v="11007"/>
    <s v="Howard"/>
    <s v="howard_freeman@yahoo.com"/>
    <x v="3"/>
    <n v="170"/>
    <n v="250"/>
    <n v="984"/>
    <n v="246000"/>
    <n v="78720"/>
    <x v="1"/>
    <x v="0"/>
    <x v="6"/>
    <x v="0"/>
    <x v="0"/>
  </r>
  <r>
    <n v="11008"/>
    <s v="Parent"/>
    <s v="parentty@uk.com"/>
    <x v="4"/>
    <n v="150"/>
    <n v="200"/>
    <n v="760"/>
    <n v="152000"/>
    <n v="38000"/>
    <x v="2"/>
    <x v="1"/>
    <x v="7"/>
    <x v="1"/>
    <x v="1"/>
  </r>
  <r>
    <n v="11009"/>
    <s v="Jones"/>
    <s v="jone.ai@yahoo.com"/>
    <x v="5"/>
    <n v="80"/>
    <n v="150"/>
    <n v="849"/>
    <n v="127350"/>
    <n v="59430"/>
    <x v="3"/>
    <x v="2"/>
    <x v="8"/>
    <x v="0"/>
    <x v="1"/>
  </r>
  <r>
    <n v="11010"/>
    <s v="Smith"/>
    <s v="smithMan@yahoo.com"/>
    <x v="6"/>
    <n v="90"/>
    <n v="150"/>
    <n v="728"/>
    <n v="109200"/>
    <n v="43680"/>
    <x v="4"/>
    <x v="3"/>
    <x v="9"/>
    <x v="2"/>
    <x v="1"/>
  </r>
  <r>
    <n v="11011"/>
    <s v="Jones"/>
    <s v="jone.ai@yahoo.com"/>
    <x v="0"/>
    <n v="150"/>
    <n v="200"/>
    <n v="842"/>
    <n v="168400"/>
    <n v="42100"/>
    <x v="0"/>
    <x v="4"/>
    <x v="10"/>
    <x v="0"/>
    <x v="0"/>
  </r>
  <r>
    <n v="11012"/>
    <s v="Morgan"/>
    <s v="morganny@gmail.com"/>
    <x v="1"/>
    <n v="250"/>
    <n v="500"/>
    <n v="966"/>
    <n v="483000"/>
    <n v="241500"/>
    <x v="1"/>
    <x v="5"/>
    <x v="11"/>
    <x v="2"/>
    <x v="0"/>
  </r>
  <r>
    <n v="11013"/>
    <s v="Jones"/>
    <s v="jone.ai@yahoo.com"/>
    <x v="2"/>
    <n v="180"/>
    <n v="450"/>
    <n v="732"/>
    <n v="329400"/>
    <n v="197640"/>
    <x v="2"/>
    <x v="0"/>
    <x v="0"/>
    <x v="2"/>
    <x v="1"/>
  </r>
  <r>
    <n v="11014"/>
    <s v="Parent"/>
    <s v="parentty@uk.com"/>
    <x v="3"/>
    <n v="170"/>
    <n v="250"/>
    <n v="996"/>
    <n v="249000"/>
    <n v="79680"/>
    <x v="3"/>
    <x v="1"/>
    <x v="1"/>
    <x v="1"/>
    <x v="1"/>
  </r>
  <r>
    <n v="11015"/>
    <s v="Kivell"/>
    <s v="kivel_go@yahoo.com"/>
    <x v="4"/>
    <n v="150"/>
    <n v="200"/>
    <n v="770"/>
    <n v="154000"/>
    <n v="38500"/>
    <x v="4"/>
    <x v="2"/>
    <x v="2"/>
    <x v="0"/>
    <x v="1"/>
  </r>
  <r>
    <n v="11016"/>
    <s v="Smith"/>
    <s v="smithMan@yahoo.com"/>
    <x v="5"/>
    <n v="80"/>
    <n v="150"/>
    <n v="785"/>
    <n v="117750"/>
    <n v="54950"/>
    <x v="0"/>
    <x v="3"/>
    <x v="3"/>
    <x v="2"/>
    <x v="0"/>
  </r>
  <r>
    <n v="11017"/>
    <s v="Parent"/>
    <s v="parentty@uk.com"/>
    <x v="6"/>
    <n v="90"/>
    <n v="150"/>
    <n v="891"/>
    <n v="133650"/>
    <n v="53460"/>
    <x v="1"/>
    <x v="4"/>
    <x v="4"/>
    <x v="2"/>
    <x v="0"/>
  </r>
  <r>
    <n v="11018"/>
    <s v="Gill"/>
    <s v="gillhell@uk.com"/>
    <x v="0"/>
    <n v="150"/>
    <n v="200"/>
    <n v="793"/>
    <n v="158600"/>
    <n v="39650"/>
    <x v="2"/>
    <x v="5"/>
    <x v="5"/>
    <x v="0"/>
    <x v="1"/>
  </r>
  <r>
    <n v="11019"/>
    <s v="Smith"/>
    <s v="smithMan@yahoo.com"/>
    <x v="1"/>
    <n v="250"/>
    <n v="500"/>
    <n v="893"/>
    <n v="446500"/>
    <n v="223250"/>
    <x v="3"/>
    <x v="0"/>
    <x v="6"/>
    <x v="0"/>
    <x v="1"/>
  </r>
  <r>
    <n v="11020"/>
    <s v="Jones"/>
    <s v="jone.ai@yahoo.com"/>
    <x v="2"/>
    <n v="180"/>
    <n v="450"/>
    <n v="880"/>
    <n v="396000"/>
    <n v="237600"/>
    <x v="4"/>
    <x v="1"/>
    <x v="7"/>
    <x v="2"/>
    <x v="1"/>
  </r>
  <r>
    <n v="11021"/>
    <s v="Sorvino"/>
    <s v="sorvi2000@gmail.com"/>
    <x v="3"/>
    <n v="170"/>
    <n v="250"/>
    <n v="921"/>
    <n v="230250"/>
    <n v="73680"/>
    <x v="0"/>
    <x v="2"/>
    <x v="8"/>
    <x v="2"/>
    <x v="0"/>
  </r>
  <r>
    <n v="11022"/>
    <s v="Jardine"/>
    <s v="jard@gmail.com"/>
    <x v="4"/>
    <n v="150"/>
    <n v="200"/>
    <n v="851"/>
    <n v="170200"/>
    <n v="42550"/>
    <x v="1"/>
    <x v="3"/>
    <x v="9"/>
    <x v="0"/>
    <x v="0"/>
  </r>
  <r>
    <n v="11023"/>
    <s v="Andrews"/>
    <s v="andy@gmail.com"/>
    <x v="5"/>
    <n v="80"/>
    <n v="150"/>
    <n v="860"/>
    <n v="129000"/>
    <n v="60200"/>
    <x v="2"/>
    <x v="4"/>
    <x v="10"/>
    <x v="1"/>
    <x v="1"/>
  </r>
  <r>
    <n v="11024"/>
    <s v="Howard"/>
    <s v="howard_freeman@yahoo.com"/>
    <x v="6"/>
    <n v="90"/>
    <n v="150"/>
    <n v="818"/>
    <n v="122700"/>
    <n v="49080"/>
    <x v="3"/>
    <x v="5"/>
    <x v="11"/>
    <x v="1"/>
    <x v="1"/>
  </r>
  <r>
    <n v="11025"/>
    <s v="Gill"/>
    <s v="gillhell@uk.com"/>
    <x v="0"/>
    <n v="150"/>
    <n v="200"/>
    <n v="906"/>
    <n v="181200"/>
    <n v="45300"/>
    <x v="4"/>
    <x v="0"/>
    <x v="0"/>
    <x v="2"/>
    <x v="1"/>
  </r>
  <r>
    <n v="11026"/>
    <s v="Gill"/>
    <s v="gillhell@uk.com"/>
    <x v="1"/>
    <n v="250"/>
    <n v="500"/>
    <n v="810"/>
    <n v="405000"/>
    <n v="202500"/>
    <x v="0"/>
    <x v="1"/>
    <x v="1"/>
    <x v="2"/>
    <x v="0"/>
  </r>
  <r>
    <n v="11027"/>
    <s v="Kivell"/>
    <s v="kivel_go@yahoo.com"/>
    <x v="2"/>
    <n v="180"/>
    <n v="450"/>
    <n v="847"/>
    <n v="381150"/>
    <n v="228690"/>
    <x v="1"/>
    <x v="2"/>
    <x v="2"/>
    <x v="0"/>
    <x v="0"/>
  </r>
  <r>
    <n v="11028"/>
    <s v="Jones"/>
    <s v="jone.ai@yahoo.com"/>
    <x v="3"/>
    <n v="170"/>
    <n v="250"/>
    <n v="703"/>
    <n v="175750"/>
    <n v="56240"/>
    <x v="2"/>
    <x v="3"/>
    <x v="3"/>
    <x v="2"/>
    <x v="1"/>
  </r>
  <r>
    <n v="11029"/>
    <s v="Morgan"/>
    <s v="morganny@gmail.com"/>
    <x v="4"/>
    <n v="150"/>
    <n v="200"/>
    <n v="716"/>
    <n v="143200"/>
    <n v="35800"/>
    <x v="3"/>
    <x v="4"/>
    <x v="4"/>
    <x v="1"/>
    <x v="1"/>
  </r>
  <r>
    <n v="11030"/>
    <s v="Kivell"/>
    <s v="kivel_go@yahoo.com"/>
    <x v="5"/>
    <n v="80"/>
    <n v="150"/>
    <n v="895"/>
    <n v="134250"/>
    <n v="62650"/>
    <x v="4"/>
    <x v="5"/>
    <x v="5"/>
    <x v="0"/>
    <x v="1"/>
  </r>
  <r>
    <n v="11031"/>
    <s v="Sorvino"/>
    <s v="sorvi2000@gmail.com"/>
    <x v="6"/>
    <n v="90"/>
    <n v="150"/>
    <n v="981"/>
    <n v="147150"/>
    <n v="58860"/>
    <x v="0"/>
    <x v="0"/>
    <x v="6"/>
    <x v="0"/>
    <x v="0"/>
  </r>
  <r>
    <n v="11032"/>
    <s v="Gill"/>
    <s v="gillhell@uk.com"/>
    <x v="0"/>
    <n v="150"/>
    <n v="200"/>
    <n v="799"/>
    <n v="159800"/>
    <n v="39950"/>
    <x v="1"/>
    <x v="1"/>
    <x v="7"/>
    <x v="1"/>
    <x v="0"/>
  </r>
  <r>
    <n v="11033"/>
    <s v="Sorvino"/>
    <s v="sorvi2000@gmail.com"/>
    <x v="1"/>
    <n v="250"/>
    <n v="500"/>
    <n v="774"/>
    <n v="387000"/>
    <n v="193500"/>
    <x v="2"/>
    <x v="2"/>
    <x v="8"/>
    <x v="1"/>
    <x v="1"/>
  </r>
  <r>
    <n v="11034"/>
    <s v="Thompson"/>
    <s v="thomp@uk.com"/>
    <x v="2"/>
    <n v="180"/>
    <n v="450"/>
    <n v="861"/>
    <n v="387450"/>
    <n v="232470"/>
    <x v="3"/>
    <x v="3"/>
    <x v="9"/>
    <x v="0"/>
    <x v="1"/>
  </r>
  <r>
    <n v="11035"/>
    <s v="Andrews"/>
    <s v="andy@gmail.com"/>
    <x v="3"/>
    <n v="170"/>
    <n v="250"/>
    <n v="928"/>
    <n v="232000"/>
    <n v="74240"/>
    <x v="4"/>
    <x v="4"/>
    <x v="10"/>
    <x v="2"/>
    <x v="1"/>
  </r>
  <r>
    <n v="11036"/>
    <s v="Jardine"/>
    <s v="jard@gmail.com"/>
    <x v="4"/>
    <n v="150"/>
    <n v="200"/>
    <n v="706"/>
    <n v="141200"/>
    <n v="35300"/>
    <x v="0"/>
    <x v="5"/>
    <x v="11"/>
    <x v="0"/>
    <x v="0"/>
  </r>
  <r>
    <n v="11037"/>
    <s v="Jardine"/>
    <s v="jard@gmail.com"/>
    <x v="5"/>
    <n v="80"/>
    <n v="150"/>
    <n v="761"/>
    <n v="114150"/>
    <n v="53270"/>
    <x v="1"/>
    <x v="0"/>
    <x v="0"/>
    <x v="0"/>
    <x v="0"/>
  </r>
  <r>
    <n v="11038"/>
    <s v="Andrews"/>
    <s v="andy@gmail.com"/>
    <x v="6"/>
    <n v="90"/>
    <n v="150"/>
    <n v="849"/>
    <n v="127350"/>
    <n v="50940"/>
    <x v="2"/>
    <x v="1"/>
    <x v="1"/>
    <x v="2"/>
    <x v="1"/>
  </r>
  <r>
    <n v="11039"/>
    <s v="Jones"/>
    <s v="jone.ai@yahoo.com"/>
    <x v="0"/>
    <n v="150"/>
    <n v="200"/>
    <n v="914"/>
    <n v="182800"/>
    <n v="45700"/>
    <x v="3"/>
    <x v="2"/>
    <x v="2"/>
    <x v="0"/>
    <x v="1"/>
  </r>
  <r>
    <n v="11040"/>
    <s v="Morgan"/>
    <s v="morganny@gmail.com"/>
    <x v="1"/>
    <n v="250"/>
    <n v="500"/>
    <n v="942"/>
    <n v="471000"/>
    <n v="235500"/>
    <x v="4"/>
    <x v="3"/>
    <x v="3"/>
    <x v="1"/>
    <x v="1"/>
  </r>
  <r>
    <n v="11041"/>
    <s v="Kivell"/>
    <s v="kivel_go@yahoo.com"/>
    <x v="2"/>
    <n v="180"/>
    <n v="450"/>
    <n v="930"/>
    <n v="418500"/>
    <n v="251100"/>
    <x v="0"/>
    <x v="4"/>
    <x v="4"/>
    <x v="2"/>
    <x v="0"/>
  </r>
  <r>
    <n v="11042"/>
    <s v="Sorvino"/>
    <s v="sorvi2000@gmail.com"/>
    <x v="3"/>
    <n v="170"/>
    <n v="250"/>
    <n v="945"/>
    <n v="236250"/>
    <n v="75600"/>
    <x v="1"/>
    <x v="5"/>
    <x v="5"/>
    <x v="1"/>
    <x v="0"/>
  </r>
  <r>
    <n v="11043"/>
    <s v="Gill"/>
    <s v="gillhell@uk.com"/>
    <x v="4"/>
    <n v="150"/>
    <n v="200"/>
    <n v="775"/>
    <n v="155000"/>
    <n v="38750"/>
    <x v="2"/>
    <x v="0"/>
    <x v="6"/>
    <x v="2"/>
    <x v="1"/>
  </r>
  <r>
    <n v="11044"/>
    <s v="Sorvino"/>
    <s v="sorvi2000@gmail.com"/>
    <x v="5"/>
    <n v="80"/>
    <n v="150"/>
    <n v="729"/>
    <n v="109350"/>
    <n v="51030"/>
    <x v="3"/>
    <x v="1"/>
    <x v="7"/>
    <x v="2"/>
    <x v="1"/>
  </r>
  <r>
    <n v="11045"/>
    <s v="Thompson"/>
    <s v="thomp@uk.com"/>
    <x v="6"/>
    <n v="90"/>
    <n v="150"/>
    <n v="941"/>
    <n v="141150"/>
    <n v="56460"/>
    <x v="4"/>
    <x v="2"/>
    <x v="8"/>
    <x v="0"/>
    <x v="1"/>
  </r>
  <r>
    <n v="11046"/>
    <s v="Andrews"/>
    <s v="andy@gmail.com"/>
    <x v="0"/>
    <n v="150"/>
    <n v="200"/>
    <n v="735"/>
    <n v="147000"/>
    <n v="36750"/>
    <x v="0"/>
    <x v="3"/>
    <x v="9"/>
    <x v="2"/>
    <x v="0"/>
  </r>
  <r>
    <n v="11047"/>
    <s v="Jardine"/>
    <s v="jard@gmail.com"/>
    <x v="1"/>
    <n v="250"/>
    <n v="500"/>
    <n v="727"/>
    <n v="363500"/>
    <n v="181750"/>
    <x v="1"/>
    <x v="4"/>
    <x v="10"/>
    <x v="1"/>
    <x v="0"/>
  </r>
  <r>
    <n v="11048"/>
    <s v="Jardine"/>
    <s v="jard@gmail.com"/>
    <x v="2"/>
    <n v="180"/>
    <n v="450"/>
    <n v="859"/>
    <n v="386550"/>
    <n v="231930"/>
    <x v="2"/>
    <x v="5"/>
    <x v="11"/>
    <x v="1"/>
    <x v="1"/>
  </r>
  <r>
    <n v="11049"/>
    <s v="Andrews"/>
    <s v="andy@gmail.com"/>
    <x v="3"/>
    <n v="170"/>
    <n v="250"/>
    <n v="792"/>
    <n v="198000"/>
    <n v="63360"/>
    <x v="3"/>
    <x v="0"/>
    <x v="0"/>
    <x v="2"/>
    <x v="1"/>
  </r>
  <r>
    <n v="11050"/>
    <s v="Jardine"/>
    <s v="jard@gmail.com"/>
    <x v="4"/>
    <n v="150"/>
    <n v="200"/>
    <n v="874"/>
    <n v="174800"/>
    <n v="43700"/>
    <x v="4"/>
    <x v="1"/>
    <x v="1"/>
    <x v="2"/>
    <x v="1"/>
  </r>
  <r>
    <n v="11051"/>
    <s v="Gill"/>
    <s v="gillhell@uk.com"/>
    <x v="5"/>
    <n v="80"/>
    <n v="150"/>
    <n v="792"/>
    <n v="118800"/>
    <n v="55440"/>
    <x v="0"/>
    <x v="2"/>
    <x v="2"/>
    <x v="0"/>
    <x v="0"/>
  </r>
  <r>
    <n v="11052"/>
    <s v="Sorvino"/>
    <s v="sorvi2000@gmail.com"/>
    <x v="6"/>
    <n v="90"/>
    <n v="150"/>
    <n v="822"/>
    <n v="123300"/>
    <n v="49320"/>
    <x v="1"/>
    <x v="3"/>
    <x v="3"/>
    <x v="1"/>
    <x v="0"/>
  </r>
  <r>
    <n v="11053"/>
    <s v="Jones"/>
    <s v="jone.ai@yahoo.com"/>
    <x v="0"/>
    <n v="150"/>
    <n v="200"/>
    <n v="912"/>
    <n v="182400"/>
    <n v="45600"/>
    <x v="2"/>
    <x v="4"/>
    <x v="4"/>
    <x v="2"/>
    <x v="1"/>
  </r>
  <r>
    <n v="11054"/>
    <s v="Andrews"/>
    <s v="andy@gmail.com"/>
    <x v="1"/>
    <n v="250"/>
    <n v="500"/>
    <n v="759"/>
    <n v="379500"/>
    <n v="189750"/>
    <x v="3"/>
    <x v="5"/>
    <x v="5"/>
    <x v="2"/>
    <x v="1"/>
  </r>
  <r>
    <n v="11055"/>
    <s v="Jardine"/>
    <s v="jard@gmail.com"/>
    <x v="2"/>
    <n v="180"/>
    <n v="450"/>
    <n v="858"/>
    <n v="386100"/>
    <n v="231660"/>
    <x v="4"/>
    <x v="0"/>
    <x v="6"/>
    <x v="2"/>
    <x v="1"/>
  </r>
  <r>
    <n v="11056"/>
    <s v="Thompson"/>
    <s v="thomp@uk.com"/>
    <x v="3"/>
    <n v="170"/>
    <n v="250"/>
    <n v="921"/>
    <n v="230250"/>
    <n v="73680"/>
    <x v="0"/>
    <x v="1"/>
    <x v="7"/>
    <x v="1"/>
    <x v="0"/>
  </r>
  <r>
    <n v="11057"/>
    <s v="Jones"/>
    <s v="jone.ai@yahoo.com"/>
    <x v="4"/>
    <n v="150"/>
    <n v="200"/>
    <n v="871"/>
    <n v="174200"/>
    <n v="43550"/>
    <x v="1"/>
    <x v="2"/>
    <x v="8"/>
    <x v="0"/>
    <x v="0"/>
  </r>
  <r>
    <n v="11058"/>
    <s v="Morgan"/>
    <s v="morganny@gmail.com"/>
    <x v="5"/>
    <n v="80"/>
    <n v="150"/>
    <n v="836"/>
    <n v="125400"/>
    <n v="58520"/>
    <x v="2"/>
    <x v="3"/>
    <x v="9"/>
    <x v="1"/>
    <x v="1"/>
  </r>
  <r>
    <n v="11059"/>
    <s v="Howard"/>
    <s v="howard_freeman@yahoo.com"/>
    <x v="6"/>
    <n v="90"/>
    <n v="150"/>
    <n v="861"/>
    <n v="129150"/>
    <n v="51660"/>
    <x v="3"/>
    <x v="4"/>
    <x v="10"/>
    <x v="0"/>
    <x v="1"/>
  </r>
  <r>
    <n v="11060"/>
    <s v="Parent"/>
    <s v="parentty@uk.com"/>
    <x v="0"/>
    <n v="150"/>
    <n v="200"/>
    <n v="711"/>
    <n v="142200"/>
    <n v="35550"/>
    <x v="4"/>
    <x v="5"/>
    <x v="11"/>
    <x v="0"/>
    <x v="1"/>
  </r>
  <r>
    <n v="11061"/>
    <s v="Jones"/>
    <s v="jone.ai@yahoo.com"/>
    <x v="1"/>
    <n v="250"/>
    <n v="500"/>
    <n v="834"/>
    <n v="417000"/>
    <n v="208500"/>
    <x v="0"/>
    <x v="0"/>
    <x v="0"/>
    <x v="0"/>
    <x v="0"/>
  </r>
  <r>
    <n v="11062"/>
    <s v="Smith"/>
    <s v="smithMan@yahoo.com"/>
    <x v="2"/>
    <n v="180"/>
    <n v="450"/>
    <n v="979"/>
    <n v="440550"/>
    <n v="264330"/>
    <x v="1"/>
    <x v="1"/>
    <x v="1"/>
    <x v="1"/>
    <x v="0"/>
  </r>
  <r>
    <n v="11063"/>
    <s v="Jones"/>
    <s v="jone.ai@yahoo.com"/>
    <x v="3"/>
    <n v="170"/>
    <n v="250"/>
    <n v="858"/>
    <n v="214500"/>
    <n v="68640"/>
    <x v="2"/>
    <x v="2"/>
    <x v="2"/>
    <x v="0"/>
    <x v="1"/>
  </r>
  <r>
    <n v="11064"/>
    <s v="Jardine"/>
    <s v="jard@gmail.com"/>
    <x v="4"/>
    <n v="150"/>
    <n v="200"/>
    <n v="737"/>
    <n v="147400"/>
    <n v="36850"/>
    <x v="3"/>
    <x v="3"/>
    <x v="3"/>
    <x v="2"/>
    <x v="1"/>
  </r>
  <r>
    <n v="11065"/>
    <s v="Gill"/>
    <s v="gillhell@uk.com"/>
    <x v="5"/>
    <n v="80"/>
    <n v="150"/>
    <n v="800"/>
    <n v="120000"/>
    <n v="56000"/>
    <x v="4"/>
    <x v="4"/>
    <x v="4"/>
    <x v="1"/>
    <x v="1"/>
  </r>
  <r>
    <n v="11066"/>
    <s v="Sorvino"/>
    <s v="sorvi2000@gmail.com"/>
    <x v="6"/>
    <n v="90"/>
    <n v="150"/>
    <n v="892"/>
    <n v="133800"/>
    <n v="53520"/>
    <x v="0"/>
    <x v="5"/>
    <x v="5"/>
    <x v="1"/>
    <x v="0"/>
  </r>
  <r>
    <n v="11067"/>
    <s v="Jones"/>
    <s v="jone.ai@yahoo.com"/>
    <x v="0"/>
    <n v="150"/>
    <n v="200"/>
    <n v="758"/>
    <n v="151600"/>
    <n v="37900"/>
    <x v="1"/>
    <x v="0"/>
    <x v="6"/>
    <x v="1"/>
    <x v="0"/>
  </r>
  <r>
    <n v="11068"/>
    <s v="Andrews"/>
    <s v="andy@gmail.com"/>
    <x v="1"/>
    <n v="250"/>
    <n v="500"/>
    <n v="725"/>
    <n v="362500"/>
    <n v="181250"/>
    <x v="2"/>
    <x v="1"/>
    <x v="7"/>
    <x v="2"/>
    <x v="1"/>
  </r>
  <r>
    <n v="11069"/>
    <s v="Jardine"/>
    <s v="jard@gmail.com"/>
    <x v="2"/>
    <n v="180"/>
    <n v="450"/>
    <n v="939"/>
    <n v="422550"/>
    <n v="253530"/>
    <x v="3"/>
    <x v="2"/>
    <x v="8"/>
    <x v="1"/>
    <x v="1"/>
  </r>
  <r>
    <n v="11070"/>
    <s v="Thompson"/>
    <s v="thomp@uk.com"/>
    <x v="3"/>
    <n v="170"/>
    <n v="250"/>
    <n v="851"/>
    <n v="212750"/>
    <n v="68080"/>
    <x v="4"/>
    <x v="3"/>
    <x v="9"/>
    <x v="2"/>
    <x v="1"/>
  </r>
  <r>
    <n v="11071"/>
    <s v="Jones"/>
    <s v="jone.ai@yahoo.com"/>
    <x v="4"/>
    <n v="150"/>
    <n v="200"/>
    <n v="814"/>
    <n v="162800"/>
    <n v="40700"/>
    <x v="0"/>
    <x v="4"/>
    <x v="10"/>
    <x v="1"/>
    <x v="0"/>
  </r>
  <r>
    <n v="11072"/>
    <s v="Morgan"/>
    <s v="morganny@gmail.com"/>
    <x v="5"/>
    <n v="80"/>
    <n v="150"/>
    <n v="832"/>
    <n v="124800"/>
    <n v="58240"/>
    <x v="1"/>
    <x v="5"/>
    <x v="11"/>
    <x v="1"/>
    <x v="0"/>
  </r>
  <r>
    <n v="11073"/>
    <s v="Howard"/>
    <s v="howard_freeman@yahoo.com"/>
    <x v="6"/>
    <n v="90"/>
    <n v="150"/>
    <n v="927"/>
    <n v="139050"/>
    <n v="55620"/>
    <x v="2"/>
    <x v="0"/>
    <x v="0"/>
    <x v="2"/>
    <x v="1"/>
  </r>
  <r>
    <n v="11074"/>
    <s v="Parent"/>
    <s v="parentty@uk.com"/>
    <x v="0"/>
    <n v="150"/>
    <n v="200"/>
    <n v="825"/>
    <n v="165000"/>
    <n v="41250"/>
    <x v="3"/>
    <x v="1"/>
    <x v="1"/>
    <x v="1"/>
    <x v="1"/>
  </r>
  <r>
    <n v="11075"/>
    <s v="Jones"/>
    <s v="jone.ai@yahoo.com"/>
    <x v="1"/>
    <n v="250"/>
    <n v="500"/>
    <n v="934"/>
    <n v="467000"/>
    <n v="233500"/>
    <x v="4"/>
    <x v="2"/>
    <x v="2"/>
    <x v="1"/>
    <x v="1"/>
  </r>
  <r>
    <n v="11076"/>
    <s v="Smith"/>
    <s v="smithMan@yahoo.com"/>
    <x v="2"/>
    <n v="180"/>
    <n v="450"/>
    <n v="779"/>
    <n v="350550"/>
    <n v="210330"/>
    <x v="0"/>
    <x v="3"/>
    <x v="3"/>
    <x v="0"/>
    <x v="0"/>
  </r>
  <r>
    <n v="11077"/>
    <s v="Jones"/>
    <s v="jone.ai@yahoo.com"/>
    <x v="3"/>
    <n v="170"/>
    <n v="250"/>
    <n v="706"/>
    <n v="176500"/>
    <n v="56480"/>
    <x v="1"/>
    <x v="4"/>
    <x v="4"/>
    <x v="0"/>
    <x v="0"/>
  </r>
  <r>
    <n v="11078"/>
    <s v="Morgan"/>
    <s v="morganny@gmail.com"/>
    <x v="4"/>
    <n v="150"/>
    <n v="200"/>
    <n v="743"/>
    <n v="148600"/>
    <n v="37150"/>
    <x v="2"/>
    <x v="5"/>
    <x v="5"/>
    <x v="2"/>
    <x v="1"/>
  </r>
  <r>
    <n v="11079"/>
    <s v="Jones"/>
    <s v="jone.ai@yahoo.com"/>
    <x v="5"/>
    <n v="80"/>
    <n v="150"/>
    <n v="919"/>
    <n v="137850"/>
    <n v="64330"/>
    <x v="3"/>
    <x v="0"/>
    <x v="6"/>
    <x v="2"/>
    <x v="1"/>
  </r>
  <r>
    <n v="11080"/>
    <s v="Parent"/>
    <s v="parentty@uk.com"/>
    <x v="6"/>
    <n v="90"/>
    <n v="150"/>
    <n v="991"/>
    <n v="148650"/>
    <n v="59460"/>
    <x v="4"/>
    <x v="1"/>
    <x v="7"/>
    <x v="0"/>
    <x v="1"/>
  </r>
  <r>
    <n v="11081"/>
    <s v="Kivell"/>
    <s v="kivel_go@yahoo.com"/>
    <x v="0"/>
    <n v="150"/>
    <n v="200"/>
    <n v="836"/>
    <n v="167200"/>
    <n v="41800"/>
    <x v="0"/>
    <x v="2"/>
    <x v="8"/>
    <x v="1"/>
    <x v="0"/>
  </r>
  <r>
    <n v="11082"/>
    <s v="Smith"/>
    <s v="smithMan@yahoo.com"/>
    <x v="1"/>
    <n v="250"/>
    <n v="500"/>
    <n v="793"/>
    <n v="396500"/>
    <n v="198250"/>
    <x v="1"/>
    <x v="3"/>
    <x v="9"/>
    <x v="2"/>
    <x v="0"/>
  </r>
  <r>
    <n v="11083"/>
    <s v="Parent"/>
    <s v="parentty@uk.com"/>
    <x v="2"/>
    <n v="180"/>
    <n v="450"/>
    <n v="831"/>
    <n v="373950"/>
    <n v="224370"/>
    <x v="2"/>
    <x v="4"/>
    <x v="10"/>
    <x v="0"/>
    <x v="1"/>
  </r>
  <r>
    <n v="11084"/>
    <s v="Gill"/>
    <s v="gillhell@uk.com"/>
    <x v="3"/>
    <n v="170"/>
    <n v="250"/>
    <n v="847"/>
    <n v="211750"/>
    <n v="67760"/>
    <x v="3"/>
    <x v="5"/>
    <x v="11"/>
    <x v="2"/>
    <x v="1"/>
  </r>
  <r>
    <n v="11085"/>
    <s v="Smith"/>
    <s v="smithMan@yahoo.com"/>
    <x v="4"/>
    <n v="150"/>
    <n v="200"/>
    <n v="993"/>
    <n v="198600"/>
    <n v="49650"/>
    <x v="4"/>
    <x v="0"/>
    <x v="0"/>
    <x v="2"/>
    <x v="1"/>
  </r>
  <r>
    <n v="11086"/>
    <s v="Jones"/>
    <s v="jone.ai@yahoo.com"/>
    <x v="5"/>
    <n v="80"/>
    <n v="150"/>
    <n v="904"/>
    <n v="135600"/>
    <n v="63280"/>
    <x v="0"/>
    <x v="1"/>
    <x v="1"/>
    <x v="0"/>
    <x v="0"/>
  </r>
  <r>
    <n v="11087"/>
    <s v="Sorvino"/>
    <s v="sorvi2000@gmail.com"/>
    <x v="6"/>
    <n v="90"/>
    <n v="150"/>
    <n v="832"/>
    <n v="124800"/>
    <n v="49920"/>
    <x v="1"/>
    <x v="2"/>
    <x v="2"/>
    <x v="1"/>
    <x v="0"/>
  </r>
  <r>
    <n v="11088"/>
    <s v="Jardine"/>
    <s v="jard@gmail.com"/>
    <x v="0"/>
    <n v="150"/>
    <n v="200"/>
    <n v="763"/>
    <n v="152600"/>
    <n v="38150"/>
    <x v="2"/>
    <x v="3"/>
    <x v="3"/>
    <x v="2"/>
    <x v="1"/>
  </r>
  <r>
    <n v="11089"/>
    <s v="Andrews"/>
    <s v="andy@gmail.com"/>
    <x v="1"/>
    <n v="250"/>
    <n v="500"/>
    <n v="912"/>
    <n v="456000"/>
    <n v="228000"/>
    <x v="3"/>
    <x v="4"/>
    <x v="4"/>
    <x v="0"/>
    <x v="1"/>
  </r>
  <r>
    <n v="11090"/>
    <s v="Howard"/>
    <s v="howard_freeman@yahoo.com"/>
    <x v="2"/>
    <n v="180"/>
    <n v="450"/>
    <n v="834"/>
    <n v="375300"/>
    <n v="225180"/>
    <x v="4"/>
    <x v="5"/>
    <x v="5"/>
    <x v="1"/>
    <x v="1"/>
  </r>
  <r>
    <n v="11091"/>
    <s v="Gill"/>
    <s v="gillhell@uk.com"/>
    <x v="3"/>
    <n v="170"/>
    <n v="250"/>
    <n v="914"/>
    <n v="228500"/>
    <n v="73120"/>
    <x v="0"/>
    <x v="0"/>
    <x v="6"/>
    <x v="0"/>
    <x v="0"/>
  </r>
  <r>
    <n v="11092"/>
    <s v="Gill"/>
    <s v="gillhell@uk.com"/>
    <x v="4"/>
    <n v="150"/>
    <n v="200"/>
    <n v="863"/>
    <n v="172600"/>
    <n v="43150"/>
    <x v="1"/>
    <x v="1"/>
    <x v="7"/>
    <x v="0"/>
    <x v="0"/>
  </r>
  <r>
    <n v="11093"/>
    <s v="Kivell"/>
    <s v="kivel_go@yahoo.com"/>
    <x v="5"/>
    <n v="80"/>
    <n v="150"/>
    <n v="835"/>
    <n v="125250"/>
    <n v="58450"/>
    <x v="2"/>
    <x v="2"/>
    <x v="8"/>
    <x v="2"/>
    <x v="1"/>
  </r>
  <r>
    <n v="11094"/>
    <s v="Jones"/>
    <s v="jone.ai@yahoo.com"/>
    <x v="6"/>
    <n v="90"/>
    <n v="150"/>
    <n v="859"/>
    <n v="128850"/>
    <n v="51540"/>
    <x v="3"/>
    <x v="3"/>
    <x v="9"/>
    <x v="0"/>
    <x v="1"/>
  </r>
  <r>
    <n v="11095"/>
    <s v="Morgan"/>
    <s v="morganny@gmail.com"/>
    <x v="0"/>
    <n v="150"/>
    <n v="200"/>
    <n v="995"/>
    <n v="199000"/>
    <n v="49750"/>
    <x v="4"/>
    <x v="4"/>
    <x v="10"/>
    <x v="2"/>
    <x v="1"/>
  </r>
  <r>
    <n v="11096"/>
    <s v="Kivell"/>
    <s v="kivel_go@yahoo.com"/>
    <x v="1"/>
    <n v="250"/>
    <n v="500"/>
    <n v="995"/>
    <n v="497500"/>
    <n v="248750"/>
    <x v="0"/>
    <x v="5"/>
    <x v="11"/>
    <x v="1"/>
    <x v="0"/>
  </r>
  <r>
    <n v="11097"/>
    <s v="Sorvino"/>
    <s v="sorvi2000@gmail.com"/>
    <x v="2"/>
    <n v="180"/>
    <n v="450"/>
    <n v="736"/>
    <n v="331200"/>
    <n v="198720"/>
    <x v="1"/>
    <x v="0"/>
    <x v="0"/>
    <x v="0"/>
    <x v="0"/>
  </r>
  <r>
    <n v="11098"/>
    <s v="Gill"/>
    <s v="gillhell@uk.com"/>
    <x v="3"/>
    <n v="170"/>
    <n v="250"/>
    <n v="857"/>
    <n v="214250"/>
    <n v="68560"/>
    <x v="2"/>
    <x v="1"/>
    <x v="1"/>
    <x v="1"/>
    <x v="1"/>
  </r>
  <r>
    <n v="11099"/>
    <s v="Sorvino"/>
    <s v="sorvi2000@gmail.com"/>
    <x v="4"/>
    <n v="150"/>
    <n v="200"/>
    <n v="938"/>
    <n v="187600"/>
    <n v="46900"/>
    <x v="3"/>
    <x v="2"/>
    <x v="2"/>
    <x v="1"/>
    <x v="1"/>
  </r>
  <r>
    <n v="11100"/>
    <s v="Thompson"/>
    <s v="thomp@uk.com"/>
    <x v="5"/>
    <n v="80"/>
    <n v="150"/>
    <n v="785"/>
    <n v="117750"/>
    <n v="54950"/>
    <x v="4"/>
    <x v="3"/>
    <x v="3"/>
    <x v="1"/>
    <x v="1"/>
  </r>
  <r>
    <n v="11101"/>
    <s v="Andrews"/>
    <s v="andy@gmail.com"/>
    <x v="6"/>
    <n v="90"/>
    <n v="150"/>
    <n v="910"/>
    <n v="136500"/>
    <n v="54600"/>
    <x v="0"/>
    <x v="4"/>
    <x v="4"/>
    <x v="1"/>
    <x v="0"/>
  </r>
  <r>
    <n v="11102"/>
    <s v="Jardine"/>
    <s v="jard@gmail.com"/>
    <x v="0"/>
    <n v="150"/>
    <n v="200"/>
    <n v="838"/>
    <n v="167600"/>
    <n v="41900"/>
    <x v="1"/>
    <x v="5"/>
    <x v="5"/>
    <x v="0"/>
    <x v="0"/>
  </r>
  <r>
    <n v="11103"/>
    <s v="Jardine"/>
    <s v="jard@gmail.com"/>
    <x v="1"/>
    <n v="250"/>
    <n v="500"/>
    <n v="943"/>
    <n v="471500"/>
    <n v="235750"/>
    <x v="2"/>
    <x v="0"/>
    <x v="6"/>
    <x v="0"/>
    <x v="1"/>
  </r>
  <r>
    <n v="11104"/>
    <s v="Andrews"/>
    <s v="andy@gmail.com"/>
    <x v="2"/>
    <n v="180"/>
    <n v="450"/>
    <n v="771"/>
    <n v="346950"/>
    <n v="208170"/>
    <x v="3"/>
    <x v="1"/>
    <x v="7"/>
    <x v="0"/>
    <x v="1"/>
  </r>
  <r>
    <n v="11105"/>
    <s v="Jardine"/>
    <s v="jard@gmail.com"/>
    <x v="3"/>
    <n v="170"/>
    <n v="250"/>
    <n v="881"/>
    <n v="220250"/>
    <n v="70480"/>
    <x v="4"/>
    <x v="2"/>
    <x v="8"/>
    <x v="2"/>
    <x v="1"/>
  </r>
  <r>
    <n v="11106"/>
    <s v="Gill"/>
    <s v="gillhell@uk.com"/>
    <x v="4"/>
    <n v="150"/>
    <n v="200"/>
    <n v="973"/>
    <n v="194600"/>
    <n v="48650"/>
    <x v="0"/>
    <x v="3"/>
    <x v="9"/>
    <x v="2"/>
    <x v="0"/>
  </r>
  <r>
    <n v="11107"/>
    <s v="Sorvino"/>
    <s v="sorvi2000@gmail.com"/>
    <x v="5"/>
    <n v="80"/>
    <n v="150"/>
    <n v="786"/>
    <n v="117900"/>
    <n v="55020"/>
    <x v="1"/>
    <x v="4"/>
    <x v="10"/>
    <x v="2"/>
    <x v="0"/>
  </r>
  <r>
    <n v="11108"/>
    <s v="Jones"/>
    <s v="jone.ai@yahoo.com"/>
    <x v="6"/>
    <n v="90"/>
    <n v="150"/>
    <n v="904"/>
    <n v="135600"/>
    <n v="54240"/>
    <x v="2"/>
    <x v="5"/>
    <x v="11"/>
    <x v="1"/>
    <x v="1"/>
  </r>
  <r>
    <n v="11109"/>
    <s v="Andrews"/>
    <s v="andy@gmail.com"/>
    <x v="0"/>
    <n v="150"/>
    <n v="200"/>
    <n v="912"/>
    <n v="182400"/>
    <n v="45600"/>
    <x v="3"/>
    <x v="0"/>
    <x v="0"/>
    <x v="1"/>
    <x v="1"/>
  </r>
  <r>
    <n v="11110"/>
    <s v="Jardine"/>
    <s v="jard@gmail.com"/>
    <x v="1"/>
    <n v="250"/>
    <n v="500"/>
    <n v="734"/>
    <n v="367000"/>
    <n v="183500"/>
    <x v="4"/>
    <x v="1"/>
    <x v="1"/>
    <x v="1"/>
    <x v="1"/>
  </r>
  <r>
    <n v="11111"/>
    <s v="Thompson"/>
    <s v="thomp@uk.com"/>
    <x v="2"/>
    <n v="180"/>
    <n v="450"/>
    <n v="977"/>
    <n v="439650"/>
    <n v="263790"/>
    <x v="0"/>
    <x v="2"/>
    <x v="2"/>
    <x v="2"/>
    <x v="0"/>
  </r>
  <r>
    <n v="11112"/>
    <s v="Jones"/>
    <s v="jone.ai@yahoo.com"/>
    <x v="3"/>
    <n v="170"/>
    <n v="250"/>
    <n v="711"/>
    <n v="177750"/>
    <n v="56880"/>
    <x v="1"/>
    <x v="3"/>
    <x v="3"/>
    <x v="2"/>
    <x v="0"/>
  </r>
  <r>
    <n v="11113"/>
    <s v="Morgan"/>
    <s v="morganny@gmail.com"/>
    <x v="4"/>
    <n v="150"/>
    <n v="200"/>
    <n v="727"/>
    <n v="145400"/>
    <n v="36350"/>
    <x v="2"/>
    <x v="4"/>
    <x v="4"/>
    <x v="2"/>
    <x v="1"/>
  </r>
  <r>
    <n v="11114"/>
    <s v="Howard"/>
    <s v="howard_freeman@yahoo.com"/>
    <x v="5"/>
    <n v="80"/>
    <n v="150"/>
    <n v="732"/>
    <n v="109800"/>
    <n v="51240"/>
    <x v="3"/>
    <x v="5"/>
    <x v="5"/>
    <x v="2"/>
    <x v="1"/>
  </r>
  <r>
    <n v="11115"/>
    <s v="Parent"/>
    <s v="parentty@uk.com"/>
    <x v="6"/>
    <n v="90"/>
    <n v="150"/>
    <n v="908"/>
    <n v="136200"/>
    <n v="54480"/>
    <x v="4"/>
    <x v="0"/>
    <x v="6"/>
    <x v="1"/>
    <x v="1"/>
  </r>
  <r>
    <n v="11116"/>
    <s v="Jones"/>
    <s v="jone.ai@yahoo.com"/>
    <x v="0"/>
    <n v="150"/>
    <n v="200"/>
    <n v="767"/>
    <n v="153400"/>
    <n v="38350"/>
    <x v="0"/>
    <x v="1"/>
    <x v="7"/>
    <x v="2"/>
    <x v="0"/>
  </r>
  <r>
    <n v="11117"/>
    <s v="Smith"/>
    <s v="smithMan@yahoo.com"/>
    <x v="1"/>
    <n v="250"/>
    <n v="500"/>
    <n v="847"/>
    <n v="423500"/>
    <n v="211750"/>
    <x v="1"/>
    <x v="2"/>
    <x v="8"/>
    <x v="0"/>
    <x v="0"/>
  </r>
  <r>
    <n v="11118"/>
    <s v="Jones"/>
    <s v="jone.ai@yahoo.com"/>
    <x v="2"/>
    <n v="180"/>
    <n v="450"/>
    <n v="968"/>
    <n v="435600"/>
    <n v="261360"/>
    <x v="2"/>
    <x v="3"/>
    <x v="9"/>
    <x v="0"/>
    <x v="1"/>
  </r>
  <r>
    <n v="11119"/>
    <s v="Morgan"/>
    <s v="morganny@gmail.com"/>
    <x v="3"/>
    <n v="170"/>
    <n v="250"/>
    <n v="832"/>
    <n v="208000"/>
    <n v="66560"/>
    <x v="3"/>
    <x v="4"/>
    <x v="10"/>
    <x v="1"/>
    <x v="1"/>
  </r>
  <r>
    <n v="11120"/>
    <s v="Jones"/>
    <s v="jone.ai@yahoo.com"/>
    <x v="4"/>
    <n v="150"/>
    <n v="200"/>
    <n v="763"/>
    <n v="152600"/>
    <n v="38150"/>
    <x v="4"/>
    <x v="5"/>
    <x v="11"/>
    <x v="1"/>
    <x v="1"/>
  </r>
  <r>
    <n v="11121"/>
    <s v="Parent"/>
    <s v="parentty@uk.com"/>
    <x v="5"/>
    <n v="80"/>
    <n v="150"/>
    <n v="842"/>
    <n v="126300"/>
    <n v="58940"/>
    <x v="0"/>
    <x v="0"/>
    <x v="0"/>
    <x v="2"/>
    <x v="0"/>
  </r>
  <r>
    <n v="11122"/>
    <s v="Kivell"/>
    <s v="kivel_go@yahoo.com"/>
    <x v="6"/>
    <n v="90"/>
    <n v="150"/>
    <n v="848"/>
    <n v="127200"/>
    <n v="50880"/>
    <x v="1"/>
    <x v="1"/>
    <x v="1"/>
    <x v="1"/>
    <x v="0"/>
  </r>
  <r>
    <n v="11123"/>
    <s v="Smith"/>
    <s v="smithMan@yahoo.com"/>
    <x v="0"/>
    <n v="150"/>
    <n v="200"/>
    <n v="988"/>
    <n v="197600"/>
    <n v="49400"/>
    <x v="2"/>
    <x v="2"/>
    <x v="2"/>
    <x v="1"/>
    <x v="1"/>
  </r>
  <r>
    <n v="11124"/>
    <s v="Parent"/>
    <s v="parentty@uk.com"/>
    <x v="1"/>
    <n v="250"/>
    <n v="500"/>
    <n v="876"/>
    <n v="438000"/>
    <n v="219000"/>
    <x v="3"/>
    <x v="3"/>
    <x v="3"/>
    <x v="1"/>
    <x v="1"/>
  </r>
  <r>
    <n v="11125"/>
    <s v="Gill"/>
    <s v="gillhell@uk.com"/>
    <x v="2"/>
    <n v="180"/>
    <n v="450"/>
    <n v="900"/>
    <n v="405000"/>
    <n v="243000"/>
    <x v="4"/>
    <x v="4"/>
    <x v="4"/>
    <x v="0"/>
    <x v="1"/>
  </r>
  <r>
    <n v="11126"/>
    <s v="Smith"/>
    <s v="smithMan@yahoo.com"/>
    <x v="3"/>
    <n v="170"/>
    <n v="250"/>
    <n v="938"/>
    <n v="234500"/>
    <n v="75040"/>
    <x v="0"/>
    <x v="5"/>
    <x v="5"/>
    <x v="0"/>
    <x v="0"/>
  </r>
  <r>
    <n v="11127"/>
    <s v="Jones"/>
    <s v="jone.ai@yahoo.com"/>
    <x v="4"/>
    <n v="150"/>
    <n v="200"/>
    <n v="731"/>
    <n v="146200"/>
    <n v="36550"/>
    <x v="1"/>
    <x v="0"/>
    <x v="6"/>
    <x v="1"/>
    <x v="0"/>
  </r>
  <r>
    <n v="11128"/>
    <s v="Sorvino"/>
    <s v="sorvi2000@gmail.com"/>
    <x v="5"/>
    <n v="80"/>
    <n v="150"/>
    <n v="779"/>
    <n v="116850"/>
    <n v="54530"/>
    <x v="2"/>
    <x v="1"/>
    <x v="7"/>
    <x v="2"/>
    <x v="1"/>
  </r>
  <r>
    <n v="11129"/>
    <s v="Jardine"/>
    <s v="jard@gmail.com"/>
    <x v="6"/>
    <n v="90"/>
    <n v="150"/>
    <n v="900"/>
    <n v="135000"/>
    <n v="54000"/>
    <x v="3"/>
    <x v="2"/>
    <x v="8"/>
    <x v="0"/>
    <x v="1"/>
  </r>
  <r>
    <n v="11130"/>
    <s v="Andrews"/>
    <s v="andy@gmail.com"/>
    <x v="0"/>
    <n v="150"/>
    <n v="200"/>
    <n v="953"/>
    <n v="190600"/>
    <n v="47650"/>
    <x v="4"/>
    <x v="3"/>
    <x v="9"/>
    <x v="2"/>
    <x v="1"/>
  </r>
  <r>
    <n v="11131"/>
    <s v="Howard"/>
    <s v="howard_freeman@yahoo.com"/>
    <x v="1"/>
    <n v="250"/>
    <n v="500"/>
    <n v="700"/>
    <n v="350000"/>
    <n v="175000"/>
    <x v="0"/>
    <x v="4"/>
    <x v="10"/>
    <x v="0"/>
    <x v="0"/>
  </r>
  <r>
    <n v="11132"/>
    <s v="Gill"/>
    <s v="gillhell@uk.com"/>
    <x v="2"/>
    <n v="180"/>
    <n v="450"/>
    <n v="721"/>
    <n v="324450"/>
    <n v="194670"/>
    <x v="1"/>
    <x v="5"/>
    <x v="11"/>
    <x v="1"/>
    <x v="0"/>
  </r>
  <r>
    <n v="11133"/>
    <s v="Gill"/>
    <s v="gillhell@uk.com"/>
    <x v="3"/>
    <n v="170"/>
    <n v="250"/>
    <n v="972"/>
    <n v="243000"/>
    <n v="77760"/>
    <x v="2"/>
    <x v="0"/>
    <x v="0"/>
    <x v="0"/>
    <x v="1"/>
  </r>
  <r>
    <n v="11134"/>
    <s v="Kivell"/>
    <s v="kivel_go@yahoo.com"/>
    <x v="4"/>
    <n v="150"/>
    <n v="200"/>
    <n v="860"/>
    <n v="172000"/>
    <n v="43000"/>
    <x v="3"/>
    <x v="1"/>
    <x v="1"/>
    <x v="1"/>
    <x v="1"/>
  </r>
  <r>
    <n v="11135"/>
    <s v="Jones"/>
    <s v="jone.ai@yahoo.com"/>
    <x v="5"/>
    <n v="80"/>
    <n v="150"/>
    <n v="811"/>
    <n v="121650"/>
    <n v="56770"/>
    <x v="4"/>
    <x v="2"/>
    <x v="2"/>
    <x v="0"/>
    <x v="1"/>
  </r>
  <r>
    <n v="11136"/>
    <s v="Morgan"/>
    <s v="morganny@gmail.com"/>
    <x v="6"/>
    <n v="90"/>
    <n v="150"/>
    <n v="963"/>
    <n v="144450"/>
    <n v="57780"/>
    <x v="0"/>
    <x v="3"/>
    <x v="3"/>
    <x v="0"/>
    <x v="0"/>
  </r>
  <r>
    <n v="11137"/>
    <s v="Kivell"/>
    <s v="kivel_go@yahoo.com"/>
    <x v="0"/>
    <n v="150"/>
    <n v="200"/>
    <n v="974"/>
    <n v="194800"/>
    <n v="48700"/>
    <x v="1"/>
    <x v="4"/>
    <x v="4"/>
    <x v="2"/>
    <x v="0"/>
  </r>
  <r>
    <n v="11138"/>
    <s v="Sorvino"/>
    <s v="sorvi2000@gmail.com"/>
    <x v="1"/>
    <n v="250"/>
    <n v="500"/>
    <n v="839"/>
    <n v="419500"/>
    <n v="209750"/>
    <x v="2"/>
    <x v="5"/>
    <x v="5"/>
    <x v="0"/>
    <x v="1"/>
  </r>
  <r>
    <n v="11139"/>
    <s v="Gill"/>
    <s v="gillhell@uk.com"/>
    <x v="2"/>
    <n v="180"/>
    <n v="450"/>
    <n v="907"/>
    <n v="408150"/>
    <n v="244890"/>
    <x v="3"/>
    <x v="0"/>
    <x v="6"/>
    <x v="2"/>
    <x v="1"/>
  </r>
  <r>
    <n v="11140"/>
    <s v="Sorvino"/>
    <s v="sorvi2000@gmail.com"/>
    <x v="3"/>
    <n v="170"/>
    <n v="250"/>
    <n v="949"/>
    <n v="237250"/>
    <n v="75920"/>
    <x v="4"/>
    <x v="1"/>
    <x v="7"/>
    <x v="2"/>
    <x v="1"/>
  </r>
  <r>
    <n v="11141"/>
    <s v="Thompson"/>
    <s v="thomp@uk.com"/>
    <x v="4"/>
    <n v="150"/>
    <n v="200"/>
    <n v="903"/>
    <n v="180600"/>
    <n v="45150"/>
    <x v="0"/>
    <x v="2"/>
    <x v="8"/>
    <x v="0"/>
    <x v="0"/>
  </r>
  <r>
    <n v="11142"/>
    <s v="Andrews"/>
    <s v="andy@gmail.com"/>
    <x v="5"/>
    <n v="80"/>
    <n v="150"/>
    <n v="740"/>
    <n v="111000"/>
    <n v="51800"/>
    <x v="1"/>
    <x v="3"/>
    <x v="9"/>
    <x v="1"/>
    <x v="0"/>
  </r>
  <r>
    <n v="11143"/>
    <s v="Jardine"/>
    <s v="jard@gmail.com"/>
    <x v="6"/>
    <n v="90"/>
    <n v="150"/>
    <n v="962"/>
    <n v="144300"/>
    <n v="57720"/>
    <x v="2"/>
    <x v="4"/>
    <x v="10"/>
    <x v="2"/>
    <x v="1"/>
  </r>
  <r>
    <n v="11144"/>
    <s v="Jardine"/>
    <s v="jard@gmail.com"/>
    <x v="0"/>
    <n v="150"/>
    <n v="200"/>
    <n v="892"/>
    <n v="178400"/>
    <n v="44600"/>
    <x v="3"/>
    <x v="5"/>
    <x v="11"/>
    <x v="2"/>
    <x v="1"/>
  </r>
  <r>
    <n v="11145"/>
    <s v="Andrews"/>
    <s v="andy@gmail.com"/>
    <x v="1"/>
    <n v="250"/>
    <n v="500"/>
    <n v="816"/>
    <n v="408000"/>
    <n v="204000"/>
    <x v="4"/>
    <x v="0"/>
    <x v="0"/>
    <x v="0"/>
    <x v="1"/>
  </r>
  <r>
    <n v="11146"/>
    <s v="Jones"/>
    <s v="jone.ai@yahoo.com"/>
    <x v="2"/>
    <n v="180"/>
    <n v="450"/>
    <n v="939"/>
    <n v="422550"/>
    <n v="253530"/>
    <x v="0"/>
    <x v="1"/>
    <x v="1"/>
    <x v="2"/>
    <x v="0"/>
  </r>
  <r>
    <n v="11147"/>
    <s v="Morgan"/>
    <s v="morganny@gmail.com"/>
    <x v="3"/>
    <n v="170"/>
    <n v="250"/>
    <n v="935"/>
    <n v="233750"/>
    <n v="74800"/>
    <x v="1"/>
    <x v="2"/>
    <x v="2"/>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7">
  <r>
    <n v="10101"/>
    <x v="0"/>
    <s v="jard@gmail.com"/>
    <x v="0"/>
    <n v="150"/>
    <n v="200"/>
    <n v="725"/>
    <n v="145000"/>
    <n v="36250"/>
    <x v="0"/>
    <s v="Southeast"/>
    <s v="January"/>
    <n v="2019"/>
    <s v="Anglophone"/>
    <x v="0"/>
  </r>
  <r>
    <n v="10102"/>
    <x v="1"/>
    <s v="gillhell@uk.com"/>
    <x v="1"/>
    <n v="250"/>
    <n v="500"/>
    <n v="815"/>
    <n v="407500"/>
    <n v="203750"/>
    <x v="1"/>
    <s v="west"/>
    <s v="February"/>
    <n v="2018"/>
    <s v="Anglophone"/>
    <x v="0"/>
  </r>
  <r>
    <n v="10103"/>
    <x v="2"/>
    <s v="sorvi2000@gmail.com"/>
    <x v="2"/>
    <n v="180"/>
    <n v="450"/>
    <n v="937"/>
    <n v="421650"/>
    <n v="252990"/>
    <x v="2"/>
    <s v="southsouth"/>
    <s v="March"/>
    <n v="2018"/>
    <s v="Francophone"/>
    <x v="0"/>
  </r>
  <r>
    <n v="10104"/>
    <x v="3"/>
    <s v="jone.ai@yahoo.com"/>
    <x v="3"/>
    <n v="170"/>
    <n v="250"/>
    <n v="765"/>
    <n v="191250"/>
    <n v="61200"/>
    <x v="3"/>
    <s v="northwest"/>
    <s v="April"/>
    <n v="2018"/>
    <s v="Francophone"/>
    <x v="0"/>
  </r>
  <r>
    <n v="10105"/>
    <x v="4"/>
    <s v="andy@gmail.com"/>
    <x v="4"/>
    <n v="150"/>
    <n v="200"/>
    <n v="836"/>
    <n v="167200"/>
    <n v="41800"/>
    <x v="4"/>
    <s v="northeast"/>
    <s v="May"/>
    <n v="2017"/>
    <s v="Francophone"/>
    <x v="0"/>
  </r>
  <r>
    <n v="10106"/>
    <x v="0"/>
    <s v="jard@gmail.com"/>
    <x v="5"/>
    <n v="80"/>
    <n v="150"/>
    <n v="798"/>
    <n v="119700"/>
    <n v="55860"/>
    <x v="0"/>
    <s v="northcentral"/>
    <s v="June"/>
    <n v="2019"/>
    <s v="Anglophone"/>
    <x v="1"/>
  </r>
  <r>
    <n v="10107"/>
    <x v="5"/>
    <s v="thomp@uk.com"/>
    <x v="6"/>
    <n v="90"/>
    <n v="150"/>
    <n v="954"/>
    <n v="143100"/>
    <n v="57240"/>
    <x v="1"/>
    <s v="Southeast"/>
    <s v="July"/>
    <n v="2017"/>
    <s v="Anglophone"/>
    <x v="1"/>
  </r>
  <r>
    <n v="10108"/>
    <x v="3"/>
    <s v="jone.ai@yahoo.com"/>
    <x v="0"/>
    <n v="150"/>
    <n v="200"/>
    <n v="812"/>
    <n v="162400"/>
    <n v="40600"/>
    <x v="2"/>
    <s v="west"/>
    <s v="August"/>
    <n v="2018"/>
    <s v="Francophone"/>
    <x v="0"/>
  </r>
  <r>
    <n v="10109"/>
    <x v="6"/>
    <s v="morganny@gmail.com"/>
    <x v="1"/>
    <n v="250"/>
    <n v="500"/>
    <n v="700"/>
    <n v="350000"/>
    <n v="175000"/>
    <x v="3"/>
    <s v="southsouth"/>
    <s v="September"/>
    <n v="2019"/>
    <s v="Francophone"/>
    <x v="0"/>
  </r>
  <r>
    <n v="10110"/>
    <x v="7"/>
    <s v="howard_freeman@yahoo.com"/>
    <x v="2"/>
    <n v="180"/>
    <n v="450"/>
    <n v="745"/>
    <n v="335250"/>
    <n v="201150"/>
    <x v="4"/>
    <s v="northwest"/>
    <s v="October"/>
    <n v="2017"/>
    <s v="Francophone"/>
    <x v="0"/>
  </r>
  <r>
    <n v="10111"/>
    <x v="8"/>
    <s v="parentty@uk.com"/>
    <x v="3"/>
    <n v="170"/>
    <n v="250"/>
    <n v="861"/>
    <n v="215250"/>
    <n v="68880"/>
    <x v="0"/>
    <s v="northeast"/>
    <s v="November"/>
    <n v="2017"/>
    <s v="Anglophone"/>
    <x v="0"/>
  </r>
  <r>
    <n v="10112"/>
    <x v="3"/>
    <s v="jone.ai@yahoo.com"/>
    <x v="4"/>
    <n v="150"/>
    <n v="200"/>
    <n v="902"/>
    <n v="180400"/>
    <n v="45100"/>
    <x v="1"/>
    <s v="northcentral"/>
    <s v="December"/>
    <n v="2019"/>
    <s v="Anglophone"/>
    <x v="0"/>
  </r>
  <r>
    <n v="10113"/>
    <x v="9"/>
    <s v="smithMan@yahoo.com"/>
    <x v="5"/>
    <n v="80"/>
    <n v="150"/>
    <n v="731"/>
    <n v="109650"/>
    <n v="51170"/>
    <x v="2"/>
    <s v="Southeast"/>
    <s v="January"/>
    <n v="2018"/>
    <s v="Francophone"/>
    <x v="1"/>
  </r>
  <r>
    <n v="10114"/>
    <x v="3"/>
    <s v="jone.ai@yahoo.com"/>
    <x v="6"/>
    <n v="90"/>
    <n v="150"/>
    <n v="843"/>
    <n v="126450"/>
    <n v="50580"/>
    <x v="3"/>
    <s v="west"/>
    <s v="February"/>
    <n v="2017"/>
    <s v="Francophone"/>
    <x v="1"/>
  </r>
  <r>
    <n v="10115"/>
    <x v="6"/>
    <s v="morganny@gmail.com"/>
    <x v="0"/>
    <n v="150"/>
    <n v="200"/>
    <n v="939"/>
    <n v="187800"/>
    <n v="46950"/>
    <x v="4"/>
    <s v="southsouth"/>
    <s v="March"/>
    <n v="2018"/>
    <s v="Francophone"/>
    <x v="0"/>
  </r>
  <r>
    <n v="10116"/>
    <x v="3"/>
    <s v="jone.ai@yahoo.com"/>
    <x v="1"/>
    <n v="250"/>
    <n v="500"/>
    <n v="709"/>
    <n v="354500"/>
    <n v="177250"/>
    <x v="0"/>
    <s v="northwest"/>
    <s v="April"/>
    <n v="2019"/>
    <s v="Anglophone"/>
    <x v="0"/>
  </r>
  <r>
    <n v="10117"/>
    <x v="8"/>
    <s v="parentty@uk.com"/>
    <x v="2"/>
    <n v="180"/>
    <n v="450"/>
    <n v="837"/>
    <n v="376650"/>
    <n v="225990"/>
    <x v="1"/>
    <s v="northeast"/>
    <s v="May"/>
    <n v="2017"/>
    <s v="Anglophone"/>
    <x v="0"/>
  </r>
  <r>
    <n v="10118"/>
    <x v="10"/>
    <s v="kivel_go@yahoo.com"/>
    <x v="3"/>
    <n v="170"/>
    <n v="250"/>
    <n v="910"/>
    <n v="227500"/>
    <n v="72800"/>
    <x v="2"/>
    <s v="northcentral"/>
    <s v="June"/>
    <n v="2018"/>
    <s v="Francophone"/>
    <x v="0"/>
  </r>
  <r>
    <n v="10119"/>
    <x v="9"/>
    <s v="smithMan@yahoo.com"/>
    <x v="4"/>
    <n v="150"/>
    <n v="200"/>
    <n v="996"/>
    <n v="199200"/>
    <n v="49800"/>
    <x v="3"/>
    <s v="Southeast"/>
    <s v="July"/>
    <n v="2019"/>
    <s v="Francophone"/>
    <x v="0"/>
  </r>
  <r>
    <n v="10120"/>
    <x v="8"/>
    <s v="parentty@uk.com"/>
    <x v="5"/>
    <n v="80"/>
    <n v="150"/>
    <n v="731"/>
    <n v="109650"/>
    <n v="51170"/>
    <x v="4"/>
    <s v="west"/>
    <s v="August"/>
    <n v="2017"/>
    <s v="Francophone"/>
    <x v="1"/>
  </r>
  <r>
    <n v="10121"/>
    <x v="1"/>
    <s v="gillhell@uk.com"/>
    <x v="6"/>
    <n v="90"/>
    <n v="150"/>
    <n v="898"/>
    <n v="134700"/>
    <n v="53880"/>
    <x v="0"/>
    <s v="southsouth"/>
    <s v="September"/>
    <n v="2017"/>
    <s v="Anglophone"/>
    <x v="1"/>
  </r>
  <r>
    <n v="10122"/>
    <x v="9"/>
    <s v="smithMan@yahoo.com"/>
    <x v="0"/>
    <n v="150"/>
    <n v="200"/>
    <n v="860"/>
    <n v="172000"/>
    <n v="43000"/>
    <x v="1"/>
    <s v="northwest"/>
    <s v="October"/>
    <n v="2018"/>
    <s v="Anglophone"/>
    <x v="0"/>
  </r>
  <r>
    <n v="10123"/>
    <x v="3"/>
    <s v="jone.ai@yahoo.com"/>
    <x v="1"/>
    <n v="250"/>
    <n v="500"/>
    <n v="859"/>
    <n v="429500"/>
    <n v="214750"/>
    <x v="2"/>
    <s v="northeast"/>
    <s v="November"/>
    <n v="2017"/>
    <s v="Francophone"/>
    <x v="0"/>
  </r>
  <r>
    <n v="10124"/>
    <x v="2"/>
    <s v="sorvi2000@gmail.com"/>
    <x v="2"/>
    <n v="180"/>
    <n v="450"/>
    <n v="857"/>
    <n v="385650"/>
    <n v="231390"/>
    <x v="3"/>
    <s v="northcentral"/>
    <s v="December"/>
    <n v="2017"/>
    <s v="Francophone"/>
    <x v="0"/>
  </r>
  <r>
    <n v="10125"/>
    <x v="0"/>
    <s v="jard@gmail.com"/>
    <x v="3"/>
    <n v="170"/>
    <n v="250"/>
    <n v="715"/>
    <n v="178750"/>
    <n v="57200"/>
    <x v="4"/>
    <s v="Southeast"/>
    <s v="January"/>
    <n v="2018"/>
    <s v="Francophone"/>
    <x v="0"/>
  </r>
  <r>
    <n v="10126"/>
    <x v="4"/>
    <s v="andy@gmail.com"/>
    <x v="4"/>
    <n v="150"/>
    <n v="200"/>
    <n v="999"/>
    <n v="199800"/>
    <n v="49950"/>
    <x v="0"/>
    <s v="west"/>
    <s v="February"/>
    <n v="2018"/>
    <s v="Anglophone"/>
    <x v="0"/>
  </r>
  <r>
    <n v="10127"/>
    <x v="7"/>
    <s v="howard_freeman@yahoo.com"/>
    <x v="5"/>
    <n v="80"/>
    <n v="150"/>
    <n v="982"/>
    <n v="147300"/>
    <n v="68740"/>
    <x v="1"/>
    <s v="southsouth"/>
    <s v="March"/>
    <n v="2017"/>
    <s v="Anglophone"/>
    <x v="1"/>
  </r>
  <r>
    <n v="10128"/>
    <x v="1"/>
    <s v="gillhell@uk.com"/>
    <x v="6"/>
    <n v="90"/>
    <n v="150"/>
    <n v="920"/>
    <n v="138000"/>
    <n v="55200"/>
    <x v="2"/>
    <s v="northwest"/>
    <s v="April"/>
    <n v="2018"/>
    <s v="Francophone"/>
    <x v="1"/>
  </r>
  <r>
    <n v="10129"/>
    <x v="1"/>
    <s v="gillhell@uk.com"/>
    <x v="0"/>
    <n v="150"/>
    <n v="200"/>
    <n v="875"/>
    <n v="175000"/>
    <n v="43750"/>
    <x v="3"/>
    <s v="northeast"/>
    <s v="May"/>
    <n v="2017"/>
    <s v="Francophone"/>
    <x v="0"/>
  </r>
  <r>
    <n v="10130"/>
    <x v="10"/>
    <s v="kivel_go@yahoo.com"/>
    <x v="1"/>
    <n v="250"/>
    <n v="500"/>
    <n v="945"/>
    <n v="472500"/>
    <n v="236250"/>
    <x v="4"/>
    <s v="northcentral"/>
    <s v="June"/>
    <n v="2019"/>
    <s v="Francophone"/>
    <x v="0"/>
  </r>
  <r>
    <n v="10131"/>
    <x v="3"/>
    <s v="jone.ai@yahoo.com"/>
    <x v="2"/>
    <n v="180"/>
    <n v="450"/>
    <n v="794"/>
    <n v="357300"/>
    <n v="214380"/>
    <x v="0"/>
    <s v="Southeast"/>
    <s v="July"/>
    <n v="2019"/>
    <s v="Anglophone"/>
    <x v="0"/>
  </r>
  <r>
    <n v="10132"/>
    <x v="6"/>
    <s v="morganny@gmail.com"/>
    <x v="3"/>
    <n v="170"/>
    <n v="250"/>
    <n v="826"/>
    <n v="206500"/>
    <n v="66080"/>
    <x v="1"/>
    <s v="west"/>
    <s v="August"/>
    <n v="2017"/>
    <s v="Anglophone"/>
    <x v="0"/>
  </r>
  <r>
    <n v="10133"/>
    <x v="10"/>
    <s v="kivel_go@yahoo.com"/>
    <x v="4"/>
    <n v="150"/>
    <n v="200"/>
    <n v="1000"/>
    <n v="200000"/>
    <n v="50000"/>
    <x v="2"/>
    <s v="southsouth"/>
    <s v="September"/>
    <n v="2019"/>
    <s v="Francophone"/>
    <x v="0"/>
  </r>
  <r>
    <n v="10134"/>
    <x v="2"/>
    <s v="sorvi2000@gmail.com"/>
    <x v="5"/>
    <n v="80"/>
    <n v="150"/>
    <n v="804"/>
    <n v="120600"/>
    <n v="56280"/>
    <x v="3"/>
    <s v="northwest"/>
    <s v="October"/>
    <n v="2018"/>
    <s v="Francophone"/>
    <x v="1"/>
  </r>
  <r>
    <n v="10135"/>
    <x v="1"/>
    <s v="gillhell@uk.com"/>
    <x v="6"/>
    <n v="90"/>
    <n v="150"/>
    <n v="890"/>
    <n v="133500"/>
    <n v="53400"/>
    <x v="4"/>
    <s v="northeast"/>
    <s v="November"/>
    <n v="2017"/>
    <s v="Francophone"/>
    <x v="1"/>
  </r>
  <r>
    <n v="10136"/>
    <x v="2"/>
    <s v="sorvi2000@gmail.com"/>
    <x v="0"/>
    <n v="150"/>
    <n v="200"/>
    <n v="870"/>
    <n v="174000"/>
    <n v="43500"/>
    <x v="0"/>
    <s v="northcentral"/>
    <s v="December"/>
    <n v="2017"/>
    <s v="Anglophone"/>
    <x v="0"/>
  </r>
  <r>
    <n v="10137"/>
    <x v="5"/>
    <s v="thomp@uk.com"/>
    <x v="1"/>
    <n v="250"/>
    <n v="500"/>
    <n v="821"/>
    <n v="410500"/>
    <n v="205250"/>
    <x v="1"/>
    <s v="Southeast"/>
    <s v="January"/>
    <n v="2017"/>
    <s v="Anglophone"/>
    <x v="0"/>
  </r>
  <r>
    <n v="10138"/>
    <x v="4"/>
    <s v="andy@gmail.com"/>
    <x v="2"/>
    <n v="180"/>
    <n v="450"/>
    <n v="950"/>
    <n v="427500"/>
    <n v="256500"/>
    <x v="2"/>
    <s v="west"/>
    <s v="February"/>
    <n v="2018"/>
    <s v="Francophone"/>
    <x v="0"/>
  </r>
  <r>
    <n v="10139"/>
    <x v="0"/>
    <s v="jard@gmail.com"/>
    <x v="3"/>
    <n v="170"/>
    <n v="250"/>
    <n v="784"/>
    <n v="196000"/>
    <n v="62720"/>
    <x v="3"/>
    <s v="southsouth"/>
    <s v="March"/>
    <n v="2019"/>
    <s v="Francophone"/>
    <x v="0"/>
  </r>
  <r>
    <n v="10140"/>
    <x v="0"/>
    <s v="jard@gmail.com"/>
    <x v="4"/>
    <n v="150"/>
    <n v="200"/>
    <n v="999"/>
    <n v="199800"/>
    <n v="49950"/>
    <x v="4"/>
    <s v="northwest"/>
    <s v="April"/>
    <n v="2019"/>
    <s v="Francophone"/>
    <x v="0"/>
  </r>
  <r>
    <n v="10141"/>
    <x v="4"/>
    <s v="andy@gmail.com"/>
    <x v="5"/>
    <n v="80"/>
    <n v="150"/>
    <n v="894"/>
    <n v="134100"/>
    <n v="62580"/>
    <x v="0"/>
    <s v="northeast"/>
    <s v="May"/>
    <n v="2019"/>
    <s v="Anglophone"/>
    <x v="1"/>
  </r>
  <r>
    <n v="10142"/>
    <x v="0"/>
    <s v="jard@gmail.com"/>
    <x v="6"/>
    <n v="90"/>
    <n v="150"/>
    <n v="827"/>
    <n v="124050"/>
    <n v="49620"/>
    <x v="1"/>
    <s v="northcentral"/>
    <s v="June"/>
    <n v="2017"/>
    <s v="Anglophone"/>
    <x v="1"/>
  </r>
  <r>
    <n v="10143"/>
    <x v="1"/>
    <s v="gillhell@uk.com"/>
    <x v="0"/>
    <n v="150"/>
    <n v="200"/>
    <n v="779"/>
    <n v="155800"/>
    <n v="38950"/>
    <x v="2"/>
    <s v="Southeast"/>
    <s v="July"/>
    <n v="2018"/>
    <s v="Francophone"/>
    <x v="0"/>
  </r>
  <r>
    <n v="10144"/>
    <x v="2"/>
    <s v="sorvi2000@gmail.com"/>
    <x v="1"/>
    <n v="250"/>
    <n v="500"/>
    <n v="835"/>
    <n v="417500"/>
    <n v="208750"/>
    <x v="3"/>
    <s v="west"/>
    <s v="August"/>
    <n v="2017"/>
    <s v="Francophone"/>
    <x v="0"/>
  </r>
  <r>
    <n v="10145"/>
    <x v="3"/>
    <s v="jone.ai@yahoo.com"/>
    <x v="2"/>
    <n v="180"/>
    <n v="450"/>
    <n v="801"/>
    <n v="360450"/>
    <n v="216270"/>
    <x v="4"/>
    <s v="southsouth"/>
    <s v="September"/>
    <n v="2018"/>
    <s v="Francophone"/>
    <x v="0"/>
  </r>
  <r>
    <n v="10146"/>
    <x v="4"/>
    <s v="andy@gmail.com"/>
    <x v="3"/>
    <n v="170"/>
    <n v="250"/>
    <n v="710"/>
    <n v="177500"/>
    <n v="56800"/>
    <x v="0"/>
    <s v="northwest"/>
    <s v="October"/>
    <n v="2017"/>
    <s v="Anglophone"/>
    <x v="0"/>
  </r>
  <r>
    <n v="10147"/>
    <x v="0"/>
    <s v="jard@gmail.com"/>
    <x v="4"/>
    <n v="150"/>
    <n v="200"/>
    <n v="952"/>
    <n v="190400"/>
    <n v="47600"/>
    <x v="1"/>
    <s v="northeast"/>
    <s v="November"/>
    <n v="2017"/>
    <s v="Anglophone"/>
    <x v="0"/>
  </r>
  <r>
    <n v="10148"/>
    <x v="5"/>
    <s v="thomp@uk.com"/>
    <x v="5"/>
    <n v="80"/>
    <n v="150"/>
    <n v="891"/>
    <n v="133650"/>
    <n v="62370"/>
    <x v="2"/>
    <s v="northcentral"/>
    <s v="December"/>
    <n v="2017"/>
    <s v="Francophone"/>
    <x v="1"/>
  </r>
  <r>
    <n v="10149"/>
    <x v="3"/>
    <s v="jone.ai@yahoo.com"/>
    <x v="6"/>
    <n v="90"/>
    <n v="150"/>
    <n v="781"/>
    <n v="117150"/>
    <n v="46860"/>
    <x v="3"/>
    <s v="Southeast"/>
    <s v="January"/>
    <n v="2018"/>
    <s v="Francophone"/>
    <x v="1"/>
  </r>
  <r>
    <n v="10150"/>
    <x v="6"/>
    <s v="morganny@gmail.com"/>
    <x v="0"/>
    <n v="150"/>
    <n v="200"/>
    <n v="845"/>
    <n v="169000"/>
    <n v="42250"/>
    <x v="4"/>
    <s v="west"/>
    <s v="February"/>
    <n v="2019"/>
    <s v="Francophone"/>
    <x v="0"/>
  </r>
  <r>
    <n v="10151"/>
    <x v="7"/>
    <s v="howard_freeman@yahoo.com"/>
    <x v="1"/>
    <n v="250"/>
    <n v="500"/>
    <n v="719"/>
    <n v="359500"/>
    <n v="179750"/>
    <x v="0"/>
    <s v="southsouth"/>
    <s v="March"/>
    <n v="2018"/>
    <s v="Anglophone"/>
    <x v="0"/>
  </r>
  <r>
    <n v="10152"/>
    <x v="8"/>
    <s v="parentty@uk.com"/>
    <x v="2"/>
    <n v="180"/>
    <n v="450"/>
    <n v="878"/>
    <n v="395100"/>
    <n v="237060"/>
    <x v="1"/>
    <s v="northwest"/>
    <s v="April"/>
    <n v="2019"/>
    <s v="Anglophone"/>
    <x v="0"/>
  </r>
  <r>
    <n v="10153"/>
    <x v="3"/>
    <s v="jone.ai@yahoo.com"/>
    <x v="3"/>
    <n v="170"/>
    <n v="250"/>
    <n v="832"/>
    <n v="208000"/>
    <n v="66560"/>
    <x v="2"/>
    <s v="northeast"/>
    <s v="May"/>
    <n v="2018"/>
    <s v="Francophone"/>
    <x v="0"/>
  </r>
  <r>
    <n v="10154"/>
    <x v="9"/>
    <s v="smithMan@yahoo.com"/>
    <x v="4"/>
    <n v="150"/>
    <n v="200"/>
    <n v="766"/>
    <n v="153200"/>
    <n v="38300"/>
    <x v="3"/>
    <s v="northcentral"/>
    <s v="June"/>
    <n v="2017"/>
    <s v="Francophone"/>
    <x v="0"/>
  </r>
  <r>
    <n v="10155"/>
    <x v="3"/>
    <s v="jone.ai@yahoo.com"/>
    <x v="5"/>
    <n v="80"/>
    <n v="150"/>
    <n v="726"/>
    <n v="108900"/>
    <n v="50820"/>
    <x v="4"/>
    <s v="Southeast"/>
    <s v="July"/>
    <n v="2018"/>
    <s v="Francophone"/>
    <x v="1"/>
  </r>
  <r>
    <n v="10156"/>
    <x v="6"/>
    <s v="morganny@gmail.com"/>
    <x v="6"/>
    <n v="90"/>
    <n v="150"/>
    <n v="962"/>
    <n v="144300"/>
    <n v="57720"/>
    <x v="0"/>
    <s v="west"/>
    <s v="August"/>
    <n v="2017"/>
    <s v="Anglophone"/>
    <x v="1"/>
  </r>
  <r>
    <n v="10157"/>
    <x v="3"/>
    <s v="jone.ai@yahoo.com"/>
    <x v="0"/>
    <n v="150"/>
    <n v="200"/>
    <n v="920"/>
    <n v="184000"/>
    <n v="46000"/>
    <x v="1"/>
    <s v="southsouth"/>
    <s v="September"/>
    <n v="2018"/>
    <s v="Anglophone"/>
    <x v="0"/>
  </r>
  <r>
    <n v="10158"/>
    <x v="8"/>
    <s v="parentty@uk.com"/>
    <x v="1"/>
    <n v="250"/>
    <n v="500"/>
    <n v="776"/>
    <n v="388000"/>
    <n v="194000"/>
    <x v="2"/>
    <s v="northwest"/>
    <s v="October"/>
    <n v="2017"/>
    <s v="Francophone"/>
    <x v="0"/>
  </r>
  <r>
    <n v="10159"/>
    <x v="10"/>
    <s v="kivel_go@yahoo.com"/>
    <x v="2"/>
    <n v="180"/>
    <n v="450"/>
    <n v="872"/>
    <n v="392400"/>
    <n v="235440"/>
    <x v="3"/>
    <s v="northeast"/>
    <s v="November"/>
    <n v="2018"/>
    <s v="Francophone"/>
    <x v="0"/>
  </r>
  <r>
    <n v="10160"/>
    <x v="9"/>
    <s v="smithMan@yahoo.com"/>
    <x v="3"/>
    <n v="170"/>
    <n v="250"/>
    <n v="831"/>
    <n v="207750"/>
    <n v="66480"/>
    <x v="4"/>
    <s v="northcentral"/>
    <s v="December"/>
    <n v="2017"/>
    <s v="Francophone"/>
    <x v="0"/>
  </r>
  <r>
    <n v="10161"/>
    <x v="8"/>
    <s v="parentty@uk.com"/>
    <x v="4"/>
    <n v="150"/>
    <n v="200"/>
    <n v="847"/>
    <n v="169400"/>
    <n v="42350"/>
    <x v="0"/>
    <s v="Southeast"/>
    <s v="January"/>
    <n v="2019"/>
    <s v="Anglophone"/>
    <x v="0"/>
  </r>
  <r>
    <n v="10162"/>
    <x v="1"/>
    <s v="gillhell@uk.com"/>
    <x v="5"/>
    <n v="80"/>
    <n v="150"/>
    <n v="931"/>
    <n v="139650"/>
    <n v="65170"/>
    <x v="1"/>
    <s v="west"/>
    <s v="February"/>
    <n v="2018"/>
    <s v="Anglophone"/>
    <x v="1"/>
  </r>
  <r>
    <n v="10163"/>
    <x v="9"/>
    <s v="smithMan@yahoo.com"/>
    <x v="6"/>
    <n v="90"/>
    <n v="150"/>
    <n v="768"/>
    <n v="115200"/>
    <n v="46080"/>
    <x v="2"/>
    <s v="southsouth"/>
    <s v="March"/>
    <n v="2017"/>
    <s v="Francophone"/>
    <x v="1"/>
  </r>
  <r>
    <n v="10164"/>
    <x v="3"/>
    <s v="jone.ai@yahoo.com"/>
    <x v="0"/>
    <n v="150"/>
    <n v="200"/>
    <n v="736"/>
    <n v="147200"/>
    <n v="36800"/>
    <x v="3"/>
    <s v="northwest"/>
    <s v="April"/>
    <n v="2017"/>
    <s v="Francophone"/>
    <x v="0"/>
  </r>
  <r>
    <n v="10165"/>
    <x v="2"/>
    <s v="sorvi2000@gmail.com"/>
    <x v="1"/>
    <n v="250"/>
    <n v="500"/>
    <n v="780"/>
    <n v="390000"/>
    <n v="195000"/>
    <x v="4"/>
    <s v="northeast"/>
    <s v="May"/>
    <n v="2019"/>
    <s v="Francophone"/>
    <x v="0"/>
  </r>
  <r>
    <n v="10166"/>
    <x v="0"/>
    <s v="jard@gmail.com"/>
    <x v="2"/>
    <n v="180"/>
    <n v="450"/>
    <n v="918"/>
    <n v="413100"/>
    <n v="247860"/>
    <x v="0"/>
    <s v="northcentral"/>
    <s v="June"/>
    <n v="2017"/>
    <s v="Anglophone"/>
    <x v="0"/>
  </r>
  <r>
    <n v="10167"/>
    <x v="4"/>
    <s v="andy@gmail.com"/>
    <x v="3"/>
    <n v="170"/>
    <n v="250"/>
    <n v="769"/>
    <n v="192250"/>
    <n v="61520"/>
    <x v="1"/>
    <s v="Southeast"/>
    <s v="July"/>
    <n v="2019"/>
    <s v="Anglophone"/>
    <x v="0"/>
  </r>
  <r>
    <n v="10168"/>
    <x v="7"/>
    <s v="howard_freeman@yahoo.com"/>
    <x v="4"/>
    <n v="150"/>
    <n v="200"/>
    <n v="712"/>
    <n v="142400"/>
    <n v="35600"/>
    <x v="2"/>
    <s v="west"/>
    <s v="August"/>
    <n v="2019"/>
    <s v="Francophone"/>
    <x v="0"/>
  </r>
  <r>
    <n v="10169"/>
    <x v="1"/>
    <s v="gillhell@uk.com"/>
    <x v="5"/>
    <n v="80"/>
    <n v="150"/>
    <n v="768"/>
    <n v="115200"/>
    <n v="53760"/>
    <x v="3"/>
    <s v="southsouth"/>
    <s v="September"/>
    <n v="2017"/>
    <s v="Francophone"/>
    <x v="1"/>
  </r>
  <r>
    <n v="10170"/>
    <x v="1"/>
    <s v="gillhell@uk.com"/>
    <x v="6"/>
    <n v="90"/>
    <n v="150"/>
    <n v="940"/>
    <n v="141000"/>
    <n v="56400"/>
    <x v="4"/>
    <s v="northwest"/>
    <s v="October"/>
    <n v="2018"/>
    <s v="Francophone"/>
    <x v="1"/>
  </r>
  <r>
    <n v="10171"/>
    <x v="10"/>
    <s v="kivel_go@yahoo.com"/>
    <x v="0"/>
    <n v="150"/>
    <n v="200"/>
    <n v="948"/>
    <n v="189600"/>
    <n v="47400"/>
    <x v="0"/>
    <s v="northeast"/>
    <s v="November"/>
    <n v="2018"/>
    <s v="Anglophone"/>
    <x v="0"/>
  </r>
  <r>
    <n v="10172"/>
    <x v="3"/>
    <s v="jone.ai@yahoo.com"/>
    <x v="1"/>
    <n v="250"/>
    <n v="500"/>
    <n v="869"/>
    <n v="434500"/>
    <n v="217250"/>
    <x v="1"/>
    <s v="northcentral"/>
    <s v="December"/>
    <n v="2018"/>
    <s v="Anglophone"/>
    <x v="0"/>
  </r>
  <r>
    <n v="10173"/>
    <x v="6"/>
    <s v="morganny@gmail.com"/>
    <x v="2"/>
    <n v="180"/>
    <n v="450"/>
    <n v="727"/>
    <n v="327150"/>
    <n v="196290"/>
    <x v="2"/>
    <s v="Southeast"/>
    <s v="January"/>
    <n v="2019"/>
    <s v="Francophone"/>
    <x v="0"/>
  </r>
  <r>
    <n v="10174"/>
    <x v="10"/>
    <s v="kivel_go@yahoo.com"/>
    <x v="3"/>
    <n v="170"/>
    <n v="250"/>
    <n v="833"/>
    <n v="208250"/>
    <n v="66640"/>
    <x v="3"/>
    <s v="west"/>
    <s v="February"/>
    <n v="2018"/>
    <s v="Francophone"/>
    <x v="0"/>
  </r>
  <r>
    <n v="10175"/>
    <x v="2"/>
    <s v="sorvi2000@gmail.com"/>
    <x v="4"/>
    <n v="150"/>
    <n v="200"/>
    <n v="974"/>
    <n v="194800"/>
    <n v="48700"/>
    <x v="4"/>
    <s v="southsouth"/>
    <s v="March"/>
    <n v="2018"/>
    <s v="Francophone"/>
    <x v="0"/>
  </r>
  <r>
    <n v="10176"/>
    <x v="1"/>
    <s v="gillhell@uk.com"/>
    <x v="5"/>
    <n v="80"/>
    <n v="150"/>
    <n v="713"/>
    <n v="106950"/>
    <n v="49910"/>
    <x v="0"/>
    <s v="northwest"/>
    <s v="April"/>
    <n v="2017"/>
    <s v="Anglophone"/>
    <x v="1"/>
  </r>
  <r>
    <n v="10177"/>
    <x v="2"/>
    <s v="sorvi2000@gmail.com"/>
    <x v="6"/>
    <n v="90"/>
    <n v="150"/>
    <n v="729"/>
    <n v="109350"/>
    <n v="43740"/>
    <x v="1"/>
    <s v="northeast"/>
    <s v="May"/>
    <n v="2017"/>
    <s v="Anglophone"/>
    <x v="1"/>
  </r>
  <r>
    <n v="10178"/>
    <x v="5"/>
    <s v="thomp@uk.com"/>
    <x v="0"/>
    <n v="150"/>
    <n v="200"/>
    <n v="946"/>
    <n v="189200"/>
    <n v="47300"/>
    <x v="2"/>
    <s v="northcentral"/>
    <s v="June"/>
    <n v="2019"/>
    <s v="Francophone"/>
    <x v="0"/>
  </r>
  <r>
    <n v="10179"/>
    <x v="4"/>
    <s v="andy@gmail.com"/>
    <x v="1"/>
    <n v="250"/>
    <n v="500"/>
    <n v="739"/>
    <n v="369500"/>
    <n v="184750"/>
    <x v="3"/>
    <s v="Southeast"/>
    <s v="July"/>
    <n v="2017"/>
    <s v="Francophone"/>
    <x v="0"/>
  </r>
  <r>
    <n v="10180"/>
    <x v="0"/>
    <s v="jard@gmail.com"/>
    <x v="2"/>
    <n v="180"/>
    <n v="450"/>
    <n v="795"/>
    <n v="357750"/>
    <n v="214650"/>
    <x v="4"/>
    <s v="west"/>
    <s v="August"/>
    <n v="2019"/>
    <s v="Francophone"/>
    <x v="0"/>
  </r>
  <r>
    <n v="10181"/>
    <x v="0"/>
    <s v="jard@gmail.com"/>
    <x v="3"/>
    <n v="170"/>
    <n v="250"/>
    <n v="701"/>
    <n v="175250"/>
    <n v="56080"/>
    <x v="0"/>
    <s v="southsouth"/>
    <s v="September"/>
    <n v="2018"/>
    <s v="Anglophone"/>
    <x v="0"/>
  </r>
  <r>
    <n v="10182"/>
    <x v="4"/>
    <s v="andy@gmail.com"/>
    <x v="4"/>
    <n v="150"/>
    <n v="200"/>
    <n v="773"/>
    <n v="154600"/>
    <n v="38650"/>
    <x v="1"/>
    <s v="northwest"/>
    <s v="October"/>
    <n v="2019"/>
    <s v="Anglophone"/>
    <x v="0"/>
  </r>
  <r>
    <n v="10183"/>
    <x v="3"/>
    <s v="jone.ai@yahoo.com"/>
    <x v="5"/>
    <n v="80"/>
    <n v="150"/>
    <n v="801"/>
    <n v="120150"/>
    <n v="56070"/>
    <x v="2"/>
    <s v="northeast"/>
    <s v="November"/>
    <n v="2018"/>
    <s v="Francophone"/>
    <x v="1"/>
  </r>
  <r>
    <n v="10184"/>
    <x v="6"/>
    <s v="morganny@gmail.com"/>
    <x v="6"/>
    <n v="90"/>
    <n v="150"/>
    <n v="892"/>
    <n v="133800"/>
    <n v="53520"/>
    <x v="3"/>
    <s v="northcentral"/>
    <s v="December"/>
    <n v="2017"/>
    <s v="Francophone"/>
    <x v="1"/>
  </r>
  <r>
    <n v="10185"/>
    <x v="10"/>
    <s v="kivel_go@yahoo.com"/>
    <x v="0"/>
    <n v="150"/>
    <n v="200"/>
    <n v="739"/>
    <n v="147800"/>
    <n v="36950"/>
    <x v="4"/>
    <s v="Southeast"/>
    <s v="January"/>
    <n v="2018"/>
    <s v="Francophone"/>
    <x v="0"/>
  </r>
  <r>
    <n v="10186"/>
    <x v="2"/>
    <s v="sorvi2000@gmail.com"/>
    <x v="1"/>
    <n v="250"/>
    <n v="500"/>
    <n v="704"/>
    <n v="352000"/>
    <n v="176000"/>
    <x v="0"/>
    <s v="west"/>
    <s v="February"/>
    <n v="2018"/>
    <s v="Anglophone"/>
    <x v="0"/>
  </r>
  <r>
    <n v="10187"/>
    <x v="1"/>
    <s v="gillhell@uk.com"/>
    <x v="2"/>
    <n v="180"/>
    <n v="450"/>
    <n v="879"/>
    <n v="395550"/>
    <n v="237330"/>
    <x v="1"/>
    <s v="southsouth"/>
    <s v="March"/>
    <n v="2018"/>
    <s v="Anglophone"/>
    <x v="0"/>
  </r>
  <r>
    <n v="10188"/>
    <x v="2"/>
    <s v="sorvi2000@gmail.com"/>
    <x v="3"/>
    <n v="170"/>
    <n v="250"/>
    <n v="993"/>
    <n v="248250"/>
    <n v="79440"/>
    <x v="2"/>
    <s v="northwest"/>
    <s v="April"/>
    <n v="2017"/>
    <s v="Francophone"/>
    <x v="0"/>
  </r>
  <r>
    <n v="10189"/>
    <x v="5"/>
    <s v="thomp@uk.com"/>
    <x v="4"/>
    <n v="150"/>
    <n v="200"/>
    <n v="820"/>
    <n v="164000"/>
    <n v="41000"/>
    <x v="3"/>
    <s v="northeast"/>
    <s v="May"/>
    <n v="2018"/>
    <s v="Francophone"/>
    <x v="0"/>
  </r>
  <r>
    <n v="10190"/>
    <x v="4"/>
    <s v="andy@gmail.com"/>
    <x v="5"/>
    <n v="80"/>
    <n v="150"/>
    <n v="869"/>
    <n v="130350"/>
    <n v="60830"/>
    <x v="4"/>
    <s v="northcentral"/>
    <s v="June"/>
    <n v="2018"/>
    <s v="Francophone"/>
    <x v="1"/>
  </r>
  <r>
    <n v="10191"/>
    <x v="0"/>
    <s v="jard@gmail.com"/>
    <x v="6"/>
    <n v="90"/>
    <n v="150"/>
    <n v="902"/>
    <n v="135300"/>
    <n v="54120"/>
    <x v="0"/>
    <s v="Southeast"/>
    <s v="July"/>
    <n v="2019"/>
    <s v="Anglophone"/>
    <x v="1"/>
  </r>
  <r>
    <n v="10192"/>
    <x v="0"/>
    <s v="jard@gmail.com"/>
    <x v="0"/>
    <n v="150"/>
    <n v="200"/>
    <n v="981"/>
    <n v="196200"/>
    <n v="49050"/>
    <x v="1"/>
    <s v="west"/>
    <s v="August"/>
    <n v="2019"/>
    <s v="Anglophone"/>
    <x v="0"/>
  </r>
  <r>
    <n v="10193"/>
    <x v="4"/>
    <s v="andy@gmail.com"/>
    <x v="1"/>
    <n v="250"/>
    <n v="500"/>
    <n v="722"/>
    <n v="361000"/>
    <n v="180500"/>
    <x v="2"/>
    <s v="southsouth"/>
    <s v="September"/>
    <n v="2017"/>
    <s v="Francophone"/>
    <x v="0"/>
  </r>
  <r>
    <n v="10194"/>
    <x v="0"/>
    <s v="jard@gmail.com"/>
    <x v="2"/>
    <n v="180"/>
    <n v="450"/>
    <n v="849"/>
    <n v="382050"/>
    <n v="229230"/>
    <x v="3"/>
    <s v="northwest"/>
    <s v="October"/>
    <n v="2017"/>
    <s v="Francophone"/>
    <x v="0"/>
  </r>
  <r>
    <n v="10195"/>
    <x v="1"/>
    <s v="gillhell@uk.com"/>
    <x v="3"/>
    <n v="170"/>
    <n v="250"/>
    <n v="910"/>
    <n v="227500"/>
    <n v="72800"/>
    <x v="4"/>
    <s v="northeast"/>
    <s v="November"/>
    <n v="2019"/>
    <s v="Francophone"/>
    <x v="0"/>
  </r>
  <r>
    <n v="10196"/>
    <x v="2"/>
    <s v="sorvi2000@gmail.com"/>
    <x v="4"/>
    <n v="150"/>
    <n v="200"/>
    <n v="959"/>
    <n v="191800"/>
    <n v="47950"/>
    <x v="0"/>
    <s v="northcentral"/>
    <s v="December"/>
    <n v="2018"/>
    <s v="Anglophone"/>
    <x v="0"/>
  </r>
  <r>
    <n v="10197"/>
    <x v="3"/>
    <s v="jone.ai@yahoo.com"/>
    <x v="5"/>
    <n v="80"/>
    <n v="150"/>
    <n v="896"/>
    <n v="134400"/>
    <n v="62720"/>
    <x v="1"/>
    <s v="Southeast"/>
    <s v="January"/>
    <n v="2019"/>
    <s v="Anglophone"/>
    <x v="1"/>
  </r>
  <r>
    <n v="10198"/>
    <x v="4"/>
    <s v="andy@gmail.com"/>
    <x v="6"/>
    <n v="90"/>
    <n v="150"/>
    <n v="856"/>
    <n v="128400"/>
    <n v="51360"/>
    <x v="2"/>
    <s v="west"/>
    <s v="February"/>
    <n v="2017"/>
    <s v="Francophone"/>
    <x v="1"/>
  </r>
  <r>
    <n v="10199"/>
    <x v="0"/>
    <s v="jard@gmail.com"/>
    <x v="0"/>
    <n v="150"/>
    <n v="200"/>
    <n v="817"/>
    <n v="163400"/>
    <n v="40850"/>
    <x v="3"/>
    <s v="southsouth"/>
    <s v="March"/>
    <n v="2017"/>
    <s v="Francophone"/>
    <x v="0"/>
  </r>
  <r>
    <n v="10200"/>
    <x v="5"/>
    <s v="thomp@uk.com"/>
    <x v="1"/>
    <n v="250"/>
    <n v="500"/>
    <n v="729"/>
    <n v="364500"/>
    <n v="182250"/>
    <x v="4"/>
    <s v="northwest"/>
    <s v="April"/>
    <n v="2017"/>
    <s v="Francophone"/>
    <x v="0"/>
  </r>
  <r>
    <n v="10201"/>
    <x v="3"/>
    <s v="jone.ai@yahoo.com"/>
    <x v="2"/>
    <n v="180"/>
    <n v="450"/>
    <n v="805"/>
    <n v="362250"/>
    <n v="217350"/>
    <x v="0"/>
    <s v="northeast"/>
    <s v="May"/>
    <n v="2017"/>
    <s v="Anglophone"/>
    <x v="0"/>
  </r>
  <r>
    <n v="10202"/>
    <x v="6"/>
    <s v="morganny@gmail.com"/>
    <x v="3"/>
    <n v="170"/>
    <n v="250"/>
    <n v="828"/>
    <n v="207000"/>
    <n v="66240"/>
    <x v="1"/>
    <s v="northcentral"/>
    <s v="June"/>
    <n v="2019"/>
    <s v="Anglophone"/>
    <x v="0"/>
  </r>
  <r>
    <n v="10203"/>
    <x v="7"/>
    <s v="howard_freeman@yahoo.com"/>
    <x v="4"/>
    <n v="150"/>
    <n v="200"/>
    <n v="990"/>
    <n v="198000"/>
    <n v="49500"/>
    <x v="2"/>
    <s v="Southeast"/>
    <s v="July"/>
    <n v="2019"/>
    <s v="Francophone"/>
    <x v="0"/>
  </r>
  <r>
    <n v="10204"/>
    <x v="8"/>
    <s v="parentty@uk.com"/>
    <x v="5"/>
    <n v="80"/>
    <n v="150"/>
    <n v="831"/>
    <n v="124650"/>
    <n v="58170"/>
    <x v="3"/>
    <s v="west"/>
    <s v="August"/>
    <n v="2017"/>
    <s v="Francophone"/>
    <x v="1"/>
  </r>
  <r>
    <n v="10205"/>
    <x v="3"/>
    <s v="jone.ai@yahoo.com"/>
    <x v="6"/>
    <n v="90"/>
    <n v="150"/>
    <n v="903"/>
    <n v="135450"/>
    <n v="54180"/>
    <x v="4"/>
    <s v="southsouth"/>
    <s v="September"/>
    <n v="2019"/>
    <s v="Francophone"/>
    <x v="1"/>
  </r>
  <r>
    <n v="10206"/>
    <x v="9"/>
    <s v="smithMan@yahoo.com"/>
    <x v="0"/>
    <n v="150"/>
    <n v="200"/>
    <n v="751"/>
    <n v="150200"/>
    <n v="37550"/>
    <x v="0"/>
    <s v="northwest"/>
    <s v="October"/>
    <n v="2017"/>
    <s v="Anglophone"/>
    <x v="0"/>
  </r>
  <r>
    <n v="10207"/>
    <x v="3"/>
    <s v="jone.ai@yahoo.com"/>
    <x v="1"/>
    <n v="250"/>
    <n v="500"/>
    <n v="990"/>
    <n v="495000"/>
    <n v="247500"/>
    <x v="1"/>
    <s v="northeast"/>
    <s v="November"/>
    <n v="2019"/>
    <s v="Anglophone"/>
    <x v="0"/>
  </r>
  <r>
    <n v="10208"/>
    <x v="0"/>
    <s v="jard@gmail.com"/>
    <x v="2"/>
    <n v="180"/>
    <n v="450"/>
    <n v="878"/>
    <n v="395100"/>
    <n v="237060"/>
    <x v="2"/>
    <s v="northcentral"/>
    <s v="December"/>
    <n v="2018"/>
    <s v="Francophone"/>
    <x v="0"/>
  </r>
  <r>
    <n v="10209"/>
    <x v="1"/>
    <s v="gillhell@uk.com"/>
    <x v="3"/>
    <n v="170"/>
    <n v="250"/>
    <n v="720"/>
    <n v="180000"/>
    <n v="57600"/>
    <x v="3"/>
    <s v="Southeast"/>
    <s v="January"/>
    <n v="2017"/>
    <s v="Francophone"/>
    <x v="0"/>
  </r>
  <r>
    <n v="10210"/>
    <x v="2"/>
    <s v="sorvi2000@gmail.com"/>
    <x v="4"/>
    <n v="150"/>
    <n v="200"/>
    <n v="777"/>
    <n v="155400"/>
    <n v="38850"/>
    <x v="4"/>
    <s v="west"/>
    <s v="February"/>
    <n v="2017"/>
    <s v="Francophone"/>
    <x v="0"/>
  </r>
  <r>
    <n v="10211"/>
    <x v="3"/>
    <s v="jone.ai@yahoo.com"/>
    <x v="5"/>
    <n v="80"/>
    <n v="150"/>
    <n v="848"/>
    <n v="127200"/>
    <n v="59360"/>
    <x v="0"/>
    <s v="southsouth"/>
    <s v="March"/>
    <n v="2019"/>
    <s v="Anglophone"/>
    <x v="1"/>
  </r>
  <r>
    <n v="10212"/>
    <x v="4"/>
    <s v="andy@gmail.com"/>
    <x v="6"/>
    <n v="90"/>
    <n v="150"/>
    <n v="874"/>
    <n v="131100"/>
    <n v="52440"/>
    <x v="1"/>
    <s v="northwest"/>
    <s v="April"/>
    <n v="2017"/>
    <s v="Anglophone"/>
    <x v="1"/>
  </r>
  <r>
    <n v="10213"/>
    <x v="0"/>
    <s v="jard@gmail.com"/>
    <x v="0"/>
    <n v="150"/>
    <n v="200"/>
    <n v="739"/>
    <n v="147800"/>
    <n v="36950"/>
    <x v="2"/>
    <s v="northeast"/>
    <s v="May"/>
    <n v="2017"/>
    <s v="Francophone"/>
    <x v="0"/>
  </r>
  <r>
    <n v="10214"/>
    <x v="5"/>
    <s v="thomp@uk.com"/>
    <x v="1"/>
    <n v="250"/>
    <n v="500"/>
    <n v="704"/>
    <n v="352000"/>
    <n v="176000"/>
    <x v="3"/>
    <s v="northcentral"/>
    <s v="June"/>
    <n v="2018"/>
    <s v="Francophone"/>
    <x v="0"/>
  </r>
  <r>
    <n v="10215"/>
    <x v="3"/>
    <s v="jone.ai@yahoo.com"/>
    <x v="2"/>
    <n v="180"/>
    <n v="450"/>
    <n v="855"/>
    <n v="384750"/>
    <n v="230850"/>
    <x v="4"/>
    <s v="Southeast"/>
    <s v="July"/>
    <n v="2019"/>
    <s v="Francophone"/>
    <x v="0"/>
  </r>
  <r>
    <n v="10216"/>
    <x v="6"/>
    <s v="morganny@gmail.com"/>
    <x v="3"/>
    <n v="170"/>
    <n v="250"/>
    <n v="971"/>
    <n v="242750"/>
    <n v="77680"/>
    <x v="0"/>
    <s v="west"/>
    <s v="August"/>
    <n v="2018"/>
    <s v="Anglophone"/>
    <x v="0"/>
  </r>
  <r>
    <n v="10217"/>
    <x v="7"/>
    <s v="howard_freeman@yahoo.com"/>
    <x v="4"/>
    <n v="150"/>
    <n v="200"/>
    <n v="957"/>
    <n v="191400"/>
    <n v="47850"/>
    <x v="1"/>
    <s v="southsouth"/>
    <s v="September"/>
    <n v="2019"/>
    <s v="Anglophone"/>
    <x v="0"/>
  </r>
  <r>
    <n v="10218"/>
    <x v="8"/>
    <s v="parentty@uk.com"/>
    <x v="5"/>
    <n v="80"/>
    <n v="150"/>
    <n v="769"/>
    <n v="115350"/>
    <n v="53830"/>
    <x v="2"/>
    <s v="northwest"/>
    <s v="October"/>
    <n v="2017"/>
    <s v="Francophone"/>
    <x v="1"/>
  </r>
  <r>
    <n v="10219"/>
    <x v="3"/>
    <s v="jone.ai@yahoo.com"/>
    <x v="6"/>
    <n v="90"/>
    <n v="150"/>
    <n v="710"/>
    <n v="106500"/>
    <n v="42600"/>
    <x v="3"/>
    <s v="northeast"/>
    <s v="November"/>
    <n v="2019"/>
    <s v="Francophone"/>
    <x v="1"/>
  </r>
  <r>
    <n v="10220"/>
    <x v="9"/>
    <s v="smithMan@yahoo.com"/>
    <x v="0"/>
    <n v="150"/>
    <n v="200"/>
    <n v="917"/>
    <n v="183400"/>
    <n v="45850"/>
    <x v="4"/>
    <s v="northcentral"/>
    <s v="December"/>
    <n v="2019"/>
    <s v="Francophone"/>
    <x v="0"/>
  </r>
  <r>
    <n v="10221"/>
    <x v="3"/>
    <s v="jone.ai@yahoo.com"/>
    <x v="1"/>
    <n v="250"/>
    <n v="500"/>
    <n v="727"/>
    <n v="363500"/>
    <n v="181750"/>
    <x v="0"/>
    <s v="Southeast"/>
    <s v="January"/>
    <n v="2017"/>
    <s v="Anglophone"/>
    <x v="0"/>
  </r>
  <r>
    <n v="10222"/>
    <x v="6"/>
    <s v="morganny@gmail.com"/>
    <x v="2"/>
    <n v="180"/>
    <n v="450"/>
    <n v="768"/>
    <n v="345600"/>
    <n v="207360"/>
    <x v="1"/>
    <s v="west"/>
    <s v="February"/>
    <n v="2018"/>
    <s v="Anglophone"/>
    <x v="0"/>
  </r>
  <r>
    <n v="10223"/>
    <x v="3"/>
    <s v="jone.ai@yahoo.com"/>
    <x v="3"/>
    <n v="170"/>
    <n v="250"/>
    <n v="870"/>
    <n v="217500"/>
    <n v="69600"/>
    <x v="2"/>
    <s v="southsouth"/>
    <s v="March"/>
    <n v="2019"/>
    <s v="Francophone"/>
    <x v="0"/>
  </r>
  <r>
    <n v="10224"/>
    <x v="8"/>
    <s v="parentty@uk.com"/>
    <x v="4"/>
    <n v="150"/>
    <n v="200"/>
    <n v="914"/>
    <n v="182800"/>
    <n v="45700"/>
    <x v="3"/>
    <s v="northwest"/>
    <s v="April"/>
    <n v="2019"/>
    <s v="Francophone"/>
    <x v="0"/>
  </r>
  <r>
    <n v="10225"/>
    <x v="10"/>
    <s v="kivel_go@yahoo.com"/>
    <x v="5"/>
    <n v="80"/>
    <n v="150"/>
    <n v="763"/>
    <n v="114450"/>
    <n v="53410"/>
    <x v="4"/>
    <s v="northeast"/>
    <s v="May"/>
    <n v="2019"/>
    <s v="Francophone"/>
    <x v="1"/>
  </r>
  <r>
    <n v="10226"/>
    <x v="9"/>
    <s v="smithMan@yahoo.com"/>
    <x v="6"/>
    <n v="90"/>
    <n v="150"/>
    <n v="951"/>
    <n v="142650"/>
    <n v="57060"/>
    <x v="0"/>
    <s v="northcentral"/>
    <s v="June"/>
    <n v="2017"/>
    <s v="Anglophone"/>
    <x v="1"/>
  </r>
  <r>
    <n v="10227"/>
    <x v="8"/>
    <s v="parentty@uk.com"/>
    <x v="0"/>
    <n v="150"/>
    <n v="200"/>
    <n v="810"/>
    <n v="162000"/>
    <n v="40500"/>
    <x v="1"/>
    <s v="Southeast"/>
    <s v="July"/>
    <n v="2018"/>
    <s v="Anglophone"/>
    <x v="0"/>
  </r>
  <r>
    <n v="10228"/>
    <x v="1"/>
    <s v="gillhell@uk.com"/>
    <x v="1"/>
    <n v="250"/>
    <n v="500"/>
    <n v="886"/>
    <n v="443000"/>
    <n v="221500"/>
    <x v="2"/>
    <s v="west"/>
    <s v="August"/>
    <n v="2019"/>
    <s v="Francophone"/>
    <x v="0"/>
  </r>
  <r>
    <n v="10229"/>
    <x v="9"/>
    <s v="smithMan@yahoo.com"/>
    <x v="2"/>
    <n v="180"/>
    <n v="450"/>
    <n v="984"/>
    <n v="442800"/>
    <n v="265680"/>
    <x v="3"/>
    <s v="southsouth"/>
    <s v="September"/>
    <n v="2018"/>
    <s v="Francophone"/>
    <x v="0"/>
  </r>
  <r>
    <n v="10230"/>
    <x v="3"/>
    <s v="jone.ai@yahoo.com"/>
    <x v="3"/>
    <n v="170"/>
    <n v="250"/>
    <n v="974"/>
    <n v="243500"/>
    <n v="77920"/>
    <x v="4"/>
    <s v="northwest"/>
    <s v="October"/>
    <n v="2017"/>
    <s v="Francophone"/>
    <x v="0"/>
  </r>
  <r>
    <n v="10231"/>
    <x v="2"/>
    <s v="sorvi2000@gmail.com"/>
    <x v="4"/>
    <n v="150"/>
    <n v="200"/>
    <n v="901"/>
    <n v="180200"/>
    <n v="45050"/>
    <x v="0"/>
    <s v="northeast"/>
    <s v="November"/>
    <n v="2019"/>
    <s v="Anglophone"/>
    <x v="0"/>
  </r>
  <r>
    <n v="10232"/>
    <x v="0"/>
    <s v="jard@gmail.com"/>
    <x v="5"/>
    <n v="80"/>
    <n v="150"/>
    <n v="934"/>
    <n v="140100"/>
    <n v="65380"/>
    <x v="1"/>
    <s v="northcentral"/>
    <s v="December"/>
    <n v="2019"/>
    <s v="Anglophone"/>
    <x v="1"/>
  </r>
  <r>
    <n v="10233"/>
    <x v="4"/>
    <s v="andy@gmail.com"/>
    <x v="6"/>
    <n v="90"/>
    <n v="150"/>
    <n v="832"/>
    <n v="124800"/>
    <n v="49920"/>
    <x v="2"/>
    <s v="Southeast"/>
    <s v="January"/>
    <n v="2017"/>
    <s v="Francophone"/>
    <x v="1"/>
  </r>
  <r>
    <n v="10234"/>
    <x v="7"/>
    <s v="howard_freeman@yahoo.com"/>
    <x v="0"/>
    <n v="150"/>
    <n v="200"/>
    <n v="840"/>
    <n v="168000"/>
    <n v="42000"/>
    <x v="3"/>
    <s v="west"/>
    <s v="February"/>
    <n v="2018"/>
    <s v="Francophone"/>
    <x v="0"/>
  </r>
  <r>
    <n v="10235"/>
    <x v="1"/>
    <s v="gillhell@uk.com"/>
    <x v="1"/>
    <n v="250"/>
    <n v="500"/>
    <n v="966"/>
    <n v="483000"/>
    <n v="241500"/>
    <x v="4"/>
    <s v="southsouth"/>
    <s v="March"/>
    <n v="2017"/>
    <s v="Francophone"/>
    <x v="0"/>
  </r>
  <r>
    <n v="10236"/>
    <x v="1"/>
    <s v="gillhell@uk.com"/>
    <x v="2"/>
    <n v="180"/>
    <n v="450"/>
    <n v="832"/>
    <n v="374400"/>
    <n v="224640"/>
    <x v="0"/>
    <s v="northwest"/>
    <s v="April"/>
    <n v="2018"/>
    <s v="Anglophone"/>
    <x v="0"/>
  </r>
  <r>
    <n v="10237"/>
    <x v="10"/>
    <s v="kivel_go@yahoo.com"/>
    <x v="3"/>
    <n v="170"/>
    <n v="250"/>
    <n v="968"/>
    <n v="242000"/>
    <n v="77440"/>
    <x v="1"/>
    <s v="northeast"/>
    <s v="May"/>
    <n v="2019"/>
    <s v="Anglophone"/>
    <x v="0"/>
  </r>
  <r>
    <n v="10238"/>
    <x v="3"/>
    <s v="jone.ai@yahoo.com"/>
    <x v="4"/>
    <n v="150"/>
    <n v="200"/>
    <n v="791"/>
    <n v="158200"/>
    <n v="39550"/>
    <x v="2"/>
    <s v="northcentral"/>
    <s v="June"/>
    <n v="2019"/>
    <s v="Francophone"/>
    <x v="0"/>
  </r>
  <r>
    <n v="10239"/>
    <x v="6"/>
    <s v="morganny@gmail.com"/>
    <x v="5"/>
    <n v="80"/>
    <n v="150"/>
    <n v="774"/>
    <n v="116100"/>
    <n v="54180"/>
    <x v="3"/>
    <s v="Southeast"/>
    <s v="July"/>
    <n v="2018"/>
    <s v="Francophone"/>
    <x v="1"/>
  </r>
  <r>
    <n v="10240"/>
    <x v="10"/>
    <s v="kivel_go@yahoo.com"/>
    <x v="6"/>
    <n v="90"/>
    <n v="150"/>
    <n v="992"/>
    <n v="148800"/>
    <n v="59520"/>
    <x v="4"/>
    <s v="west"/>
    <s v="August"/>
    <n v="2017"/>
    <s v="Francophone"/>
    <x v="1"/>
  </r>
  <r>
    <n v="10241"/>
    <x v="2"/>
    <s v="sorvi2000@gmail.com"/>
    <x v="0"/>
    <n v="150"/>
    <n v="200"/>
    <n v="881"/>
    <n v="176200"/>
    <n v="44050"/>
    <x v="0"/>
    <s v="southsouth"/>
    <s v="September"/>
    <n v="2018"/>
    <s v="Anglophone"/>
    <x v="0"/>
  </r>
  <r>
    <n v="10242"/>
    <x v="1"/>
    <s v="gillhell@uk.com"/>
    <x v="1"/>
    <n v="250"/>
    <n v="500"/>
    <n v="975"/>
    <n v="487500"/>
    <n v="243750"/>
    <x v="1"/>
    <s v="northwest"/>
    <s v="October"/>
    <n v="2017"/>
    <s v="Anglophone"/>
    <x v="0"/>
  </r>
  <r>
    <n v="10243"/>
    <x v="2"/>
    <s v="sorvi2000@gmail.com"/>
    <x v="2"/>
    <n v="180"/>
    <n v="450"/>
    <n v="733"/>
    <n v="329850"/>
    <n v="197910"/>
    <x v="2"/>
    <s v="northeast"/>
    <s v="November"/>
    <n v="2018"/>
    <s v="Francophone"/>
    <x v="0"/>
  </r>
  <r>
    <n v="10244"/>
    <x v="5"/>
    <s v="thomp@uk.com"/>
    <x v="3"/>
    <n v="170"/>
    <n v="250"/>
    <n v="776"/>
    <n v="194000"/>
    <n v="62080"/>
    <x v="3"/>
    <s v="northcentral"/>
    <s v="December"/>
    <n v="2017"/>
    <s v="Francophone"/>
    <x v="0"/>
  </r>
  <r>
    <n v="10245"/>
    <x v="4"/>
    <s v="andy@gmail.com"/>
    <x v="4"/>
    <n v="150"/>
    <n v="200"/>
    <n v="924"/>
    <n v="184800"/>
    <n v="46200"/>
    <x v="4"/>
    <s v="Southeast"/>
    <s v="January"/>
    <n v="2019"/>
    <s v="Francophone"/>
    <x v="0"/>
  </r>
  <r>
    <n v="10246"/>
    <x v="0"/>
    <s v="jard@gmail.com"/>
    <x v="5"/>
    <n v="80"/>
    <n v="150"/>
    <n v="744"/>
    <n v="111600"/>
    <n v="52080"/>
    <x v="0"/>
    <s v="west"/>
    <s v="February"/>
    <n v="2019"/>
    <s v="Anglophone"/>
    <x v="1"/>
  </r>
  <r>
    <n v="10247"/>
    <x v="0"/>
    <s v="jard@gmail.com"/>
    <x v="6"/>
    <n v="90"/>
    <n v="150"/>
    <n v="754"/>
    <n v="113100"/>
    <n v="45240"/>
    <x v="1"/>
    <s v="southsouth"/>
    <s v="March"/>
    <n v="2019"/>
    <s v="Anglophone"/>
    <x v="1"/>
  </r>
  <r>
    <n v="10248"/>
    <x v="4"/>
    <s v="andy@gmail.com"/>
    <x v="0"/>
    <n v="150"/>
    <n v="200"/>
    <n v="792"/>
    <n v="158400"/>
    <n v="39600"/>
    <x v="2"/>
    <s v="northwest"/>
    <s v="April"/>
    <n v="2019"/>
    <s v="Francophone"/>
    <x v="0"/>
  </r>
  <r>
    <n v="10249"/>
    <x v="0"/>
    <s v="jard@gmail.com"/>
    <x v="1"/>
    <n v="250"/>
    <n v="500"/>
    <n v="838"/>
    <n v="419000"/>
    <n v="209500"/>
    <x v="3"/>
    <s v="northeast"/>
    <s v="May"/>
    <n v="2017"/>
    <s v="Francophone"/>
    <x v="0"/>
  </r>
  <r>
    <n v="10250"/>
    <x v="1"/>
    <s v="gillhell@uk.com"/>
    <x v="2"/>
    <n v="180"/>
    <n v="450"/>
    <n v="963"/>
    <n v="433350"/>
    <n v="260010"/>
    <x v="4"/>
    <s v="northcentral"/>
    <s v="June"/>
    <n v="2017"/>
    <s v="Francophone"/>
    <x v="0"/>
  </r>
  <r>
    <n v="10251"/>
    <x v="2"/>
    <s v="sorvi2000@gmail.com"/>
    <x v="3"/>
    <n v="170"/>
    <n v="250"/>
    <n v="995"/>
    <n v="248750"/>
    <n v="79600"/>
    <x v="0"/>
    <s v="Southeast"/>
    <s v="July"/>
    <n v="2017"/>
    <s v="Anglophone"/>
    <x v="0"/>
  </r>
  <r>
    <n v="10252"/>
    <x v="3"/>
    <s v="jone.ai@yahoo.com"/>
    <x v="4"/>
    <n v="150"/>
    <n v="200"/>
    <n v="941"/>
    <n v="188200"/>
    <n v="47050"/>
    <x v="1"/>
    <s v="west"/>
    <s v="August"/>
    <n v="2017"/>
    <s v="Anglophone"/>
    <x v="0"/>
  </r>
  <r>
    <n v="10253"/>
    <x v="4"/>
    <s v="andy@gmail.com"/>
    <x v="5"/>
    <n v="80"/>
    <n v="150"/>
    <n v="930"/>
    <n v="139500"/>
    <n v="65100"/>
    <x v="2"/>
    <s v="southsouth"/>
    <s v="September"/>
    <n v="2018"/>
    <s v="Francophone"/>
    <x v="1"/>
  </r>
  <r>
    <n v="10254"/>
    <x v="0"/>
    <s v="jard@gmail.com"/>
    <x v="6"/>
    <n v="90"/>
    <n v="150"/>
    <n v="780"/>
    <n v="117000"/>
    <n v="46800"/>
    <x v="3"/>
    <s v="northwest"/>
    <s v="October"/>
    <n v="2019"/>
    <s v="Francophone"/>
    <x v="1"/>
  </r>
  <r>
    <n v="10255"/>
    <x v="5"/>
    <s v="thomp@uk.com"/>
    <x v="0"/>
    <n v="150"/>
    <n v="200"/>
    <n v="729"/>
    <n v="145800"/>
    <n v="36450"/>
    <x v="4"/>
    <s v="northeast"/>
    <s v="November"/>
    <n v="2019"/>
    <s v="Francophone"/>
    <x v="0"/>
  </r>
  <r>
    <n v="10256"/>
    <x v="3"/>
    <s v="jone.ai@yahoo.com"/>
    <x v="1"/>
    <n v="250"/>
    <n v="500"/>
    <n v="909"/>
    <n v="454500"/>
    <n v="227250"/>
    <x v="0"/>
    <s v="northcentral"/>
    <s v="December"/>
    <n v="2019"/>
    <s v="Anglophone"/>
    <x v="0"/>
  </r>
  <r>
    <n v="10257"/>
    <x v="6"/>
    <s v="morganny@gmail.com"/>
    <x v="2"/>
    <n v="180"/>
    <n v="450"/>
    <n v="961"/>
    <n v="432450"/>
    <n v="259470"/>
    <x v="1"/>
    <s v="Southeast"/>
    <s v="January"/>
    <n v="2018"/>
    <s v="Anglophone"/>
    <x v="0"/>
  </r>
  <r>
    <n v="10258"/>
    <x v="7"/>
    <s v="howard_freeman@yahoo.com"/>
    <x v="3"/>
    <n v="170"/>
    <n v="250"/>
    <n v="729"/>
    <n v="182250"/>
    <n v="58320"/>
    <x v="2"/>
    <s v="west"/>
    <s v="February"/>
    <n v="2018"/>
    <s v="Francophone"/>
    <x v="0"/>
  </r>
  <r>
    <n v="10259"/>
    <x v="8"/>
    <s v="parentty@uk.com"/>
    <x v="4"/>
    <n v="150"/>
    <n v="200"/>
    <n v="944"/>
    <n v="188800"/>
    <n v="47200"/>
    <x v="3"/>
    <s v="southsouth"/>
    <s v="March"/>
    <n v="2019"/>
    <s v="Francophone"/>
    <x v="0"/>
  </r>
  <r>
    <n v="10260"/>
    <x v="3"/>
    <s v="jone.ai@yahoo.com"/>
    <x v="5"/>
    <n v="80"/>
    <n v="150"/>
    <n v="981"/>
    <n v="147150"/>
    <n v="68670"/>
    <x v="4"/>
    <s v="northwest"/>
    <s v="April"/>
    <n v="2017"/>
    <s v="Francophone"/>
    <x v="1"/>
  </r>
  <r>
    <n v="10261"/>
    <x v="9"/>
    <s v="smithMan@yahoo.com"/>
    <x v="6"/>
    <n v="90"/>
    <n v="150"/>
    <n v="763"/>
    <n v="114450"/>
    <n v="45780"/>
    <x v="0"/>
    <s v="northeast"/>
    <s v="May"/>
    <n v="2018"/>
    <s v="Anglophone"/>
    <x v="1"/>
  </r>
  <r>
    <n v="10262"/>
    <x v="3"/>
    <s v="jone.ai@yahoo.com"/>
    <x v="0"/>
    <n v="150"/>
    <n v="200"/>
    <n v="885"/>
    <n v="177000"/>
    <n v="44250"/>
    <x v="1"/>
    <s v="northcentral"/>
    <s v="June"/>
    <n v="2017"/>
    <s v="Anglophone"/>
    <x v="0"/>
  </r>
  <r>
    <n v="10263"/>
    <x v="6"/>
    <s v="morganny@gmail.com"/>
    <x v="1"/>
    <n v="250"/>
    <n v="500"/>
    <n v="854"/>
    <n v="427000"/>
    <n v="213500"/>
    <x v="2"/>
    <s v="Southeast"/>
    <s v="July"/>
    <n v="2018"/>
    <s v="Francophone"/>
    <x v="0"/>
  </r>
  <r>
    <n v="10264"/>
    <x v="3"/>
    <s v="jone.ai@yahoo.com"/>
    <x v="2"/>
    <n v="180"/>
    <n v="450"/>
    <n v="727"/>
    <n v="327150"/>
    <n v="196290"/>
    <x v="3"/>
    <s v="west"/>
    <s v="August"/>
    <n v="2018"/>
    <s v="Francophone"/>
    <x v="0"/>
  </r>
  <r>
    <n v="10265"/>
    <x v="8"/>
    <s v="parentty@uk.com"/>
    <x v="3"/>
    <n v="170"/>
    <n v="250"/>
    <n v="991"/>
    <n v="247750"/>
    <n v="79280"/>
    <x v="4"/>
    <s v="southsouth"/>
    <s v="September"/>
    <n v="2018"/>
    <s v="Francophone"/>
    <x v="0"/>
  </r>
  <r>
    <n v="10266"/>
    <x v="10"/>
    <s v="kivel_go@yahoo.com"/>
    <x v="4"/>
    <n v="150"/>
    <n v="200"/>
    <n v="792"/>
    <n v="158400"/>
    <n v="39600"/>
    <x v="0"/>
    <s v="northwest"/>
    <s v="October"/>
    <n v="2019"/>
    <s v="Anglophone"/>
    <x v="0"/>
  </r>
  <r>
    <n v="10267"/>
    <x v="9"/>
    <s v="smithMan@yahoo.com"/>
    <x v="5"/>
    <n v="80"/>
    <n v="150"/>
    <n v="898"/>
    <n v="134700"/>
    <n v="62860"/>
    <x v="1"/>
    <s v="northeast"/>
    <s v="November"/>
    <n v="2019"/>
    <s v="Anglophone"/>
    <x v="1"/>
  </r>
  <r>
    <n v="10268"/>
    <x v="8"/>
    <s v="parentty@uk.com"/>
    <x v="6"/>
    <n v="90"/>
    <n v="150"/>
    <n v="945"/>
    <n v="141750"/>
    <n v="56700"/>
    <x v="2"/>
    <s v="northcentral"/>
    <s v="December"/>
    <n v="2019"/>
    <s v="Francophone"/>
    <x v="1"/>
  </r>
  <r>
    <n v="10269"/>
    <x v="1"/>
    <s v="gillhell@uk.com"/>
    <x v="0"/>
    <n v="150"/>
    <n v="200"/>
    <n v="814"/>
    <n v="162800"/>
    <n v="40700"/>
    <x v="3"/>
    <s v="Southeast"/>
    <s v="January"/>
    <n v="2019"/>
    <s v="Francophone"/>
    <x v="0"/>
  </r>
  <r>
    <n v="10270"/>
    <x v="9"/>
    <s v="smithMan@yahoo.com"/>
    <x v="1"/>
    <n v="250"/>
    <n v="500"/>
    <n v="863"/>
    <n v="431500"/>
    <n v="215750"/>
    <x v="4"/>
    <s v="west"/>
    <s v="February"/>
    <n v="2018"/>
    <s v="Francophone"/>
    <x v="0"/>
  </r>
  <r>
    <n v="10271"/>
    <x v="3"/>
    <s v="jone.ai@yahoo.com"/>
    <x v="2"/>
    <n v="180"/>
    <n v="450"/>
    <n v="829"/>
    <n v="373050"/>
    <n v="223830"/>
    <x v="0"/>
    <s v="southsouth"/>
    <s v="March"/>
    <n v="2019"/>
    <s v="Anglophone"/>
    <x v="0"/>
  </r>
  <r>
    <n v="10272"/>
    <x v="2"/>
    <s v="sorvi2000@gmail.com"/>
    <x v="3"/>
    <n v="170"/>
    <n v="250"/>
    <n v="747"/>
    <n v="186750"/>
    <n v="59760"/>
    <x v="1"/>
    <s v="northwest"/>
    <s v="April"/>
    <n v="2017"/>
    <s v="Anglophone"/>
    <x v="0"/>
  </r>
  <r>
    <n v="10273"/>
    <x v="0"/>
    <s v="jard@gmail.com"/>
    <x v="4"/>
    <n v="150"/>
    <n v="200"/>
    <n v="961"/>
    <n v="192200"/>
    <n v="48050"/>
    <x v="2"/>
    <s v="northeast"/>
    <s v="May"/>
    <n v="2018"/>
    <s v="Francophone"/>
    <x v="0"/>
  </r>
  <r>
    <n v="10274"/>
    <x v="4"/>
    <s v="andy@gmail.com"/>
    <x v="5"/>
    <n v="80"/>
    <n v="150"/>
    <n v="803"/>
    <n v="120450"/>
    <n v="56210"/>
    <x v="3"/>
    <s v="northcentral"/>
    <s v="June"/>
    <n v="2019"/>
    <s v="Francophone"/>
    <x v="1"/>
  </r>
  <r>
    <n v="10275"/>
    <x v="7"/>
    <s v="howard_freeman@yahoo.com"/>
    <x v="6"/>
    <n v="90"/>
    <n v="150"/>
    <n v="875"/>
    <n v="131250"/>
    <n v="52500"/>
    <x v="4"/>
    <s v="Southeast"/>
    <s v="July"/>
    <n v="2017"/>
    <s v="Francophone"/>
    <x v="1"/>
  </r>
  <r>
    <n v="10276"/>
    <x v="1"/>
    <s v="gillhell@uk.com"/>
    <x v="0"/>
    <n v="150"/>
    <n v="200"/>
    <n v="750"/>
    <n v="150000"/>
    <n v="37500"/>
    <x v="0"/>
    <s v="west"/>
    <s v="August"/>
    <n v="2018"/>
    <s v="Anglophone"/>
    <x v="0"/>
  </r>
  <r>
    <n v="10277"/>
    <x v="1"/>
    <s v="gillhell@uk.com"/>
    <x v="1"/>
    <n v="250"/>
    <n v="500"/>
    <n v="850"/>
    <n v="425000"/>
    <n v="212500"/>
    <x v="1"/>
    <s v="southsouth"/>
    <s v="September"/>
    <n v="2017"/>
    <s v="Anglophone"/>
    <x v="0"/>
  </r>
  <r>
    <n v="10278"/>
    <x v="10"/>
    <s v="kivel_go@yahoo.com"/>
    <x v="2"/>
    <n v="180"/>
    <n v="450"/>
    <n v="710"/>
    <n v="319500"/>
    <n v="191700"/>
    <x v="2"/>
    <s v="northwest"/>
    <s v="October"/>
    <n v="2018"/>
    <s v="Francophone"/>
    <x v="0"/>
  </r>
  <r>
    <n v="10279"/>
    <x v="3"/>
    <s v="jone.ai@yahoo.com"/>
    <x v="3"/>
    <n v="170"/>
    <n v="250"/>
    <n v="881"/>
    <n v="220250"/>
    <n v="70480"/>
    <x v="3"/>
    <s v="northeast"/>
    <s v="November"/>
    <n v="2017"/>
    <s v="Francophone"/>
    <x v="0"/>
  </r>
  <r>
    <n v="10280"/>
    <x v="6"/>
    <s v="morganny@gmail.com"/>
    <x v="4"/>
    <n v="150"/>
    <n v="200"/>
    <n v="777"/>
    <n v="155400"/>
    <n v="38850"/>
    <x v="4"/>
    <s v="northcentral"/>
    <s v="December"/>
    <n v="2018"/>
    <s v="Francophone"/>
    <x v="0"/>
  </r>
  <r>
    <n v="10281"/>
    <x v="10"/>
    <s v="kivel_go@yahoo.com"/>
    <x v="5"/>
    <n v="80"/>
    <n v="150"/>
    <n v="708"/>
    <n v="106200"/>
    <n v="49560"/>
    <x v="0"/>
    <s v="Southeast"/>
    <s v="January"/>
    <n v="2017"/>
    <s v="Anglophone"/>
    <x v="1"/>
  </r>
  <r>
    <n v="10282"/>
    <x v="2"/>
    <s v="sorvi2000@gmail.com"/>
    <x v="6"/>
    <n v="90"/>
    <n v="150"/>
    <n v="996"/>
    <n v="149400"/>
    <n v="59760"/>
    <x v="1"/>
    <s v="west"/>
    <s v="February"/>
    <n v="2019"/>
    <s v="Anglophone"/>
    <x v="1"/>
  </r>
  <r>
    <n v="10283"/>
    <x v="1"/>
    <s v="gillhell@uk.com"/>
    <x v="0"/>
    <n v="150"/>
    <n v="200"/>
    <n v="870"/>
    <n v="174000"/>
    <n v="43500"/>
    <x v="2"/>
    <s v="southsouth"/>
    <s v="March"/>
    <n v="2019"/>
    <s v="Francophone"/>
    <x v="0"/>
  </r>
  <r>
    <n v="10284"/>
    <x v="2"/>
    <s v="sorvi2000@gmail.com"/>
    <x v="1"/>
    <n v="250"/>
    <n v="500"/>
    <n v="972"/>
    <n v="486000"/>
    <n v="243000"/>
    <x v="3"/>
    <s v="northwest"/>
    <s v="April"/>
    <n v="2019"/>
    <s v="Francophone"/>
    <x v="0"/>
  </r>
  <r>
    <n v="10285"/>
    <x v="5"/>
    <s v="thomp@uk.com"/>
    <x v="2"/>
    <n v="180"/>
    <n v="450"/>
    <n v="989"/>
    <n v="445050"/>
    <n v="267030"/>
    <x v="4"/>
    <s v="northeast"/>
    <s v="May"/>
    <n v="2018"/>
    <s v="Francophone"/>
    <x v="0"/>
  </r>
  <r>
    <n v="10286"/>
    <x v="4"/>
    <s v="andy@gmail.com"/>
    <x v="3"/>
    <n v="170"/>
    <n v="250"/>
    <n v="936"/>
    <n v="234000"/>
    <n v="74880"/>
    <x v="0"/>
    <s v="northcentral"/>
    <s v="June"/>
    <n v="2018"/>
    <s v="Anglophone"/>
    <x v="0"/>
  </r>
  <r>
    <n v="10287"/>
    <x v="0"/>
    <s v="jard@gmail.com"/>
    <x v="4"/>
    <n v="150"/>
    <n v="200"/>
    <n v="1000"/>
    <n v="200000"/>
    <n v="50000"/>
    <x v="1"/>
    <s v="Southeast"/>
    <s v="July"/>
    <n v="2017"/>
    <s v="Anglophone"/>
    <x v="0"/>
  </r>
  <r>
    <n v="10288"/>
    <x v="0"/>
    <s v="jard@gmail.com"/>
    <x v="5"/>
    <n v="80"/>
    <n v="150"/>
    <n v="947"/>
    <n v="142050"/>
    <n v="66290"/>
    <x v="2"/>
    <s v="west"/>
    <s v="August"/>
    <n v="2018"/>
    <s v="Francophone"/>
    <x v="1"/>
  </r>
  <r>
    <n v="10289"/>
    <x v="4"/>
    <s v="andy@gmail.com"/>
    <x v="6"/>
    <n v="90"/>
    <n v="150"/>
    <n v="762"/>
    <n v="114300"/>
    <n v="45720"/>
    <x v="3"/>
    <s v="southsouth"/>
    <s v="September"/>
    <n v="2019"/>
    <s v="Francophone"/>
    <x v="1"/>
  </r>
  <r>
    <n v="10290"/>
    <x v="3"/>
    <s v="jone.ai@yahoo.com"/>
    <x v="0"/>
    <n v="150"/>
    <n v="200"/>
    <n v="742"/>
    <n v="148400"/>
    <n v="37100"/>
    <x v="4"/>
    <s v="northwest"/>
    <s v="October"/>
    <n v="2017"/>
    <s v="Francophone"/>
    <x v="0"/>
  </r>
  <r>
    <n v="10291"/>
    <x v="6"/>
    <s v="morganny@gmail.com"/>
    <x v="1"/>
    <n v="250"/>
    <n v="500"/>
    <n v="902"/>
    <n v="451000"/>
    <n v="225500"/>
    <x v="0"/>
    <s v="northeast"/>
    <s v="November"/>
    <n v="2019"/>
    <s v="Anglophone"/>
    <x v="0"/>
  </r>
  <r>
    <n v="10292"/>
    <x v="10"/>
    <s v="kivel_go@yahoo.com"/>
    <x v="2"/>
    <n v="180"/>
    <n v="450"/>
    <n v="840"/>
    <n v="378000"/>
    <n v="226800"/>
    <x v="1"/>
    <s v="northcentral"/>
    <s v="December"/>
    <n v="2018"/>
    <s v="Anglophone"/>
    <x v="0"/>
  </r>
  <r>
    <n v="10293"/>
    <x v="2"/>
    <s v="sorvi2000@gmail.com"/>
    <x v="3"/>
    <n v="170"/>
    <n v="250"/>
    <n v="773"/>
    <n v="193250"/>
    <n v="61840"/>
    <x v="2"/>
    <s v="Southeast"/>
    <s v="January"/>
    <n v="2017"/>
    <s v="Francophone"/>
    <x v="0"/>
  </r>
  <r>
    <n v="10294"/>
    <x v="1"/>
    <s v="gillhell@uk.com"/>
    <x v="4"/>
    <n v="150"/>
    <n v="200"/>
    <n v="934"/>
    <n v="186800"/>
    <n v="46700"/>
    <x v="3"/>
    <s v="west"/>
    <s v="February"/>
    <n v="2018"/>
    <s v="Francophone"/>
    <x v="0"/>
  </r>
  <r>
    <n v="10295"/>
    <x v="2"/>
    <s v="sorvi2000@gmail.com"/>
    <x v="5"/>
    <n v="80"/>
    <n v="150"/>
    <n v="983"/>
    <n v="147450"/>
    <n v="68810"/>
    <x v="4"/>
    <s v="southsouth"/>
    <s v="March"/>
    <n v="2017"/>
    <s v="Francophone"/>
    <x v="1"/>
  </r>
  <r>
    <n v="10296"/>
    <x v="5"/>
    <s v="thomp@uk.com"/>
    <x v="6"/>
    <n v="90"/>
    <n v="150"/>
    <n v="729"/>
    <n v="109350"/>
    <n v="43740"/>
    <x v="0"/>
    <s v="northwest"/>
    <s v="April"/>
    <n v="2018"/>
    <s v="Anglophone"/>
    <x v="1"/>
  </r>
  <r>
    <n v="10297"/>
    <x v="4"/>
    <s v="andy@gmail.com"/>
    <x v="0"/>
    <n v="150"/>
    <n v="200"/>
    <n v="786"/>
    <n v="157200"/>
    <n v="39300"/>
    <x v="1"/>
    <s v="northeast"/>
    <s v="May"/>
    <n v="2017"/>
    <s v="Anglophone"/>
    <x v="0"/>
  </r>
  <r>
    <n v="10298"/>
    <x v="0"/>
    <s v="jard@gmail.com"/>
    <x v="1"/>
    <n v="250"/>
    <n v="500"/>
    <n v="843"/>
    <n v="421500"/>
    <n v="210750"/>
    <x v="2"/>
    <s v="northcentral"/>
    <s v="June"/>
    <n v="2018"/>
    <s v="Francophone"/>
    <x v="0"/>
  </r>
  <r>
    <n v="10299"/>
    <x v="0"/>
    <s v="jard@gmail.com"/>
    <x v="2"/>
    <n v="180"/>
    <n v="450"/>
    <n v="897"/>
    <n v="403650"/>
    <n v="242190"/>
    <x v="3"/>
    <s v="Southeast"/>
    <s v="July"/>
    <n v="2017"/>
    <s v="Francophone"/>
    <x v="0"/>
  </r>
  <r>
    <n v="10300"/>
    <x v="4"/>
    <s v="andy@gmail.com"/>
    <x v="3"/>
    <n v="170"/>
    <n v="250"/>
    <n v="733"/>
    <n v="183250"/>
    <n v="58640"/>
    <x v="4"/>
    <s v="west"/>
    <s v="August"/>
    <n v="2018"/>
    <s v="Francophone"/>
    <x v="0"/>
  </r>
  <r>
    <n v="10301"/>
    <x v="0"/>
    <s v="jard@gmail.com"/>
    <x v="4"/>
    <n v="150"/>
    <n v="200"/>
    <n v="939"/>
    <n v="187800"/>
    <n v="46950"/>
    <x v="0"/>
    <s v="southsouth"/>
    <s v="September"/>
    <n v="2019"/>
    <s v="Anglophone"/>
    <x v="0"/>
  </r>
  <r>
    <n v="10302"/>
    <x v="1"/>
    <s v="gillhell@uk.com"/>
    <x v="5"/>
    <n v="80"/>
    <n v="150"/>
    <n v="836"/>
    <n v="125400"/>
    <n v="58520"/>
    <x v="1"/>
    <s v="northwest"/>
    <s v="October"/>
    <n v="2017"/>
    <s v="Anglophone"/>
    <x v="1"/>
  </r>
  <r>
    <n v="10303"/>
    <x v="2"/>
    <s v="sorvi2000@gmail.com"/>
    <x v="6"/>
    <n v="90"/>
    <n v="150"/>
    <n v="874"/>
    <n v="131100"/>
    <n v="52440"/>
    <x v="2"/>
    <s v="northeast"/>
    <s v="November"/>
    <n v="2018"/>
    <s v="Francophone"/>
    <x v="1"/>
  </r>
  <r>
    <n v="10304"/>
    <x v="3"/>
    <s v="jone.ai@yahoo.com"/>
    <x v="0"/>
    <n v="150"/>
    <n v="200"/>
    <n v="764"/>
    <n v="152800"/>
    <n v="38200"/>
    <x v="3"/>
    <s v="northcentral"/>
    <s v="December"/>
    <n v="2018"/>
    <s v="Francophone"/>
    <x v="0"/>
  </r>
  <r>
    <n v="10305"/>
    <x v="4"/>
    <s v="andy@gmail.com"/>
    <x v="1"/>
    <n v="250"/>
    <n v="500"/>
    <n v="920"/>
    <n v="460000"/>
    <n v="230000"/>
    <x v="4"/>
    <s v="Southeast"/>
    <s v="January"/>
    <n v="2019"/>
    <s v="Francophone"/>
    <x v="0"/>
  </r>
  <r>
    <n v="10306"/>
    <x v="0"/>
    <s v="jard@gmail.com"/>
    <x v="2"/>
    <n v="180"/>
    <n v="450"/>
    <n v="950"/>
    <n v="427500"/>
    <n v="256500"/>
    <x v="0"/>
    <s v="west"/>
    <s v="February"/>
    <n v="2017"/>
    <s v="Anglophone"/>
    <x v="0"/>
  </r>
  <r>
    <n v="10307"/>
    <x v="5"/>
    <s v="thomp@uk.com"/>
    <x v="3"/>
    <n v="170"/>
    <n v="250"/>
    <n v="841"/>
    <n v="210250"/>
    <n v="67280"/>
    <x v="1"/>
    <s v="southsouth"/>
    <s v="March"/>
    <n v="2017"/>
    <s v="Anglophone"/>
    <x v="0"/>
  </r>
  <r>
    <n v="10308"/>
    <x v="3"/>
    <s v="jone.ai@yahoo.com"/>
    <x v="4"/>
    <n v="150"/>
    <n v="200"/>
    <n v="801"/>
    <n v="160200"/>
    <n v="40050"/>
    <x v="2"/>
    <s v="northwest"/>
    <s v="April"/>
    <n v="2017"/>
    <s v="Francophone"/>
    <x v="0"/>
  </r>
  <r>
    <n v="10309"/>
    <x v="6"/>
    <s v="morganny@gmail.com"/>
    <x v="5"/>
    <n v="80"/>
    <n v="150"/>
    <n v="867"/>
    <n v="130050"/>
    <n v="60690"/>
    <x v="3"/>
    <s v="northeast"/>
    <s v="May"/>
    <n v="2018"/>
    <s v="Francophone"/>
    <x v="1"/>
  </r>
  <r>
    <n v="10310"/>
    <x v="7"/>
    <s v="howard_freeman@yahoo.com"/>
    <x v="6"/>
    <n v="90"/>
    <n v="150"/>
    <n v="721"/>
    <n v="108150"/>
    <n v="43260"/>
    <x v="4"/>
    <s v="northcentral"/>
    <s v="June"/>
    <n v="2017"/>
    <s v="Francophone"/>
    <x v="1"/>
  </r>
  <r>
    <n v="10311"/>
    <x v="8"/>
    <s v="parentty@uk.com"/>
    <x v="0"/>
    <n v="150"/>
    <n v="200"/>
    <n v="755"/>
    <n v="151000"/>
    <n v="37750"/>
    <x v="0"/>
    <s v="Southeast"/>
    <s v="July"/>
    <n v="2017"/>
    <s v="Anglophone"/>
    <x v="0"/>
  </r>
  <r>
    <n v="10312"/>
    <x v="3"/>
    <s v="jone.ai@yahoo.com"/>
    <x v="1"/>
    <n v="250"/>
    <n v="500"/>
    <n v="937"/>
    <n v="468500"/>
    <n v="234250"/>
    <x v="1"/>
    <s v="west"/>
    <s v="August"/>
    <n v="2018"/>
    <s v="Anglophone"/>
    <x v="0"/>
  </r>
  <r>
    <n v="10313"/>
    <x v="9"/>
    <s v="smithMan@yahoo.com"/>
    <x v="2"/>
    <n v="180"/>
    <n v="450"/>
    <n v="865"/>
    <n v="389250"/>
    <n v="233550"/>
    <x v="2"/>
    <s v="southsouth"/>
    <s v="September"/>
    <n v="2017"/>
    <s v="Francophone"/>
    <x v="0"/>
  </r>
  <r>
    <n v="10314"/>
    <x v="3"/>
    <s v="jone.ai@yahoo.com"/>
    <x v="3"/>
    <n v="170"/>
    <n v="250"/>
    <n v="736"/>
    <n v="184000"/>
    <n v="58880"/>
    <x v="3"/>
    <s v="northwest"/>
    <s v="October"/>
    <n v="2018"/>
    <s v="Francophone"/>
    <x v="0"/>
  </r>
  <r>
    <n v="10315"/>
    <x v="0"/>
    <s v="jard@gmail.com"/>
    <x v="4"/>
    <n v="150"/>
    <n v="200"/>
    <n v="982"/>
    <n v="196400"/>
    <n v="49100"/>
    <x v="4"/>
    <s v="northeast"/>
    <s v="November"/>
    <n v="2017"/>
    <s v="Francophone"/>
    <x v="0"/>
  </r>
  <r>
    <n v="10316"/>
    <x v="1"/>
    <s v="gillhell@uk.com"/>
    <x v="5"/>
    <n v="80"/>
    <n v="150"/>
    <n v="850"/>
    <n v="127500"/>
    <n v="59500"/>
    <x v="0"/>
    <s v="northcentral"/>
    <s v="December"/>
    <n v="2017"/>
    <s v="Anglophone"/>
    <x v="1"/>
  </r>
  <r>
    <n v="10317"/>
    <x v="2"/>
    <s v="sorvi2000@gmail.com"/>
    <x v="6"/>
    <n v="90"/>
    <n v="150"/>
    <n v="754"/>
    <n v="113100"/>
    <n v="45240"/>
    <x v="1"/>
    <s v="Southeast"/>
    <s v="January"/>
    <n v="2017"/>
    <s v="Anglophone"/>
    <x v="1"/>
  </r>
  <r>
    <n v="10318"/>
    <x v="3"/>
    <s v="jone.ai@yahoo.com"/>
    <x v="0"/>
    <n v="150"/>
    <n v="200"/>
    <n v="912"/>
    <n v="182400"/>
    <n v="45600"/>
    <x v="2"/>
    <s v="west"/>
    <s v="February"/>
    <n v="2018"/>
    <s v="Francophone"/>
    <x v="0"/>
  </r>
  <r>
    <n v="10319"/>
    <x v="4"/>
    <s v="andy@gmail.com"/>
    <x v="1"/>
    <n v="250"/>
    <n v="500"/>
    <n v="881"/>
    <n v="440500"/>
    <n v="220250"/>
    <x v="3"/>
    <s v="southsouth"/>
    <s v="March"/>
    <n v="2017"/>
    <s v="Francophone"/>
    <x v="0"/>
  </r>
  <r>
    <n v="10320"/>
    <x v="0"/>
    <s v="jard@gmail.com"/>
    <x v="2"/>
    <n v="180"/>
    <n v="450"/>
    <n v="818"/>
    <n v="368100"/>
    <n v="220860"/>
    <x v="4"/>
    <s v="northwest"/>
    <s v="April"/>
    <n v="2017"/>
    <s v="Francophone"/>
    <x v="0"/>
  </r>
  <r>
    <n v="10321"/>
    <x v="5"/>
    <s v="thomp@uk.com"/>
    <x v="3"/>
    <n v="170"/>
    <n v="250"/>
    <n v="781"/>
    <n v="195250"/>
    <n v="62480"/>
    <x v="0"/>
    <s v="northeast"/>
    <s v="May"/>
    <n v="2017"/>
    <s v="Anglophone"/>
    <x v="0"/>
  </r>
  <r>
    <n v="10322"/>
    <x v="3"/>
    <s v="jone.ai@yahoo.com"/>
    <x v="4"/>
    <n v="150"/>
    <n v="200"/>
    <n v="910"/>
    <n v="182000"/>
    <n v="45500"/>
    <x v="1"/>
    <s v="northcentral"/>
    <s v="June"/>
    <n v="2018"/>
    <s v="Anglophone"/>
    <x v="0"/>
  </r>
  <r>
    <n v="10323"/>
    <x v="6"/>
    <s v="morganny@gmail.com"/>
    <x v="5"/>
    <n v="80"/>
    <n v="150"/>
    <n v="704"/>
    <n v="105600"/>
    <n v="49280"/>
    <x v="2"/>
    <s v="Southeast"/>
    <s v="July"/>
    <n v="2019"/>
    <s v="Francophone"/>
    <x v="1"/>
  </r>
  <r>
    <n v="10324"/>
    <x v="7"/>
    <s v="howard_freeman@yahoo.com"/>
    <x v="6"/>
    <n v="90"/>
    <n v="150"/>
    <n v="824"/>
    <n v="123600"/>
    <n v="49440"/>
    <x v="3"/>
    <s v="west"/>
    <s v="August"/>
    <n v="2018"/>
    <s v="Francophone"/>
    <x v="1"/>
  </r>
  <r>
    <n v="10325"/>
    <x v="8"/>
    <s v="parentty@uk.com"/>
    <x v="0"/>
    <n v="150"/>
    <n v="200"/>
    <n v="710"/>
    <n v="142000"/>
    <n v="35500"/>
    <x v="4"/>
    <s v="southsouth"/>
    <s v="September"/>
    <n v="2019"/>
    <s v="Francophone"/>
    <x v="0"/>
  </r>
  <r>
    <n v="10326"/>
    <x v="3"/>
    <s v="jone.ai@yahoo.com"/>
    <x v="1"/>
    <n v="250"/>
    <n v="500"/>
    <n v="913"/>
    <n v="456500"/>
    <n v="228250"/>
    <x v="0"/>
    <s v="northwest"/>
    <s v="October"/>
    <n v="2018"/>
    <s v="Anglophone"/>
    <x v="0"/>
  </r>
  <r>
    <n v="10327"/>
    <x v="9"/>
    <s v="smithMan@yahoo.com"/>
    <x v="2"/>
    <n v="180"/>
    <n v="450"/>
    <n v="983"/>
    <n v="442350"/>
    <n v="265410"/>
    <x v="1"/>
    <s v="northeast"/>
    <s v="November"/>
    <n v="2018"/>
    <s v="Anglophone"/>
    <x v="0"/>
  </r>
  <r>
    <n v="10328"/>
    <x v="3"/>
    <s v="jone.ai@yahoo.com"/>
    <x v="3"/>
    <n v="170"/>
    <n v="250"/>
    <n v="706"/>
    <n v="176500"/>
    <n v="56480"/>
    <x v="2"/>
    <s v="northcentral"/>
    <s v="December"/>
    <n v="2019"/>
    <s v="Francophone"/>
    <x v="0"/>
  </r>
  <r>
    <n v="10329"/>
    <x v="6"/>
    <s v="morganny@gmail.com"/>
    <x v="4"/>
    <n v="150"/>
    <n v="200"/>
    <n v="819"/>
    <n v="163800"/>
    <n v="40950"/>
    <x v="3"/>
    <s v="Southeast"/>
    <s v="January"/>
    <n v="2018"/>
    <s v="Francophone"/>
    <x v="0"/>
  </r>
  <r>
    <n v="10330"/>
    <x v="3"/>
    <s v="jone.ai@yahoo.com"/>
    <x v="5"/>
    <n v="80"/>
    <n v="150"/>
    <n v="762"/>
    <n v="114300"/>
    <n v="53340"/>
    <x v="4"/>
    <s v="west"/>
    <s v="February"/>
    <n v="2018"/>
    <s v="Francophone"/>
    <x v="1"/>
  </r>
  <r>
    <n v="10331"/>
    <x v="8"/>
    <s v="parentty@uk.com"/>
    <x v="6"/>
    <n v="90"/>
    <n v="150"/>
    <n v="760"/>
    <n v="114000"/>
    <n v="45600"/>
    <x v="0"/>
    <s v="southsouth"/>
    <s v="March"/>
    <n v="2019"/>
    <s v="Anglophone"/>
    <x v="1"/>
  </r>
  <r>
    <n v="10332"/>
    <x v="10"/>
    <s v="kivel_go@yahoo.com"/>
    <x v="0"/>
    <n v="150"/>
    <n v="200"/>
    <n v="872"/>
    <n v="174400"/>
    <n v="43600"/>
    <x v="1"/>
    <s v="northwest"/>
    <s v="April"/>
    <n v="2019"/>
    <s v="Anglophone"/>
    <x v="0"/>
  </r>
  <r>
    <n v="10333"/>
    <x v="9"/>
    <s v="smithMan@yahoo.com"/>
    <x v="1"/>
    <n v="250"/>
    <n v="500"/>
    <n v="723"/>
    <n v="361500"/>
    <n v="180750"/>
    <x v="2"/>
    <s v="northeast"/>
    <s v="May"/>
    <n v="2019"/>
    <s v="Francophone"/>
    <x v="0"/>
  </r>
  <r>
    <n v="10334"/>
    <x v="8"/>
    <s v="parentty@uk.com"/>
    <x v="2"/>
    <n v="180"/>
    <n v="450"/>
    <n v="913"/>
    <n v="410850"/>
    <n v="246510"/>
    <x v="3"/>
    <s v="northcentral"/>
    <s v="June"/>
    <n v="2019"/>
    <s v="Francophone"/>
    <x v="0"/>
  </r>
  <r>
    <n v="10335"/>
    <x v="1"/>
    <s v="gillhell@uk.com"/>
    <x v="3"/>
    <n v="170"/>
    <n v="250"/>
    <n v="852"/>
    <n v="213000"/>
    <n v="68160"/>
    <x v="4"/>
    <s v="Southeast"/>
    <s v="July"/>
    <n v="2017"/>
    <s v="Francophone"/>
    <x v="0"/>
  </r>
  <r>
    <n v="10336"/>
    <x v="9"/>
    <s v="smithMan@yahoo.com"/>
    <x v="4"/>
    <n v="150"/>
    <n v="200"/>
    <n v="856"/>
    <n v="171200"/>
    <n v="42800"/>
    <x v="0"/>
    <s v="west"/>
    <s v="August"/>
    <n v="2019"/>
    <s v="Anglophone"/>
    <x v="0"/>
  </r>
  <r>
    <n v="10337"/>
    <x v="3"/>
    <s v="jone.ai@yahoo.com"/>
    <x v="5"/>
    <n v="80"/>
    <n v="150"/>
    <n v="827"/>
    <n v="124050"/>
    <n v="57890"/>
    <x v="1"/>
    <s v="southsouth"/>
    <s v="September"/>
    <n v="2019"/>
    <s v="Anglophone"/>
    <x v="1"/>
  </r>
  <r>
    <n v="10338"/>
    <x v="2"/>
    <s v="sorvi2000@gmail.com"/>
    <x v="6"/>
    <n v="90"/>
    <n v="150"/>
    <n v="735"/>
    <n v="110250"/>
    <n v="44100"/>
    <x v="2"/>
    <s v="northwest"/>
    <s v="October"/>
    <n v="2017"/>
    <s v="Francophone"/>
    <x v="1"/>
  </r>
  <r>
    <n v="10339"/>
    <x v="0"/>
    <s v="jard@gmail.com"/>
    <x v="0"/>
    <n v="150"/>
    <n v="200"/>
    <n v="819"/>
    <n v="163800"/>
    <n v="40950"/>
    <x v="3"/>
    <s v="northeast"/>
    <s v="November"/>
    <n v="2019"/>
    <s v="Francophone"/>
    <x v="0"/>
  </r>
  <r>
    <n v="10340"/>
    <x v="4"/>
    <s v="andy@gmail.com"/>
    <x v="1"/>
    <n v="250"/>
    <n v="500"/>
    <n v="882"/>
    <n v="441000"/>
    <n v="220500"/>
    <x v="4"/>
    <s v="northcentral"/>
    <s v="December"/>
    <n v="2018"/>
    <s v="Francophone"/>
    <x v="0"/>
  </r>
  <r>
    <n v="10341"/>
    <x v="7"/>
    <s v="howard_freeman@yahoo.com"/>
    <x v="2"/>
    <n v="180"/>
    <n v="450"/>
    <n v="897"/>
    <n v="403650"/>
    <n v="242190"/>
    <x v="0"/>
    <s v="Southeast"/>
    <s v="January"/>
    <n v="2017"/>
    <s v="Anglophone"/>
    <x v="0"/>
  </r>
  <r>
    <n v="10342"/>
    <x v="1"/>
    <s v="gillhell@uk.com"/>
    <x v="3"/>
    <n v="170"/>
    <n v="250"/>
    <n v="922"/>
    <n v="230500"/>
    <n v="73760"/>
    <x v="1"/>
    <s v="west"/>
    <s v="February"/>
    <n v="2018"/>
    <s v="Anglophone"/>
    <x v="0"/>
  </r>
  <r>
    <n v="10343"/>
    <x v="1"/>
    <s v="gillhell@uk.com"/>
    <x v="4"/>
    <n v="150"/>
    <n v="200"/>
    <n v="838"/>
    <n v="167600"/>
    <n v="41900"/>
    <x v="2"/>
    <s v="southsouth"/>
    <s v="March"/>
    <n v="2017"/>
    <s v="Francophone"/>
    <x v="0"/>
  </r>
  <r>
    <n v="10344"/>
    <x v="10"/>
    <s v="kivel_go@yahoo.com"/>
    <x v="5"/>
    <n v="80"/>
    <n v="150"/>
    <n v="859"/>
    <n v="128850"/>
    <n v="60130"/>
    <x v="3"/>
    <s v="northwest"/>
    <s v="April"/>
    <n v="2018"/>
    <s v="Francophone"/>
    <x v="1"/>
  </r>
  <r>
    <n v="10345"/>
    <x v="3"/>
    <s v="jone.ai@yahoo.com"/>
    <x v="6"/>
    <n v="90"/>
    <n v="150"/>
    <n v="950"/>
    <n v="142500"/>
    <n v="57000"/>
    <x v="4"/>
    <s v="northeast"/>
    <s v="May"/>
    <n v="2017"/>
    <s v="Francophone"/>
    <x v="1"/>
  </r>
  <r>
    <n v="10346"/>
    <x v="6"/>
    <s v="morganny@gmail.com"/>
    <x v="0"/>
    <n v="150"/>
    <n v="200"/>
    <n v="706"/>
    <n v="141200"/>
    <n v="35300"/>
    <x v="0"/>
    <s v="northcentral"/>
    <s v="June"/>
    <n v="2019"/>
    <s v="Anglophone"/>
    <x v="0"/>
  </r>
  <r>
    <n v="10347"/>
    <x v="10"/>
    <s v="kivel_go@yahoo.com"/>
    <x v="1"/>
    <n v="250"/>
    <n v="500"/>
    <n v="702"/>
    <n v="351000"/>
    <n v="175500"/>
    <x v="1"/>
    <s v="Southeast"/>
    <s v="July"/>
    <n v="2018"/>
    <s v="Anglophone"/>
    <x v="0"/>
  </r>
  <r>
    <n v="10348"/>
    <x v="2"/>
    <s v="sorvi2000@gmail.com"/>
    <x v="2"/>
    <n v="180"/>
    <n v="450"/>
    <n v="899"/>
    <n v="404550"/>
    <n v="242730"/>
    <x v="2"/>
    <s v="west"/>
    <s v="August"/>
    <n v="2019"/>
    <s v="Francophone"/>
    <x v="0"/>
  </r>
  <r>
    <n v="10349"/>
    <x v="1"/>
    <s v="gillhell@uk.com"/>
    <x v="3"/>
    <n v="170"/>
    <n v="250"/>
    <n v="738"/>
    <n v="184500"/>
    <n v="59040"/>
    <x v="3"/>
    <s v="southsouth"/>
    <s v="September"/>
    <n v="2019"/>
    <s v="Francophone"/>
    <x v="0"/>
  </r>
  <r>
    <n v="10350"/>
    <x v="2"/>
    <s v="sorvi2000@gmail.com"/>
    <x v="4"/>
    <n v="150"/>
    <n v="200"/>
    <n v="917"/>
    <n v="183400"/>
    <n v="45850"/>
    <x v="4"/>
    <s v="northwest"/>
    <s v="October"/>
    <n v="2017"/>
    <s v="Francophone"/>
    <x v="0"/>
  </r>
  <r>
    <n v="10351"/>
    <x v="5"/>
    <s v="thomp@uk.com"/>
    <x v="5"/>
    <n v="80"/>
    <n v="150"/>
    <n v="783"/>
    <n v="117450"/>
    <n v="54810"/>
    <x v="0"/>
    <s v="northeast"/>
    <s v="November"/>
    <n v="2019"/>
    <s v="Anglophone"/>
    <x v="1"/>
  </r>
  <r>
    <n v="10352"/>
    <x v="4"/>
    <s v="andy@gmail.com"/>
    <x v="6"/>
    <n v="90"/>
    <n v="150"/>
    <n v="831"/>
    <n v="124650"/>
    <n v="49860"/>
    <x v="1"/>
    <s v="northcentral"/>
    <s v="December"/>
    <n v="2019"/>
    <s v="Anglophone"/>
    <x v="1"/>
  </r>
  <r>
    <n v="10353"/>
    <x v="0"/>
    <s v="jard@gmail.com"/>
    <x v="0"/>
    <n v="150"/>
    <n v="200"/>
    <n v="869"/>
    <n v="173800"/>
    <n v="43450"/>
    <x v="2"/>
    <s v="Southeast"/>
    <s v="January"/>
    <n v="2019"/>
    <s v="Francophone"/>
    <x v="0"/>
  </r>
  <r>
    <n v="10354"/>
    <x v="0"/>
    <s v="jard@gmail.com"/>
    <x v="1"/>
    <n v="250"/>
    <n v="500"/>
    <n v="750"/>
    <n v="375000"/>
    <n v="187500"/>
    <x v="3"/>
    <s v="west"/>
    <s v="February"/>
    <n v="2017"/>
    <s v="Francophone"/>
    <x v="0"/>
  </r>
  <r>
    <n v="10355"/>
    <x v="4"/>
    <s v="andy@gmail.com"/>
    <x v="2"/>
    <n v="180"/>
    <n v="450"/>
    <n v="931"/>
    <n v="418950"/>
    <n v="251370"/>
    <x v="4"/>
    <s v="southsouth"/>
    <s v="March"/>
    <n v="2019"/>
    <s v="Francophone"/>
    <x v="0"/>
  </r>
  <r>
    <n v="10356"/>
    <x v="0"/>
    <s v="jard@gmail.com"/>
    <x v="3"/>
    <n v="170"/>
    <n v="250"/>
    <n v="972"/>
    <n v="243000"/>
    <n v="77760"/>
    <x v="0"/>
    <s v="northwest"/>
    <s v="April"/>
    <n v="2017"/>
    <s v="Anglophone"/>
    <x v="0"/>
  </r>
  <r>
    <n v="10357"/>
    <x v="1"/>
    <s v="gillhell@uk.com"/>
    <x v="4"/>
    <n v="150"/>
    <n v="200"/>
    <n v="985"/>
    <n v="197000"/>
    <n v="49250"/>
    <x v="1"/>
    <s v="northeast"/>
    <s v="May"/>
    <n v="2017"/>
    <s v="Anglophone"/>
    <x v="0"/>
  </r>
  <r>
    <n v="10358"/>
    <x v="2"/>
    <s v="sorvi2000@gmail.com"/>
    <x v="5"/>
    <n v="80"/>
    <n v="150"/>
    <n v="826"/>
    <n v="123900"/>
    <n v="57820"/>
    <x v="2"/>
    <s v="northcentral"/>
    <s v="June"/>
    <n v="2018"/>
    <s v="Francophone"/>
    <x v="1"/>
  </r>
  <r>
    <n v="10359"/>
    <x v="3"/>
    <s v="jone.ai@yahoo.com"/>
    <x v="6"/>
    <n v="90"/>
    <n v="150"/>
    <n v="907"/>
    <n v="136050"/>
    <n v="54420"/>
    <x v="3"/>
    <s v="Southeast"/>
    <s v="July"/>
    <n v="2018"/>
    <s v="Francophone"/>
    <x v="1"/>
  </r>
  <r>
    <n v="10360"/>
    <x v="4"/>
    <s v="andy@gmail.com"/>
    <x v="0"/>
    <n v="150"/>
    <n v="200"/>
    <n v="704"/>
    <n v="140800"/>
    <n v="35200"/>
    <x v="4"/>
    <s v="west"/>
    <s v="August"/>
    <n v="2019"/>
    <s v="Francophone"/>
    <x v="0"/>
  </r>
  <r>
    <n v="10361"/>
    <x v="0"/>
    <s v="jard@gmail.com"/>
    <x v="1"/>
    <n v="250"/>
    <n v="500"/>
    <n v="719"/>
    <n v="359500"/>
    <n v="179750"/>
    <x v="0"/>
    <s v="southsouth"/>
    <s v="September"/>
    <n v="2019"/>
    <s v="Anglophone"/>
    <x v="0"/>
  </r>
  <r>
    <n v="10362"/>
    <x v="5"/>
    <s v="thomp@uk.com"/>
    <x v="2"/>
    <n v="180"/>
    <n v="450"/>
    <n v="718"/>
    <n v="323100"/>
    <n v="193860"/>
    <x v="1"/>
    <s v="northwest"/>
    <s v="October"/>
    <n v="2018"/>
    <s v="Anglophone"/>
    <x v="0"/>
  </r>
  <r>
    <n v="10363"/>
    <x v="3"/>
    <s v="jone.ai@yahoo.com"/>
    <x v="3"/>
    <n v="170"/>
    <n v="250"/>
    <n v="879"/>
    <n v="219750"/>
    <n v="70320"/>
    <x v="2"/>
    <s v="northeast"/>
    <s v="November"/>
    <n v="2017"/>
    <s v="Francophone"/>
    <x v="0"/>
  </r>
  <r>
    <n v="10364"/>
    <x v="6"/>
    <s v="morganny@gmail.com"/>
    <x v="4"/>
    <n v="150"/>
    <n v="200"/>
    <n v="816"/>
    <n v="163200"/>
    <n v="40800"/>
    <x v="3"/>
    <s v="northcentral"/>
    <s v="December"/>
    <n v="2017"/>
    <s v="Francophone"/>
    <x v="0"/>
  </r>
  <r>
    <n v="10365"/>
    <x v="7"/>
    <s v="howard_freeman@yahoo.com"/>
    <x v="5"/>
    <n v="80"/>
    <n v="150"/>
    <n v="803"/>
    <n v="120450"/>
    <n v="56210"/>
    <x v="4"/>
    <s v="Southeast"/>
    <s v="January"/>
    <n v="2017"/>
    <s v="Francophone"/>
    <x v="1"/>
  </r>
  <r>
    <n v="10366"/>
    <x v="8"/>
    <s v="parentty@uk.com"/>
    <x v="6"/>
    <n v="90"/>
    <n v="150"/>
    <n v="744"/>
    <n v="111600"/>
    <n v="44640"/>
    <x v="0"/>
    <s v="west"/>
    <s v="February"/>
    <n v="2018"/>
    <s v="Anglophone"/>
    <x v="1"/>
  </r>
  <r>
    <n v="10367"/>
    <x v="3"/>
    <s v="jone.ai@yahoo.com"/>
    <x v="0"/>
    <n v="150"/>
    <n v="200"/>
    <n v="912"/>
    <n v="182400"/>
    <n v="45600"/>
    <x v="1"/>
    <s v="southsouth"/>
    <s v="March"/>
    <n v="2017"/>
    <s v="Anglophone"/>
    <x v="0"/>
  </r>
  <r>
    <n v="10368"/>
    <x v="9"/>
    <s v="smithMan@yahoo.com"/>
    <x v="1"/>
    <n v="250"/>
    <n v="500"/>
    <n v="801"/>
    <n v="400500"/>
    <n v="200250"/>
    <x v="2"/>
    <s v="northwest"/>
    <s v="April"/>
    <n v="2018"/>
    <s v="Francophone"/>
    <x v="0"/>
  </r>
  <r>
    <n v="10369"/>
    <x v="3"/>
    <s v="jone.ai@yahoo.com"/>
    <x v="2"/>
    <n v="180"/>
    <n v="450"/>
    <n v="720"/>
    <n v="324000"/>
    <n v="194400"/>
    <x v="3"/>
    <s v="northeast"/>
    <s v="May"/>
    <n v="2018"/>
    <s v="Francophone"/>
    <x v="0"/>
  </r>
  <r>
    <n v="10370"/>
    <x v="6"/>
    <s v="morganny@gmail.com"/>
    <x v="3"/>
    <n v="170"/>
    <n v="250"/>
    <n v="983"/>
    <n v="245750"/>
    <n v="78640"/>
    <x v="4"/>
    <s v="northcentral"/>
    <s v="June"/>
    <n v="2019"/>
    <s v="Francophone"/>
    <x v="0"/>
  </r>
  <r>
    <n v="10371"/>
    <x v="3"/>
    <s v="jone.ai@yahoo.com"/>
    <x v="4"/>
    <n v="150"/>
    <n v="200"/>
    <n v="989"/>
    <n v="197800"/>
    <n v="49450"/>
    <x v="0"/>
    <s v="Southeast"/>
    <s v="July"/>
    <n v="2019"/>
    <s v="Anglophone"/>
    <x v="0"/>
  </r>
  <r>
    <n v="10372"/>
    <x v="8"/>
    <s v="parentty@uk.com"/>
    <x v="5"/>
    <n v="80"/>
    <n v="150"/>
    <n v="996"/>
    <n v="149400"/>
    <n v="69720"/>
    <x v="1"/>
    <s v="west"/>
    <s v="August"/>
    <n v="2018"/>
    <s v="Anglophone"/>
    <x v="1"/>
  </r>
  <r>
    <n v="10373"/>
    <x v="10"/>
    <s v="kivel_go@yahoo.com"/>
    <x v="6"/>
    <n v="90"/>
    <n v="150"/>
    <n v="801"/>
    <n v="120150"/>
    <n v="48060"/>
    <x v="2"/>
    <s v="southsouth"/>
    <s v="September"/>
    <n v="2017"/>
    <s v="Francophone"/>
    <x v="1"/>
  </r>
  <r>
    <n v="10374"/>
    <x v="9"/>
    <s v="smithMan@yahoo.com"/>
    <x v="0"/>
    <n v="150"/>
    <n v="200"/>
    <n v="857"/>
    <n v="171400"/>
    <n v="42850"/>
    <x v="3"/>
    <s v="northwest"/>
    <s v="October"/>
    <n v="2019"/>
    <s v="Francophone"/>
    <x v="0"/>
  </r>
  <r>
    <n v="10375"/>
    <x v="8"/>
    <s v="parentty@uk.com"/>
    <x v="1"/>
    <n v="250"/>
    <n v="500"/>
    <n v="928"/>
    <n v="464000"/>
    <n v="232000"/>
    <x v="4"/>
    <s v="northeast"/>
    <s v="November"/>
    <n v="2018"/>
    <s v="Francophone"/>
    <x v="0"/>
  </r>
  <r>
    <n v="10376"/>
    <x v="1"/>
    <s v="gillhell@uk.com"/>
    <x v="2"/>
    <n v="180"/>
    <n v="450"/>
    <n v="788"/>
    <n v="354600"/>
    <n v="212760"/>
    <x v="0"/>
    <s v="northcentral"/>
    <s v="December"/>
    <n v="2019"/>
    <s v="Anglophone"/>
    <x v="0"/>
  </r>
  <r>
    <n v="10377"/>
    <x v="9"/>
    <s v="smithMan@yahoo.com"/>
    <x v="3"/>
    <n v="170"/>
    <n v="250"/>
    <n v="795"/>
    <n v="198750"/>
    <n v="63600"/>
    <x v="1"/>
    <s v="Southeast"/>
    <s v="January"/>
    <n v="2017"/>
    <s v="Anglophone"/>
    <x v="0"/>
  </r>
  <r>
    <n v="10378"/>
    <x v="3"/>
    <s v="jone.ai@yahoo.com"/>
    <x v="4"/>
    <n v="150"/>
    <n v="200"/>
    <n v="865"/>
    <n v="173000"/>
    <n v="43250"/>
    <x v="2"/>
    <s v="west"/>
    <s v="February"/>
    <n v="2019"/>
    <s v="Francophone"/>
    <x v="0"/>
  </r>
  <r>
    <n v="10379"/>
    <x v="2"/>
    <s v="sorvi2000@gmail.com"/>
    <x v="5"/>
    <n v="80"/>
    <n v="150"/>
    <n v="798"/>
    <n v="119700"/>
    <n v="55860"/>
    <x v="3"/>
    <s v="southsouth"/>
    <s v="March"/>
    <n v="2018"/>
    <s v="Francophone"/>
    <x v="1"/>
  </r>
  <r>
    <n v="10380"/>
    <x v="0"/>
    <s v="jard@gmail.com"/>
    <x v="6"/>
    <n v="90"/>
    <n v="150"/>
    <n v="728"/>
    <n v="109200"/>
    <n v="43680"/>
    <x v="4"/>
    <s v="northwest"/>
    <s v="April"/>
    <n v="2018"/>
    <s v="Francophone"/>
    <x v="1"/>
  </r>
  <r>
    <n v="10381"/>
    <x v="4"/>
    <s v="andy@gmail.com"/>
    <x v="0"/>
    <n v="150"/>
    <n v="200"/>
    <n v="948"/>
    <n v="189600"/>
    <n v="47400"/>
    <x v="0"/>
    <s v="northeast"/>
    <s v="May"/>
    <n v="2019"/>
    <s v="Anglophone"/>
    <x v="0"/>
  </r>
  <r>
    <n v="10382"/>
    <x v="7"/>
    <s v="howard_freeman@yahoo.com"/>
    <x v="1"/>
    <n v="250"/>
    <n v="500"/>
    <n v="863"/>
    <n v="431500"/>
    <n v="215750"/>
    <x v="1"/>
    <s v="northcentral"/>
    <s v="June"/>
    <n v="2017"/>
    <s v="Anglophone"/>
    <x v="0"/>
  </r>
  <r>
    <n v="10383"/>
    <x v="1"/>
    <s v="gillhell@uk.com"/>
    <x v="2"/>
    <n v="180"/>
    <n v="450"/>
    <n v="913"/>
    <n v="410850"/>
    <n v="246510"/>
    <x v="2"/>
    <s v="Southeast"/>
    <s v="July"/>
    <n v="2019"/>
    <s v="Francophone"/>
    <x v="0"/>
  </r>
  <r>
    <n v="10384"/>
    <x v="1"/>
    <s v="gillhell@uk.com"/>
    <x v="3"/>
    <n v="170"/>
    <n v="250"/>
    <n v="711"/>
    <n v="177750"/>
    <n v="56880"/>
    <x v="3"/>
    <s v="west"/>
    <s v="August"/>
    <n v="2018"/>
    <s v="Francophone"/>
    <x v="0"/>
  </r>
  <r>
    <n v="10385"/>
    <x v="10"/>
    <s v="kivel_go@yahoo.com"/>
    <x v="4"/>
    <n v="150"/>
    <n v="200"/>
    <n v="717"/>
    <n v="143400"/>
    <n v="35850"/>
    <x v="4"/>
    <s v="southsouth"/>
    <s v="September"/>
    <n v="2019"/>
    <s v="Francophone"/>
    <x v="0"/>
  </r>
  <r>
    <n v="10386"/>
    <x v="3"/>
    <s v="jone.ai@yahoo.com"/>
    <x v="5"/>
    <n v="80"/>
    <n v="150"/>
    <n v="862"/>
    <n v="129300"/>
    <n v="60340"/>
    <x v="0"/>
    <s v="northwest"/>
    <s v="October"/>
    <n v="2019"/>
    <s v="Anglophone"/>
    <x v="1"/>
  </r>
  <r>
    <n v="10387"/>
    <x v="6"/>
    <s v="morganny@gmail.com"/>
    <x v="6"/>
    <n v="90"/>
    <n v="150"/>
    <n v="703"/>
    <n v="105450"/>
    <n v="42180"/>
    <x v="1"/>
    <s v="northeast"/>
    <s v="November"/>
    <n v="2017"/>
    <s v="Anglophone"/>
    <x v="1"/>
  </r>
  <r>
    <n v="10388"/>
    <x v="10"/>
    <s v="kivel_go@yahoo.com"/>
    <x v="0"/>
    <n v="150"/>
    <n v="200"/>
    <n v="962"/>
    <n v="192400"/>
    <n v="48100"/>
    <x v="2"/>
    <s v="northcentral"/>
    <s v="December"/>
    <n v="2018"/>
    <s v="Francophone"/>
    <x v="0"/>
  </r>
  <r>
    <n v="10389"/>
    <x v="2"/>
    <s v="sorvi2000@gmail.com"/>
    <x v="1"/>
    <n v="250"/>
    <n v="500"/>
    <n v="807"/>
    <n v="403500"/>
    <n v="201750"/>
    <x v="3"/>
    <s v="Southeast"/>
    <s v="January"/>
    <n v="2019"/>
    <s v="Francophone"/>
    <x v="0"/>
  </r>
  <r>
    <n v="10390"/>
    <x v="1"/>
    <s v="gillhell@uk.com"/>
    <x v="2"/>
    <n v="180"/>
    <n v="450"/>
    <n v="950"/>
    <n v="427500"/>
    <n v="256500"/>
    <x v="4"/>
    <s v="west"/>
    <s v="February"/>
    <n v="2017"/>
    <s v="Francophone"/>
    <x v="0"/>
  </r>
  <r>
    <n v="10391"/>
    <x v="2"/>
    <s v="sorvi2000@gmail.com"/>
    <x v="3"/>
    <n v="170"/>
    <n v="250"/>
    <n v="949"/>
    <n v="237250"/>
    <n v="75920"/>
    <x v="0"/>
    <s v="southsouth"/>
    <s v="March"/>
    <n v="2017"/>
    <s v="Anglophone"/>
    <x v="0"/>
  </r>
  <r>
    <n v="10392"/>
    <x v="5"/>
    <s v="thomp@uk.com"/>
    <x v="4"/>
    <n v="150"/>
    <n v="200"/>
    <n v="724"/>
    <n v="144800"/>
    <n v="36200"/>
    <x v="1"/>
    <s v="northwest"/>
    <s v="April"/>
    <n v="2017"/>
    <s v="Anglophone"/>
    <x v="0"/>
  </r>
  <r>
    <n v="10393"/>
    <x v="4"/>
    <s v="andy@gmail.com"/>
    <x v="5"/>
    <n v="80"/>
    <n v="150"/>
    <n v="717"/>
    <n v="107550"/>
    <n v="50190"/>
    <x v="2"/>
    <s v="northeast"/>
    <s v="May"/>
    <n v="2019"/>
    <s v="Francophone"/>
    <x v="1"/>
  </r>
  <r>
    <n v="10394"/>
    <x v="0"/>
    <s v="jard@gmail.com"/>
    <x v="6"/>
    <n v="90"/>
    <n v="150"/>
    <n v="933"/>
    <n v="139950"/>
    <n v="55980"/>
    <x v="3"/>
    <s v="northcentral"/>
    <s v="June"/>
    <n v="2017"/>
    <s v="Francophone"/>
    <x v="1"/>
  </r>
  <r>
    <n v="10395"/>
    <x v="0"/>
    <s v="jard@gmail.com"/>
    <x v="0"/>
    <n v="150"/>
    <n v="200"/>
    <n v="930"/>
    <n v="186000"/>
    <n v="46500"/>
    <x v="4"/>
    <s v="Southeast"/>
    <s v="July"/>
    <n v="2018"/>
    <s v="Francophone"/>
    <x v="0"/>
  </r>
  <r>
    <n v="10396"/>
    <x v="4"/>
    <s v="andy@gmail.com"/>
    <x v="1"/>
    <n v="250"/>
    <n v="500"/>
    <n v="959"/>
    <n v="479500"/>
    <n v="239750"/>
    <x v="0"/>
    <s v="west"/>
    <s v="August"/>
    <n v="2018"/>
    <s v="Anglophone"/>
    <x v="0"/>
  </r>
  <r>
    <n v="10397"/>
    <x v="3"/>
    <s v="jone.ai@yahoo.com"/>
    <x v="2"/>
    <n v="180"/>
    <n v="450"/>
    <n v="922"/>
    <n v="414900"/>
    <n v="248940"/>
    <x v="1"/>
    <s v="southsouth"/>
    <s v="September"/>
    <n v="2017"/>
    <s v="Anglophone"/>
    <x v="0"/>
  </r>
  <r>
    <n v="10398"/>
    <x v="6"/>
    <s v="morganny@gmail.com"/>
    <x v="3"/>
    <n v="170"/>
    <n v="250"/>
    <n v="957"/>
    <n v="239250"/>
    <n v="76560"/>
    <x v="2"/>
    <s v="northwest"/>
    <s v="October"/>
    <n v="2019"/>
    <s v="Francophone"/>
    <x v="0"/>
  </r>
  <r>
    <n v="10399"/>
    <x v="10"/>
    <s v="kivel_go@yahoo.com"/>
    <x v="4"/>
    <n v="150"/>
    <n v="200"/>
    <n v="958"/>
    <n v="191600"/>
    <n v="47900"/>
    <x v="3"/>
    <s v="northeast"/>
    <s v="November"/>
    <n v="2018"/>
    <s v="Francophone"/>
    <x v="0"/>
  </r>
  <r>
    <n v="10400"/>
    <x v="2"/>
    <s v="sorvi2000@gmail.com"/>
    <x v="5"/>
    <n v="80"/>
    <n v="150"/>
    <n v="784"/>
    <n v="117600"/>
    <n v="54880"/>
    <x v="4"/>
    <s v="northcentral"/>
    <s v="December"/>
    <n v="2018"/>
    <s v="Francophone"/>
    <x v="1"/>
  </r>
  <r>
    <n v="10401"/>
    <x v="1"/>
    <s v="gillhell@uk.com"/>
    <x v="6"/>
    <n v="90"/>
    <n v="150"/>
    <n v="966"/>
    <n v="144900"/>
    <n v="57960"/>
    <x v="0"/>
    <s v="Southeast"/>
    <s v="January"/>
    <n v="2019"/>
    <s v="Anglophone"/>
    <x v="1"/>
  </r>
  <r>
    <n v="10402"/>
    <x v="2"/>
    <s v="sorvi2000@gmail.com"/>
    <x v="0"/>
    <n v="150"/>
    <n v="200"/>
    <n v="784"/>
    <n v="156800"/>
    <n v="39200"/>
    <x v="1"/>
    <s v="west"/>
    <s v="February"/>
    <n v="2018"/>
    <s v="Anglophone"/>
    <x v="0"/>
  </r>
  <r>
    <n v="10403"/>
    <x v="5"/>
    <s v="thomp@uk.com"/>
    <x v="1"/>
    <n v="250"/>
    <n v="500"/>
    <n v="998"/>
    <n v="499000"/>
    <n v="249500"/>
    <x v="2"/>
    <s v="southsouth"/>
    <s v="March"/>
    <n v="2017"/>
    <s v="Francophone"/>
    <x v="0"/>
  </r>
  <r>
    <n v="10404"/>
    <x v="4"/>
    <s v="andy@gmail.com"/>
    <x v="2"/>
    <n v="180"/>
    <n v="450"/>
    <n v="951"/>
    <n v="427950"/>
    <n v="256770"/>
    <x v="3"/>
    <s v="northwest"/>
    <s v="April"/>
    <n v="2018"/>
    <s v="Francophone"/>
    <x v="0"/>
  </r>
  <r>
    <n v="10405"/>
    <x v="0"/>
    <s v="jard@gmail.com"/>
    <x v="3"/>
    <n v="170"/>
    <n v="250"/>
    <n v="973"/>
    <n v="243250"/>
    <n v="77840"/>
    <x v="4"/>
    <s v="northeast"/>
    <s v="May"/>
    <n v="2019"/>
    <s v="Francophone"/>
    <x v="0"/>
  </r>
  <r>
    <n v="10406"/>
    <x v="0"/>
    <s v="jard@gmail.com"/>
    <x v="4"/>
    <n v="150"/>
    <n v="200"/>
    <n v="704"/>
    <n v="140800"/>
    <n v="35200"/>
    <x v="0"/>
    <s v="northcentral"/>
    <s v="June"/>
    <n v="2017"/>
    <s v="Anglophone"/>
    <x v="0"/>
  </r>
  <r>
    <n v="10407"/>
    <x v="4"/>
    <s v="andy@gmail.com"/>
    <x v="5"/>
    <n v="80"/>
    <n v="150"/>
    <n v="748"/>
    <n v="112200"/>
    <n v="52360"/>
    <x v="1"/>
    <s v="Southeast"/>
    <s v="July"/>
    <n v="2019"/>
    <s v="Anglophone"/>
    <x v="1"/>
  </r>
  <r>
    <n v="10408"/>
    <x v="0"/>
    <s v="jard@gmail.com"/>
    <x v="6"/>
    <n v="90"/>
    <n v="150"/>
    <n v="972"/>
    <n v="145800"/>
    <n v="58320"/>
    <x v="2"/>
    <s v="west"/>
    <s v="August"/>
    <n v="2017"/>
    <s v="Francophone"/>
    <x v="1"/>
  </r>
  <r>
    <n v="10409"/>
    <x v="1"/>
    <s v="gillhell@uk.com"/>
    <x v="0"/>
    <n v="150"/>
    <n v="200"/>
    <n v="859"/>
    <n v="171800"/>
    <n v="42950"/>
    <x v="3"/>
    <s v="southsouth"/>
    <s v="September"/>
    <n v="2017"/>
    <s v="Francophone"/>
    <x v="0"/>
  </r>
  <r>
    <n v="10410"/>
    <x v="2"/>
    <s v="sorvi2000@gmail.com"/>
    <x v="1"/>
    <n v="250"/>
    <n v="500"/>
    <n v="825"/>
    <n v="412500"/>
    <n v="206250"/>
    <x v="4"/>
    <s v="northwest"/>
    <s v="October"/>
    <n v="2017"/>
    <s v="Francophone"/>
    <x v="0"/>
  </r>
  <r>
    <n v="10411"/>
    <x v="3"/>
    <s v="jone.ai@yahoo.com"/>
    <x v="2"/>
    <n v="180"/>
    <n v="450"/>
    <n v="997"/>
    <n v="448650"/>
    <n v="269190"/>
    <x v="0"/>
    <s v="northeast"/>
    <s v="November"/>
    <n v="2019"/>
    <s v="Anglophone"/>
    <x v="0"/>
  </r>
  <r>
    <n v="10412"/>
    <x v="4"/>
    <s v="andy@gmail.com"/>
    <x v="3"/>
    <n v="170"/>
    <n v="250"/>
    <n v="789"/>
    <n v="197250"/>
    <n v="63120"/>
    <x v="1"/>
    <s v="northcentral"/>
    <s v="December"/>
    <n v="2019"/>
    <s v="Anglophone"/>
    <x v="0"/>
  </r>
  <r>
    <n v="10413"/>
    <x v="0"/>
    <s v="jard@gmail.com"/>
    <x v="4"/>
    <n v="150"/>
    <n v="200"/>
    <n v="934"/>
    <n v="186800"/>
    <n v="46700"/>
    <x v="2"/>
    <s v="Southeast"/>
    <s v="January"/>
    <n v="2019"/>
    <s v="Francophone"/>
    <x v="0"/>
  </r>
  <r>
    <n v="10414"/>
    <x v="5"/>
    <s v="thomp@uk.com"/>
    <x v="5"/>
    <n v="80"/>
    <n v="150"/>
    <n v="773"/>
    <n v="115950"/>
    <n v="54110"/>
    <x v="3"/>
    <s v="west"/>
    <s v="February"/>
    <n v="2017"/>
    <s v="Francophone"/>
    <x v="1"/>
  </r>
  <r>
    <n v="10415"/>
    <x v="3"/>
    <s v="jone.ai@yahoo.com"/>
    <x v="6"/>
    <n v="90"/>
    <n v="150"/>
    <n v="786"/>
    <n v="117900"/>
    <n v="47160"/>
    <x v="4"/>
    <s v="southsouth"/>
    <s v="March"/>
    <n v="2017"/>
    <s v="Francophone"/>
    <x v="1"/>
  </r>
  <r>
    <n v="10416"/>
    <x v="6"/>
    <s v="morganny@gmail.com"/>
    <x v="0"/>
    <n v="150"/>
    <n v="200"/>
    <n v="991"/>
    <n v="198200"/>
    <n v="49550"/>
    <x v="0"/>
    <s v="northwest"/>
    <s v="April"/>
    <n v="2017"/>
    <s v="Anglophone"/>
    <x v="0"/>
  </r>
  <r>
    <n v="10417"/>
    <x v="7"/>
    <s v="howard_freeman@yahoo.com"/>
    <x v="1"/>
    <n v="250"/>
    <n v="500"/>
    <n v="886"/>
    <n v="443000"/>
    <n v="221500"/>
    <x v="1"/>
    <s v="northeast"/>
    <s v="May"/>
    <n v="2017"/>
    <s v="Anglophone"/>
    <x v="0"/>
  </r>
  <r>
    <n v="10418"/>
    <x v="8"/>
    <s v="parentty@uk.com"/>
    <x v="2"/>
    <n v="180"/>
    <n v="450"/>
    <n v="987"/>
    <n v="444150"/>
    <n v="266490"/>
    <x v="2"/>
    <s v="northcentral"/>
    <s v="June"/>
    <n v="2018"/>
    <s v="Francophone"/>
    <x v="0"/>
  </r>
  <r>
    <n v="10419"/>
    <x v="3"/>
    <s v="jone.ai@yahoo.com"/>
    <x v="3"/>
    <n v="170"/>
    <n v="250"/>
    <n v="772"/>
    <n v="193000"/>
    <n v="61760"/>
    <x v="3"/>
    <s v="Southeast"/>
    <s v="July"/>
    <n v="2018"/>
    <s v="Francophone"/>
    <x v="0"/>
  </r>
  <r>
    <n v="10420"/>
    <x v="9"/>
    <s v="smithMan@yahoo.com"/>
    <x v="4"/>
    <n v="150"/>
    <n v="200"/>
    <n v="760"/>
    <n v="152000"/>
    <n v="38000"/>
    <x v="4"/>
    <s v="west"/>
    <s v="August"/>
    <n v="2018"/>
    <s v="Francophone"/>
    <x v="0"/>
  </r>
  <r>
    <n v="10421"/>
    <x v="3"/>
    <s v="jone.ai@yahoo.com"/>
    <x v="5"/>
    <n v="80"/>
    <n v="150"/>
    <n v="778"/>
    <n v="116700"/>
    <n v="54460"/>
    <x v="0"/>
    <s v="southsouth"/>
    <s v="September"/>
    <n v="2017"/>
    <s v="Anglophone"/>
    <x v="1"/>
  </r>
  <r>
    <n v="10422"/>
    <x v="0"/>
    <s v="jard@gmail.com"/>
    <x v="6"/>
    <n v="90"/>
    <n v="150"/>
    <n v="716"/>
    <n v="107400"/>
    <n v="42960"/>
    <x v="1"/>
    <s v="northwest"/>
    <s v="October"/>
    <n v="2019"/>
    <s v="Anglophone"/>
    <x v="1"/>
  </r>
  <r>
    <n v="10423"/>
    <x v="1"/>
    <s v="gillhell@uk.com"/>
    <x v="0"/>
    <n v="150"/>
    <n v="200"/>
    <n v="775"/>
    <n v="155000"/>
    <n v="38750"/>
    <x v="2"/>
    <s v="northeast"/>
    <s v="November"/>
    <n v="2018"/>
    <s v="Francophone"/>
    <x v="0"/>
  </r>
  <r>
    <n v="10424"/>
    <x v="2"/>
    <s v="sorvi2000@gmail.com"/>
    <x v="1"/>
    <n v="250"/>
    <n v="500"/>
    <n v="860"/>
    <n v="430000"/>
    <n v="215000"/>
    <x v="3"/>
    <s v="northcentral"/>
    <s v="December"/>
    <n v="2017"/>
    <s v="Francophone"/>
    <x v="0"/>
  </r>
  <r>
    <n v="10425"/>
    <x v="3"/>
    <s v="jone.ai@yahoo.com"/>
    <x v="2"/>
    <n v="180"/>
    <n v="450"/>
    <n v="895"/>
    <n v="402750"/>
    <n v="241650"/>
    <x v="4"/>
    <s v="Southeast"/>
    <s v="January"/>
    <n v="2017"/>
    <s v="Francophone"/>
    <x v="0"/>
  </r>
  <r>
    <n v="10426"/>
    <x v="4"/>
    <s v="andy@gmail.com"/>
    <x v="3"/>
    <n v="170"/>
    <n v="250"/>
    <n v="929"/>
    <n v="232250"/>
    <n v="74320"/>
    <x v="0"/>
    <s v="west"/>
    <s v="February"/>
    <n v="2019"/>
    <s v="Anglophone"/>
    <x v="0"/>
  </r>
  <r>
    <n v="10427"/>
    <x v="0"/>
    <s v="jard@gmail.com"/>
    <x v="4"/>
    <n v="150"/>
    <n v="200"/>
    <n v="759"/>
    <n v="151800"/>
    <n v="37950"/>
    <x v="1"/>
    <s v="southsouth"/>
    <s v="March"/>
    <n v="2018"/>
    <s v="Anglophone"/>
    <x v="0"/>
  </r>
  <r>
    <n v="10428"/>
    <x v="5"/>
    <s v="thomp@uk.com"/>
    <x v="5"/>
    <n v="80"/>
    <n v="150"/>
    <n v="765"/>
    <n v="114750"/>
    <n v="53550"/>
    <x v="2"/>
    <s v="northwest"/>
    <s v="April"/>
    <n v="2017"/>
    <s v="Francophone"/>
    <x v="1"/>
  </r>
  <r>
    <n v="10429"/>
    <x v="3"/>
    <s v="jone.ai@yahoo.com"/>
    <x v="6"/>
    <n v="90"/>
    <n v="150"/>
    <n v="861"/>
    <n v="129150"/>
    <n v="51660"/>
    <x v="3"/>
    <s v="northeast"/>
    <s v="May"/>
    <n v="2019"/>
    <s v="Francophone"/>
    <x v="1"/>
  </r>
  <r>
    <n v="10430"/>
    <x v="6"/>
    <s v="morganny@gmail.com"/>
    <x v="0"/>
    <n v="150"/>
    <n v="200"/>
    <n v="790"/>
    <n v="158000"/>
    <n v="39500"/>
    <x v="4"/>
    <s v="northcentral"/>
    <s v="June"/>
    <n v="2018"/>
    <s v="Francophone"/>
    <x v="0"/>
  </r>
  <r>
    <n v="10431"/>
    <x v="7"/>
    <s v="howard_freeman@yahoo.com"/>
    <x v="1"/>
    <n v="250"/>
    <n v="500"/>
    <n v="831"/>
    <n v="415500"/>
    <n v="207750"/>
    <x v="0"/>
    <s v="Southeast"/>
    <s v="July"/>
    <n v="2017"/>
    <s v="Anglophone"/>
    <x v="0"/>
  </r>
  <r>
    <n v="10432"/>
    <x v="8"/>
    <s v="parentty@uk.com"/>
    <x v="2"/>
    <n v="180"/>
    <n v="450"/>
    <n v="879"/>
    <n v="395550"/>
    <n v="237330"/>
    <x v="1"/>
    <s v="west"/>
    <s v="August"/>
    <n v="2017"/>
    <s v="Anglophone"/>
    <x v="0"/>
  </r>
  <r>
    <n v="10433"/>
    <x v="3"/>
    <s v="jone.ai@yahoo.com"/>
    <x v="3"/>
    <n v="170"/>
    <n v="250"/>
    <n v="756"/>
    <n v="189000"/>
    <n v="60480"/>
    <x v="2"/>
    <s v="southsouth"/>
    <s v="September"/>
    <n v="2017"/>
    <s v="Francophone"/>
    <x v="0"/>
  </r>
  <r>
    <n v="10434"/>
    <x v="9"/>
    <s v="smithMan@yahoo.com"/>
    <x v="4"/>
    <n v="150"/>
    <n v="200"/>
    <n v="888"/>
    <n v="177600"/>
    <n v="44400"/>
    <x v="3"/>
    <s v="northwest"/>
    <s v="October"/>
    <n v="2017"/>
    <s v="Francophone"/>
    <x v="0"/>
  </r>
  <r>
    <n v="10435"/>
    <x v="3"/>
    <s v="jone.ai@yahoo.com"/>
    <x v="5"/>
    <n v="80"/>
    <n v="150"/>
    <n v="859"/>
    <n v="128850"/>
    <n v="60130"/>
    <x v="4"/>
    <s v="northeast"/>
    <s v="November"/>
    <n v="2017"/>
    <s v="Francophone"/>
    <x v="1"/>
  </r>
  <r>
    <n v="10436"/>
    <x v="6"/>
    <s v="morganny@gmail.com"/>
    <x v="6"/>
    <n v="90"/>
    <n v="150"/>
    <n v="761"/>
    <n v="114150"/>
    <n v="45660"/>
    <x v="0"/>
    <s v="northcentral"/>
    <s v="December"/>
    <n v="2018"/>
    <s v="Anglophone"/>
    <x v="1"/>
  </r>
  <r>
    <n v="10437"/>
    <x v="3"/>
    <s v="jone.ai@yahoo.com"/>
    <x v="0"/>
    <n v="150"/>
    <n v="200"/>
    <n v="989"/>
    <n v="197800"/>
    <n v="49450"/>
    <x v="1"/>
    <s v="Southeast"/>
    <s v="January"/>
    <n v="2018"/>
    <s v="Anglophone"/>
    <x v="0"/>
  </r>
  <r>
    <n v="10438"/>
    <x v="8"/>
    <s v="parentty@uk.com"/>
    <x v="1"/>
    <n v="250"/>
    <n v="500"/>
    <n v="824"/>
    <n v="412000"/>
    <n v="206000"/>
    <x v="2"/>
    <s v="west"/>
    <s v="February"/>
    <n v="2018"/>
    <s v="Francophone"/>
    <x v="0"/>
  </r>
  <r>
    <n v="10439"/>
    <x v="10"/>
    <s v="kivel_go@yahoo.com"/>
    <x v="2"/>
    <n v="180"/>
    <n v="450"/>
    <n v="775"/>
    <n v="348750"/>
    <n v="209250"/>
    <x v="3"/>
    <s v="southsouth"/>
    <s v="March"/>
    <n v="2018"/>
    <s v="Francophone"/>
    <x v="0"/>
  </r>
  <r>
    <n v="10440"/>
    <x v="9"/>
    <s v="smithMan@yahoo.com"/>
    <x v="3"/>
    <n v="170"/>
    <n v="250"/>
    <n v="980"/>
    <n v="245000"/>
    <n v="78400"/>
    <x v="4"/>
    <s v="northwest"/>
    <s v="April"/>
    <n v="2017"/>
    <s v="Francophone"/>
    <x v="0"/>
  </r>
  <r>
    <n v="10441"/>
    <x v="8"/>
    <s v="parentty@uk.com"/>
    <x v="4"/>
    <n v="150"/>
    <n v="200"/>
    <n v="828"/>
    <n v="165600"/>
    <n v="41400"/>
    <x v="0"/>
    <s v="northeast"/>
    <s v="May"/>
    <n v="2019"/>
    <s v="Anglophone"/>
    <x v="0"/>
  </r>
  <r>
    <n v="10442"/>
    <x v="1"/>
    <s v="gillhell@uk.com"/>
    <x v="5"/>
    <n v="80"/>
    <n v="150"/>
    <n v="711"/>
    <n v="106650"/>
    <n v="49770"/>
    <x v="1"/>
    <s v="northcentral"/>
    <s v="June"/>
    <n v="2019"/>
    <s v="Anglophone"/>
    <x v="1"/>
  </r>
  <r>
    <n v="10443"/>
    <x v="9"/>
    <s v="smithMan@yahoo.com"/>
    <x v="6"/>
    <n v="90"/>
    <n v="150"/>
    <n v="817"/>
    <n v="122550"/>
    <n v="49020"/>
    <x v="2"/>
    <s v="Southeast"/>
    <s v="July"/>
    <n v="2018"/>
    <s v="Francophone"/>
    <x v="1"/>
  </r>
  <r>
    <n v="10444"/>
    <x v="3"/>
    <s v="jone.ai@yahoo.com"/>
    <x v="0"/>
    <n v="150"/>
    <n v="200"/>
    <n v="829"/>
    <n v="165800"/>
    <n v="41450"/>
    <x v="3"/>
    <s v="west"/>
    <s v="August"/>
    <n v="2018"/>
    <s v="Francophone"/>
    <x v="0"/>
  </r>
  <r>
    <n v="10445"/>
    <x v="2"/>
    <s v="sorvi2000@gmail.com"/>
    <x v="1"/>
    <n v="250"/>
    <n v="500"/>
    <n v="872"/>
    <n v="436000"/>
    <n v="218000"/>
    <x v="4"/>
    <s v="southsouth"/>
    <s v="September"/>
    <n v="2018"/>
    <s v="Francophone"/>
    <x v="0"/>
  </r>
  <r>
    <n v="10446"/>
    <x v="0"/>
    <s v="jard@gmail.com"/>
    <x v="2"/>
    <n v="180"/>
    <n v="450"/>
    <n v="715"/>
    <n v="321750"/>
    <n v="193050"/>
    <x v="0"/>
    <s v="northwest"/>
    <s v="October"/>
    <n v="2018"/>
    <s v="Anglophone"/>
    <x v="0"/>
  </r>
  <r>
    <n v="10447"/>
    <x v="4"/>
    <s v="andy@gmail.com"/>
    <x v="3"/>
    <n v="170"/>
    <n v="250"/>
    <n v="939"/>
    <n v="234750"/>
    <n v="75120"/>
    <x v="1"/>
    <s v="northeast"/>
    <s v="November"/>
    <n v="2019"/>
    <s v="Anglophone"/>
    <x v="0"/>
  </r>
  <r>
    <n v="10448"/>
    <x v="7"/>
    <s v="howard_freeman@yahoo.com"/>
    <x v="4"/>
    <n v="150"/>
    <n v="200"/>
    <n v="891"/>
    <n v="178200"/>
    <n v="44550"/>
    <x v="2"/>
    <s v="northcentral"/>
    <s v="December"/>
    <n v="2017"/>
    <s v="Francophone"/>
    <x v="0"/>
  </r>
  <r>
    <n v="10449"/>
    <x v="1"/>
    <s v="gillhell@uk.com"/>
    <x v="5"/>
    <n v="80"/>
    <n v="150"/>
    <n v="736"/>
    <n v="110400"/>
    <n v="51520"/>
    <x v="3"/>
    <s v="Southeast"/>
    <s v="January"/>
    <n v="2018"/>
    <s v="Francophone"/>
    <x v="1"/>
  </r>
  <r>
    <n v="10450"/>
    <x v="1"/>
    <s v="gillhell@uk.com"/>
    <x v="6"/>
    <n v="90"/>
    <n v="150"/>
    <n v="797"/>
    <n v="119550"/>
    <n v="47820"/>
    <x v="4"/>
    <s v="west"/>
    <s v="February"/>
    <n v="2017"/>
    <s v="Francophone"/>
    <x v="1"/>
  </r>
  <r>
    <n v="10451"/>
    <x v="10"/>
    <s v="kivel_go@yahoo.com"/>
    <x v="0"/>
    <n v="150"/>
    <n v="200"/>
    <n v="913"/>
    <n v="182600"/>
    <n v="45650"/>
    <x v="0"/>
    <s v="southsouth"/>
    <s v="March"/>
    <n v="2017"/>
    <s v="Anglophone"/>
    <x v="0"/>
  </r>
  <r>
    <n v="10452"/>
    <x v="3"/>
    <s v="jone.ai@yahoo.com"/>
    <x v="1"/>
    <n v="250"/>
    <n v="500"/>
    <n v="710"/>
    <n v="355000"/>
    <n v="177500"/>
    <x v="1"/>
    <s v="northwest"/>
    <s v="April"/>
    <n v="2017"/>
    <s v="Anglophone"/>
    <x v="0"/>
  </r>
  <r>
    <n v="10453"/>
    <x v="6"/>
    <s v="morganny@gmail.com"/>
    <x v="2"/>
    <n v="180"/>
    <n v="450"/>
    <n v="832"/>
    <n v="374400"/>
    <n v="224640"/>
    <x v="2"/>
    <s v="northeast"/>
    <s v="May"/>
    <n v="2019"/>
    <s v="Francophone"/>
    <x v="0"/>
  </r>
  <r>
    <n v="10454"/>
    <x v="10"/>
    <s v="kivel_go@yahoo.com"/>
    <x v="3"/>
    <n v="170"/>
    <n v="250"/>
    <n v="952"/>
    <n v="238000"/>
    <n v="76160"/>
    <x v="3"/>
    <s v="northcentral"/>
    <s v="June"/>
    <n v="2019"/>
    <s v="Francophone"/>
    <x v="0"/>
  </r>
  <r>
    <n v="10455"/>
    <x v="2"/>
    <s v="sorvi2000@gmail.com"/>
    <x v="4"/>
    <n v="150"/>
    <n v="200"/>
    <n v="967"/>
    <n v="193400"/>
    <n v="48350"/>
    <x v="4"/>
    <s v="Southeast"/>
    <s v="July"/>
    <n v="2017"/>
    <s v="Francophone"/>
    <x v="0"/>
  </r>
  <r>
    <n v="10456"/>
    <x v="1"/>
    <s v="gillhell@uk.com"/>
    <x v="5"/>
    <n v="80"/>
    <n v="150"/>
    <n v="879"/>
    <n v="131850"/>
    <n v="61530"/>
    <x v="0"/>
    <s v="west"/>
    <s v="August"/>
    <n v="2018"/>
    <s v="Anglophone"/>
    <x v="1"/>
  </r>
  <r>
    <n v="10457"/>
    <x v="2"/>
    <s v="sorvi2000@gmail.com"/>
    <x v="6"/>
    <n v="90"/>
    <n v="150"/>
    <n v="705"/>
    <n v="105750"/>
    <n v="42300"/>
    <x v="1"/>
    <s v="southsouth"/>
    <s v="September"/>
    <n v="2018"/>
    <s v="Anglophone"/>
    <x v="1"/>
  </r>
  <r>
    <n v="10458"/>
    <x v="5"/>
    <s v="thomp@uk.com"/>
    <x v="0"/>
    <n v="150"/>
    <n v="200"/>
    <n v="878"/>
    <n v="175600"/>
    <n v="43900"/>
    <x v="2"/>
    <s v="northwest"/>
    <s v="October"/>
    <n v="2018"/>
    <s v="Francophone"/>
    <x v="0"/>
  </r>
  <r>
    <n v="10459"/>
    <x v="4"/>
    <s v="andy@gmail.com"/>
    <x v="1"/>
    <n v="250"/>
    <n v="500"/>
    <n v="903"/>
    <n v="451500"/>
    <n v="225750"/>
    <x v="3"/>
    <s v="northeast"/>
    <s v="November"/>
    <n v="2018"/>
    <s v="Francophone"/>
    <x v="0"/>
  </r>
  <r>
    <n v="10460"/>
    <x v="0"/>
    <s v="jard@gmail.com"/>
    <x v="2"/>
    <n v="180"/>
    <n v="450"/>
    <n v="791"/>
    <n v="355950"/>
    <n v="213570"/>
    <x v="4"/>
    <s v="northcentral"/>
    <s v="December"/>
    <n v="2018"/>
    <s v="Francophone"/>
    <x v="0"/>
  </r>
  <r>
    <n v="10461"/>
    <x v="0"/>
    <s v="jard@gmail.com"/>
    <x v="3"/>
    <n v="170"/>
    <n v="250"/>
    <n v="895"/>
    <n v="223750"/>
    <n v="71600"/>
    <x v="0"/>
    <s v="Southeast"/>
    <s v="January"/>
    <n v="2018"/>
    <s v="Anglophone"/>
    <x v="0"/>
  </r>
  <r>
    <n v="10462"/>
    <x v="4"/>
    <s v="andy@gmail.com"/>
    <x v="4"/>
    <n v="150"/>
    <n v="200"/>
    <n v="759"/>
    <n v="151800"/>
    <n v="37950"/>
    <x v="1"/>
    <s v="west"/>
    <s v="February"/>
    <n v="2018"/>
    <s v="Anglophone"/>
    <x v="0"/>
  </r>
  <r>
    <n v="10463"/>
    <x v="0"/>
    <s v="jard@gmail.com"/>
    <x v="5"/>
    <n v="80"/>
    <n v="150"/>
    <n v="790"/>
    <n v="118500"/>
    <n v="55300"/>
    <x v="2"/>
    <s v="southsouth"/>
    <s v="March"/>
    <n v="2017"/>
    <s v="Francophone"/>
    <x v="1"/>
  </r>
  <r>
    <n v="10464"/>
    <x v="1"/>
    <s v="gillhell@uk.com"/>
    <x v="6"/>
    <n v="90"/>
    <n v="150"/>
    <n v="722"/>
    <n v="108300"/>
    <n v="43320"/>
    <x v="3"/>
    <s v="northwest"/>
    <s v="April"/>
    <n v="2017"/>
    <s v="Francophone"/>
    <x v="1"/>
  </r>
  <r>
    <n v="10465"/>
    <x v="2"/>
    <s v="sorvi2000@gmail.com"/>
    <x v="0"/>
    <n v="150"/>
    <n v="200"/>
    <n v="888"/>
    <n v="177600"/>
    <n v="44400"/>
    <x v="4"/>
    <s v="northeast"/>
    <s v="May"/>
    <n v="2019"/>
    <s v="Francophone"/>
    <x v="0"/>
  </r>
  <r>
    <n v="10466"/>
    <x v="3"/>
    <s v="jone.ai@yahoo.com"/>
    <x v="1"/>
    <n v="250"/>
    <n v="500"/>
    <n v="849"/>
    <n v="424500"/>
    <n v="212250"/>
    <x v="0"/>
    <s v="northcentral"/>
    <s v="June"/>
    <n v="2018"/>
    <s v="Anglophone"/>
    <x v="0"/>
  </r>
  <r>
    <n v="10467"/>
    <x v="4"/>
    <s v="andy@gmail.com"/>
    <x v="2"/>
    <n v="180"/>
    <n v="450"/>
    <n v="736"/>
    <n v="331200"/>
    <n v="198720"/>
    <x v="1"/>
    <s v="Southeast"/>
    <s v="July"/>
    <n v="2018"/>
    <s v="Anglophone"/>
    <x v="0"/>
  </r>
  <r>
    <n v="10468"/>
    <x v="0"/>
    <s v="jard@gmail.com"/>
    <x v="3"/>
    <n v="170"/>
    <n v="250"/>
    <n v="843"/>
    <n v="210750"/>
    <n v="67440"/>
    <x v="2"/>
    <s v="west"/>
    <s v="August"/>
    <n v="2019"/>
    <s v="Francophone"/>
    <x v="0"/>
  </r>
  <r>
    <n v="10469"/>
    <x v="5"/>
    <s v="thomp@uk.com"/>
    <x v="4"/>
    <n v="150"/>
    <n v="200"/>
    <n v="999"/>
    <n v="199800"/>
    <n v="49950"/>
    <x v="3"/>
    <s v="southsouth"/>
    <s v="September"/>
    <n v="2018"/>
    <s v="Francophone"/>
    <x v="0"/>
  </r>
  <r>
    <n v="10470"/>
    <x v="3"/>
    <s v="jone.ai@yahoo.com"/>
    <x v="5"/>
    <n v="80"/>
    <n v="150"/>
    <n v="996"/>
    <n v="149400"/>
    <n v="69720"/>
    <x v="4"/>
    <s v="northwest"/>
    <s v="October"/>
    <n v="2018"/>
    <s v="Francophone"/>
    <x v="1"/>
  </r>
  <r>
    <n v="10471"/>
    <x v="6"/>
    <s v="morganny@gmail.com"/>
    <x v="6"/>
    <n v="90"/>
    <n v="150"/>
    <n v="718"/>
    <n v="107700"/>
    <n v="43080"/>
    <x v="0"/>
    <s v="northeast"/>
    <s v="November"/>
    <n v="2017"/>
    <s v="Anglophone"/>
    <x v="1"/>
  </r>
  <r>
    <n v="10472"/>
    <x v="7"/>
    <s v="howard_freeman@yahoo.com"/>
    <x v="0"/>
    <n v="150"/>
    <n v="200"/>
    <n v="700"/>
    <n v="140000"/>
    <n v="35000"/>
    <x v="1"/>
    <s v="northcentral"/>
    <s v="December"/>
    <n v="2017"/>
    <s v="Anglophone"/>
    <x v="0"/>
  </r>
  <r>
    <n v="10473"/>
    <x v="8"/>
    <s v="parentty@uk.com"/>
    <x v="1"/>
    <n v="250"/>
    <n v="500"/>
    <n v="827"/>
    <n v="413500"/>
    <n v="206750"/>
    <x v="2"/>
    <s v="Southeast"/>
    <s v="January"/>
    <n v="2018"/>
    <s v="Francophone"/>
    <x v="0"/>
  </r>
  <r>
    <n v="10474"/>
    <x v="3"/>
    <s v="jone.ai@yahoo.com"/>
    <x v="2"/>
    <n v="180"/>
    <n v="450"/>
    <n v="755"/>
    <n v="339750"/>
    <n v="203850"/>
    <x v="3"/>
    <s v="west"/>
    <s v="February"/>
    <n v="2018"/>
    <s v="Francophone"/>
    <x v="0"/>
  </r>
  <r>
    <n v="10475"/>
    <x v="9"/>
    <s v="smithMan@yahoo.com"/>
    <x v="3"/>
    <n v="170"/>
    <n v="250"/>
    <n v="803"/>
    <n v="200750"/>
    <n v="64240"/>
    <x v="4"/>
    <s v="southsouth"/>
    <s v="March"/>
    <n v="2019"/>
    <s v="Francophone"/>
    <x v="0"/>
  </r>
  <r>
    <n v="10476"/>
    <x v="3"/>
    <s v="jone.ai@yahoo.com"/>
    <x v="4"/>
    <n v="150"/>
    <n v="200"/>
    <n v="731"/>
    <n v="146200"/>
    <n v="36550"/>
    <x v="0"/>
    <s v="northwest"/>
    <s v="April"/>
    <n v="2019"/>
    <s v="Anglophone"/>
    <x v="0"/>
  </r>
  <r>
    <n v="10477"/>
    <x v="6"/>
    <s v="morganny@gmail.com"/>
    <x v="5"/>
    <n v="80"/>
    <n v="150"/>
    <n v="910"/>
    <n v="136500"/>
    <n v="63700"/>
    <x v="1"/>
    <s v="northeast"/>
    <s v="May"/>
    <n v="2019"/>
    <s v="Anglophone"/>
    <x v="1"/>
  </r>
  <r>
    <n v="10478"/>
    <x v="3"/>
    <s v="jone.ai@yahoo.com"/>
    <x v="6"/>
    <n v="90"/>
    <n v="150"/>
    <n v="747"/>
    <n v="112050"/>
    <n v="44820"/>
    <x v="2"/>
    <s v="northcentral"/>
    <s v="June"/>
    <n v="2017"/>
    <s v="Francophone"/>
    <x v="1"/>
  </r>
  <r>
    <n v="10479"/>
    <x v="8"/>
    <s v="parentty@uk.com"/>
    <x v="0"/>
    <n v="150"/>
    <n v="200"/>
    <n v="994"/>
    <n v="198800"/>
    <n v="49700"/>
    <x v="3"/>
    <s v="Southeast"/>
    <s v="July"/>
    <n v="2017"/>
    <s v="Francophone"/>
    <x v="0"/>
  </r>
  <r>
    <n v="10480"/>
    <x v="10"/>
    <s v="kivel_go@yahoo.com"/>
    <x v="1"/>
    <n v="250"/>
    <n v="500"/>
    <n v="982"/>
    <n v="491000"/>
    <n v="245500"/>
    <x v="4"/>
    <s v="west"/>
    <s v="August"/>
    <n v="2017"/>
    <s v="Francophone"/>
    <x v="0"/>
  </r>
  <r>
    <n v="10481"/>
    <x v="9"/>
    <s v="smithMan@yahoo.com"/>
    <x v="2"/>
    <n v="180"/>
    <n v="450"/>
    <n v="958"/>
    <n v="431100"/>
    <n v="258660"/>
    <x v="0"/>
    <s v="southsouth"/>
    <s v="September"/>
    <n v="2017"/>
    <s v="Anglophone"/>
    <x v="0"/>
  </r>
  <r>
    <n v="10482"/>
    <x v="8"/>
    <s v="parentty@uk.com"/>
    <x v="3"/>
    <n v="170"/>
    <n v="250"/>
    <n v="943"/>
    <n v="235750"/>
    <n v="75440"/>
    <x v="1"/>
    <s v="northwest"/>
    <s v="October"/>
    <n v="2017"/>
    <s v="Anglophone"/>
    <x v="0"/>
  </r>
  <r>
    <n v="10483"/>
    <x v="1"/>
    <s v="gillhell@uk.com"/>
    <x v="4"/>
    <n v="150"/>
    <n v="200"/>
    <n v="946"/>
    <n v="189200"/>
    <n v="47300"/>
    <x v="2"/>
    <s v="northeast"/>
    <s v="November"/>
    <n v="2019"/>
    <s v="Francophone"/>
    <x v="0"/>
  </r>
  <r>
    <n v="10484"/>
    <x v="9"/>
    <s v="smithMan@yahoo.com"/>
    <x v="5"/>
    <n v="80"/>
    <n v="150"/>
    <n v="852"/>
    <n v="127800"/>
    <n v="59640"/>
    <x v="3"/>
    <s v="northcentral"/>
    <s v="December"/>
    <n v="2017"/>
    <s v="Francophone"/>
    <x v="1"/>
  </r>
  <r>
    <n v="10485"/>
    <x v="3"/>
    <s v="jone.ai@yahoo.com"/>
    <x v="6"/>
    <n v="90"/>
    <n v="150"/>
    <n v="960"/>
    <n v="144000"/>
    <n v="57600"/>
    <x v="4"/>
    <s v="Southeast"/>
    <s v="January"/>
    <n v="2018"/>
    <s v="Francophone"/>
    <x v="1"/>
  </r>
  <r>
    <n v="10486"/>
    <x v="2"/>
    <s v="sorvi2000@gmail.com"/>
    <x v="0"/>
    <n v="150"/>
    <n v="200"/>
    <n v="992"/>
    <n v="198400"/>
    <n v="49600"/>
    <x v="0"/>
    <s v="west"/>
    <s v="February"/>
    <n v="2019"/>
    <s v="Anglophone"/>
    <x v="0"/>
  </r>
  <r>
    <n v="10487"/>
    <x v="0"/>
    <s v="jard@gmail.com"/>
    <x v="1"/>
    <n v="250"/>
    <n v="500"/>
    <n v="960"/>
    <n v="480000"/>
    <n v="240000"/>
    <x v="1"/>
    <s v="southsouth"/>
    <s v="March"/>
    <n v="2017"/>
    <s v="Anglophone"/>
    <x v="0"/>
  </r>
  <r>
    <n v="10488"/>
    <x v="4"/>
    <s v="andy@gmail.com"/>
    <x v="2"/>
    <n v="180"/>
    <n v="450"/>
    <n v="842"/>
    <n v="378900"/>
    <n v="227340"/>
    <x v="2"/>
    <s v="northwest"/>
    <s v="April"/>
    <n v="2018"/>
    <s v="Francophone"/>
    <x v="0"/>
  </r>
  <r>
    <n v="10489"/>
    <x v="7"/>
    <s v="howard_freeman@yahoo.com"/>
    <x v="3"/>
    <n v="170"/>
    <n v="250"/>
    <n v="750"/>
    <n v="187500"/>
    <n v="60000"/>
    <x v="3"/>
    <s v="northeast"/>
    <s v="May"/>
    <n v="2018"/>
    <s v="Francophone"/>
    <x v="0"/>
  </r>
  <r>
    <n v="10490"/>
    <x v="1"/>
    <s v="gillhell@uk.com"/>
    <x v="4"/>
    <n v="150"/>
    <n v="200"/>
    <n v="796"/>
    <n v="159200"/>
    <n v="39800"/>
    <x v="4"/>
    <s v="northcentral"/>
    <s v="June"/>
    <n v="2018"/>
    <s v="Francophone"/>
    <x v="0"/>
  </r>
  <r>
    <n v="10491"/>
    <x v="1"/>
    <s v="gillhell@uk.com"/>
    <x v="5"/>
    <n v="80"/>
    <n v="150"/>
    <n v="944"/>
    <n v="141600"/>
    <n v="66080"/>
    <x v="0"/>
    <s v="Southeast"/>
    <s v="July"/>
    <n v="2018"/>
    <s v="Anglophone"/>
    <x v="1"/>
  </r>
  <r>
    <n v="10492"/>
    <x v="10"/>
    <s v="kivel_go@yahoo.com"/>
    <x v="6"/>
    <n v="90"/>
    <n v="150"/>
    <n v="854"/>
    <n v="128100"/>
    <n v="51240"/>
    <x v="1"/>
    <s v="west"/>
    <s v="August"/>
    <n v="2019"/>
    <s v="Anglophone"/>
    <x v="1"/>
  </r>
  <r>
    <n v="10493"/>
    <x v="3"/>
    <s v="jone.ai@yahoo.com"/>
    <x v="0"/>
    <n v="150"/>
    <n v="200"/>
    <n v="926"/>
    <n v="185200"/>
    <n v="46300"/>
    <x v="2"/>
    <s v="southsouth"/>
    <s v="September"/>
    <n v="2019"/>
    <s v="Francophone"/>
    <x v="0"/>
  </r>
  <r>
    <n v="10494"/>
    <x v="6"/>
    <s v="morganny@gmail.com"/>
    <x v="1"/>
    <n v="250"/>
    <n v="500"/>
    <n v="808"/>
    <n v="404000"/>
    <n v="202000"/>
    <x v="3"/>
    <s v="northwest"/>
    <s v="October"/>
    <n v="2017"/>
    <s v="Francophone"/>
    <x v="0"/>
  </r>
  <r>
    <n v="10495"/>
    <x v="10"/>
    <s v="kivel_go@yahoo.com"/>
    <x v="2"/>
    <n v="180"/>
    <n v="450"/>
    <n v="883"/>
    <n v="397350"/>
    <n v="238410"/>
    <x v="4"/>
    <s v="northeast"/>
    <s v="November"/>
    <n v="2019"/>
    <s v="Francophone"/>
    <x v="0"/>
  </r>
  <r>
    <n v="10496"/>
    <x v="2"/>
    <s v="sorvi2000@gmail.com"/>
    <x v="3"/>
    <n v="170"/>
    <n v="250"/>
    <n v="958"/>
    <n v="239500"/>
    <n v="76640"/>
    <x v="0"/>
    <s v="northcentral"/>
    <s v="December"/>
    <n v="2019"/>
    <s v="Anglophone"/>
    <x v="0"/>
  </r>
  <r>
    <n v="10497"/>
    <x v="1"/>
    <s v="gillhell@uk.com"/>
    <x v="4"/>
    <n v="150"/>
    <n v="200"/>
    <n v="984"/>
    <n v="196800"/>
    <n v="49200"/>
    <x v="1"/>
    <s v="Southeast"/>
    <s v="January"/>
    <n v="2019"/>
    <s v="Anglophone"/>
    <x v="0"/>
  </r>
  <r>
    <n v="10498"/>
    <x v="2"/>
    <s v="sorvi2000@gmail.com"/>
    <x v="5"/>
    <n v="80"/>
    <n v="150"/>
    <n v="765"/>
    <n v="114750"/>
    <n v="53550"/>
    <x v="2"/>
    <s v="west"/>
    <s v="February"/>
    <n v="2017"/>
    <s v="Francophone"/>
    <x v="1"/>
  </r>
  <r>
    <n v="10499"/>
    <x v="5"/>
    <s v="thomp@uk.com"/>
    <x v="6"/>
    <n v="90"/>
    <n v="150"/>
    <n v="956"/>
    <n v="143400"/>
    <n v="57360"/>
    <x v="3"/>
    <s v="southsouth"/>
    <s v="March"/>
    <n v="2017"/>
    <s v="Francophone"/>
    <x v="1"/>
  </r>
  <r>
    <n v="10500"/>
    <x v="4"/>
    <s v="andy@gmail.com"/>
    <x v="0"/>
    <n v="150"/>
    <n v="200"/>
    <n v="931"/>
    <n v="186200"/>
    <n v="46550"/>
    <x v="4"/>
    <s v="northwest"/>
    <s v="April"/>
    <n v="2019"/>
    <s v="Francophone"/>
    <x v="0"/>
  </r>
  <r>
    <n v="10501"/>
    <x v="0"/>
    <s v="jard@gmail.com"/>
    <x v="1"/>
    <n v="250"/>
    <n v="500"/>
    <n v="718"/>
    <n v="359000"/>
    <n v="179500"/>
    <x v="0"/>
    <s v="northeast"/>
    <s v="May"/>
    <n v="2018"/>
    <s v="Anglophone"/>
    <x v="0"/>
  </r>
  <r>
    <n v="10502"/>
    <x v="0"/>
    <s v="jard@gmail.com"/>
    <x v="2"/>
    <n v="180"/>
    <n v="450"/>
    <n v="776"/>
    <n v="349200"/>
    <n v="209520"/>
    <x v="1"/>
    <s v="northcentral"/>
    <s v="June"/>
    <n v="2018"/>
    <s v="Anglophone"/>
    <x v="0"/>
  </r>
  <r>
    <n v="10503"/>
    <x v="4"/>
    <s v="andy@gmail.com"/>
    <x v="3"/>
    <n v="170"/>
    <n v="250"/>
    <n v="836"/>
    <n v="209000"/>
    <n v="66880"/>
    <x v="2"/>
    <s v="Southeast"/>
    <s v="July"/>
    <n v="2018"/>
    <s v="Francophone"/>
    <x v="0"/>
  </r>
  <r>
    <n v="10504"/>
    <x v="3"/>
    <s v="jone.ai@yahoo.com"/>
    <x v="4"/>
    <n v="150"/>
    <n v="200"/>
    <n v="730"/>
    <n v="146000"/>
    <n v="36500"/>
    <x v="3"/>
    <s v="west"/>
    <s v="August"/>
    <n v="2017"/>
    <s v="Francophone"/>
    <x v="0"/>
  </r>
  <r>
    <n v="10505"/>
    <x v="6"/>
    <s v="morganny@gmail.com"/>
    <x v="5"/>
    <n v="80"/>
    <n v="150"/>
    <n v="741"/>
    <n v="111150"/>
    <n v="51870"/>
    <x v="4"/>
    <s v="southsouth"/>
    <s v="September"/>
    <n v="2017"/>
    <s v="Francophone"/>
    <x v="1"/>
  </r>
  <r>
    <n v="10506"/>
    <x v="10"/>
    <s v="kivel_go@yahoo.com"/>
    <x v="6"/>
    <n v="90"/>
    <n v="150"/>
    <n v="982"/>
    <n v="147300"/>
    <n v="58920"/>
    <x v="0"/>
    <s v="northwest"/>
    <s v="October"/>
    <n v="2019"/>
    <s v="Anglophone"/>
    <x v="1"/>
  </r>
  <r>
    <n v="10507"/>
    <x v="2"/>
    <s v="sorvi2000@gmail.com"/>
    <x v="0"/>
    <n v="150"/>
    <n v="200"/>
    <n v="724"/>
    <n v="144800"/>
    <n v="36200"/>
    <x v="1"/>
    <s v="northeast"/>
    <s v="November"/>
    <n v="2019"/>
    <s v="Anglophone"/>
    <x v="0"/>
  </r>
  <r>
    <n v="10508"/>
    <x v="1"/>
    <s v="gillhell@uk.com"/>
    <x v="1"/>
    <n v="250"/>
    <n v="500"/>
    <n v="906"/>
    <n v="453000"/>
    <n v="226500"/>
    <x v="2"/>
    <s v="northcentral"/>
    <s v="December"/>
    <n v="2018"/>
    <s v="Francophone"/>
    <x v="0"/>
  </r>
  <r>
    <n v="10509"/>
    <x v="2"/>
    <s v="sorvi2000@gmail.com"/>
    <x v="2"/>
    <n v="180"/>
    <n v="450"/>
    <n v="907"/>
    <n v="408150"/>
    <n v="244890"/>
    <x v="3"/>
    <s v="Southeast"/>
    <s v="January"/>
    <n v="2018"/>
    <s v="Francophone"/>
    <x v="0"/>
  </r>
  <r>
    <n v="10510"/>
    <x v="5"/>
    <s v="thomp@uk.com"/>
    <x v="3"/>
    <n v="170"/>
    <n v="250"/>
    <n v="712"/>
    <n v="178000"/>
    <n v="56960"/>
    <x v="4"/>
    <s v="west"/>
    <s v="February"/>
    <n v="2019"/>
    <s v="Francophone"/>
    <x v="0"/>
  </r>
  <r>
    <n v="10511"/>
    <x v="4"/>
    <s v="andy@gmail.com"/>
    <x v="4"/>
    <n v="150"/>
    <n v="200"/>
    <n v="859"/>
    <n v="171800"/>
    <n v="42950"/>
    <x v="0"/>
    <s v="southsouth"/>
    <s v="March"/>
    <n v="2018"/>
    <s v="Anglophone"/>
    <x v="0"/>
  </r>
  <r>
    <n v="10512"/>
    <x v="0"/>
    <s v="jard@gmail.com"/>
    <x v="5"/>
    <n v="80"/>
    <n v="150"/>
    <n v="770"/>
    <n v="115500"/>
    <n v="53900"/>
    <x v="1"/>
    <s v="northwest"/>
    <s v="April"/>
    <n v="2018"/>
    <s v="Anglophone"/>
    <x v="1"/>
  </r>
  <r>
    <n v="10513"/>
    <x v="0"/>
    <s v="jard@gmail.com"/>
    <x v="6"/>
    <n v="90"/>
    <n v="150"/>
    <n v="775"/>
    <n v="116250"/>
    <n v="46500"/>
    <x v="2"/>
    <s v="northeast"/>
    <s v="May"/>
    <n v="2019"/>
    <s v="Francophone"/>
    <x v="1"/>
  </r>
  <r>
    <n v="10514"/>
    <x v="4"/>
    <s v="andy@gmail.com"/>
    <x v="0"/>
    <n v="150"/>
    <n v="200"/>
    <n v="820"/>
    <n v="164000"/>
    <n v="41000"/>
    <x v="3"/>
    <s v="northcentral"/>
    <s v="June"/>
    <n v="2019"/>
    <s v="Francophone"/>
    <x v="0"/>
  </r>
  <r>
    <n v="10515"/>
    <x v="0"/>
    <s v="jard@gmail.com"/>
    <x v="1"/>
    <n v="250"/>
    <n v="500"/>
    <n v="833"/>
    <n v="416500"/>
    <n v="208250"/>
    <x v="4"/>
    <s v="Southeast"/>
    <s v="July"/>
    <n v="2018"/>
    <s v="Francophone"/>
    <x v="0"/>
  </r>
  <r>
    <n v="10516"/>
    <x v="1"/>
    <s v="gillhell@uk.com"/>
    <x v="2"/>
    <n v="180"/>
    <n v="450"/>
    <n v="735"/>
    <n v="330750"/>
    <n v="198450"/>
    <x v="0"/>
    <s v="west"/>
    <s v="August"/>
    <n v="2017"/>
    <s v="Anglophone"/>
    <x v="0"/>
  </r>
  <r>
    <n v="10517"/>
    <x v="2"/>
    <s v="sorvi2000@gmail.com"/>
    <x v="3"/>
    <n v="170"/>
    <n v="250"/>
    <n v="884"/>
    <n v="221000"/>
    <n v="70720"/>
    <x v="1"/>
    <s v="southsouth"/>
    <s v="September"/>
    <n v="2017"/>
    <s v="Anglophone"/>
    <x v="0"/>
  </r>
  <r>
    <n v="10518"/>
    <x v="3"/>
    <s v="jone.ai@yahoo.com"/>
    <x v="4"/>
    <n v="150"/>
    <n v="200"/>
    <n v="888"/>
    <n v="177600"/>
    <n v="44400"/>
    <x v="2"/>
    <s v="northwest"/>
    <s v="October"/>
    <n v="2019"/>
    <s v="Francophone"/>
    <x v="0"/>
  </r>
  <r>
    <n v="10519"/>
    <x v="4"/>
    <s v="andy@gmail.com"/>
    <x v="5"/>
    <n v="80"/>
    <n v="150"/>
    <n v="756"/>
    <n v="113400"/>
    <n v="52920"/>
    <x v="3"/>
    <s v="northeast"/>
    <s v="November"/>
    <n v="2017"/>
    <s v="Francophone"/>
    <x v="1"/>
  </r>
  <r>
    <n v="10520"/>
    <x v="0"/>
    <s v="jard@gmail.com"/>
    <x v="6"/>
    <n v="90"/>
    <n v="150"/>
    <n v="787"/>
    <n v="118050"/>
    <n v="47220"/>
    <x v="4"/>
    <s v="northcentral"/>
    <s v="December"/>
    <n v="2019"/>
    <s v="Francophone"/>
    <x v="1"/>
  </r>
  <r>
    <n v="10521"/>
    <x v="5"/>
    <s v="thomp@uk.com"/>
    <x v="0"/>
    <n v="150"/>
    <n v="200"/>
    <n v="804"/>
    <n v="160800"/>
    <n v="40200"/>
    <x v="0"/>
    <s v="Southeast"/>
    <s v="January"/>
    <n v="2018"/>
    <s v="Anglophone"/>
    <x v="0"/>
  </r>
  <r>
    <n v="10522"/>
    <x v="3"/>
    <s v="jone.ai@yahoo.com"/>
    <x v="1"/>
    <n v="250"/>
    <n v="500"/>
    <n v="986"/>
    <n v="493000"/>
    <n v="246500"/>
    <x v="1"/>
    <s v="west"/>
    <s v="February"/>
    <n v="2018"/>
    <s v="Anglophone"/>
    <x v="0"/>
  </r>
  <r>
    <n v="10523"/>
    <x v="6"/>
    <s v="morganny@gmail.com"/>
    <x v="2"/>
    <n v="180"/>
    <n v="450"/>
    <n v="856"/>
    <n v="385200"/>
    <n v="231120"/>
    <x v="2"/>
    <s v="southsouth"/>
    <s v="March"/>
    <n v="2018"/>
    <s v="Francophone"/>
    <x v="0"/>
  </r>
  <r>
    <n v="10524"/>
    <x v="7"/>
    <s v="howard_freeman@yahoo.com"/>
    <x v="3"/>
    <n v="170"/>
    <n v="250"/>
    <n v="835"/>
    <n v="208750"/>
    <n v="66800"/>
    <x v="3"/>
    <s v="northwest"/>
    <s v="April"/>
    <n v="2018"/>
    <s v="Francophone"/>
    <x v="0"/>
  </r>
  <r>
    <n v="10525"/>
    <x v="8"/>
    <s v="parentty@uk.com"/>
    <x v="4"/>
    <n v="150"/>
    <n v="200"/>
    <n v="938"/>
    <n v="187600"/>
    <n v="46900"/>
    <x v="4"/>
    <s v="northeast"/>
    <s v="May"/>
    <n v="2018"/>
    <s v="Francophone"/>
    <x v="0"/>
  </r>
  <r>
    <n v="10526"/>
    <x v="3"/>
    <s v="jone.ai@yahoo.com"/>
    <x v="5"/>
    <n v="80"/>
    <n v="150"/>
    <n v="719"/>
    <n v="107850"/>
    <n v="50330"/>
    <x v="0"/>
    <s v="northcentral"/>
    <s v="June"/>
    <n v="2018"/>
    <s v="Anglophone"/>
    <x v="1"/>
  </r>
  <r>
    <n v="10527"/>
    <x v="9"/>
    <s v="smithMan@yahoo.com"/>
    <x v="6"/>
    <n v="90"/>
    <n v="150"/>
    <n v="868"/>
    <n v="130200"/>
    <n v="52080"/>
    <x v="1"/>
    <s v="Southeast"/>
    <s v="July"/>
    <n v="2017"/>
    <s v="Anglophone"/>
    <x v="1"/>
  </r>
  <r>
    <n v="10528"/>
    <x v="3"/>
    <s v="jone.ai@yahoo.com"/>
    <x v="0"/>
    <n v="150"/>
    <n v="200"/>
    <n v="885"/>
    <n v="177000"/>
    <n v="44250"/>
    <x v="2"/>
    <s v="west"/>
    <s v="August"/>
    <n v="2018"/>
    <s v="Francophone"/>
    <x v="0"/>
  </r>
  <r>
    <n v="10529"/>
    <x v="0"/>
    <s v="jard@gmail.com"/>
    <x v="1"/>
    <n v="250"/>
    <n v="500"/>
    <n v="943"/>
    <n v="471500"/>
    <n v="235750"/>
    <x v="3"/>
    <s v="southsouth"/>
    <s v="September"/>
    <n v="2018"/>
    <s v="Francophone"/>
    <x v="0"/>
  </r>
  <r>
    <n v="10530"/>
    <x v="1"/>
    <s v="gillhell@uk.com"/>
    <x v="2"/>
    <n v="180"/>
    <n v="450"/>
    <n v="900"/>
    <n v="405000"/>
    <n v="243000"/>
    <x v="4"/>
    <s v="northwest"/>
    <s v="October"/>
    <n v="2017"/>
    <s v="Francophone"/>
    <x v="0"/>
  </r>
  <r>
    <n v="10531"/>
    <x v="2"/>
    <s v="sorvi2000@gmail.com"/>
    <x v="3"/>
    <n v="170"/>
    <n v="250"/>
    <n v="950"/>
    <n v="237500"/>
    <n v="76000"/>
    <x v="0"/>
    <s v="northeast"/>
    <s v="November"/>
    <n v="2019"/>
    <s v="Anglophone"/>
    <x v="0"/>
  </r>
  <r>
    <n v="10532"/>
    <x v="3"/>
    <s v="jone.ai@yahoo.com"/>
    <x v="4"/>
    <n v="150"/>
    <n v="200"/>
    <n v="742"/>
    <n v="148400"/>
    <n v="37100"/>
    <x v="1"/>
    <s v="northcentral"/>
    <s v="December"/>
    <n v="2017"/>
    <s v="Anglophone"/>
    <x v="0"/>
  </r>
  <r>
    <n v="10533"/>
    <x v="4"/>
    <s v="andy@gmail.com"/>
    <x v="5"/>
    <n v="80"/>
    <n v="150"/>
    <n v="889"/>
    <n v="133350"/>
    <n v="62230"/>
    <x v="2"/>
    <s v="Southeast"/>
    <s v="January"/>
    <n v="2018"/>
    <s v="Francophone"/>
    <x v="1"/>
  </r>
  <r>
    <n v="10534"/>
    <x v="0"/>
    <s v="jard@gmail.com"/>
    <x v="6"/>
    <n v="90"/>
    <n v="150"/>
    <n v="939"/>
    <n v="140850"/>
    <n v="56340"/>
    <x v="3"/>
    <s v="west"/>
    <s v="February"/>
    <n v="2018"/>
    <s v="Francophone"/>
    <x v="1"/>
  </r>
  <r>
    <n v="10535"/>
    <x v="5"/>
    <s v="thomp@uk.com"/>
    <x v="0"/>
    <n v="150"/>
    <n v="200"/>
    <n v="950"/>
    <n v="190000"/>
    <n v="47500"/>
    <x v="4"/>
    <s v="southsouth"/>
    <s v="March"/>
    <n v="2018"/>
    <s v="Francophone"/>
    <x v="0"/>
  </r>
  <r>
    <n v="10536"/>
    <x v="3"/>
    <s v="jone.ai@yahoo.com"/>
    <x v="1"/>
    <n v="250"/>
    <n v="500"/>
    <n v="745"/>
    <n v="372500"/>
    <n v="186250"/>
    <x v="0"/>
    <s v="northwest"/>
    <s v="April"/>
    <n v="2018"/>
    <s v="Anglophone"/>
    <x v="0"/>
  </r>
  <r>
    <n v="10537"/>
    <x v="6"/>
    <s v="morganny@gmail.com"/>
    <x v="2"/>
    <n v="180"/>
    <n v="450"/>
    <n v="933"/>
    <n v="419850"/>
    <n v="251910"/>
    <x v="1"/>
    <s v="northeast"/>
    <s v="May"/>
    <n v="2017"/>
    <s v="Anglophone"/>
    <x v="0"/>
  </r>
  <r>
    <n v="10538"/>
    <x v="7"/>
    <s v="howard_freeman@yahoo.com"/>
    <x v="3"/>
    <n v="170"/>
    <n v="250"/>
    <n v="826"/>
    <n v="206500"/>
    <n v="66080"/>
    <x v="2"/>
    <s v="northcentral"/>
    <s v="June"/>
    <n v="2017"/>
    <s v="Francophone"/>
    <x v="0"/>
  </r>
  <r>
    <n v="10539"/>
    <x v="8"/>
    <s v="parentty@uk.com"/>
    <x v="4"/>
    <n v="150"/>
    <n v="200"/>
    <n v="989"/>
    <n v="197800"/>
    <n v="49450"/>
    <x v="3"/>
    <s v="Southeast"/>
    <s v="July"/>
    <n v="2017"/>
    <s v="Francophone"/>
    <x v="0"/>
  </r>
  <r>
    <n v="10540"/>
    <x v="3"/>
    <s v="jone.ai@yahoo.com"/>
    <x v="5"/>
    <n v="80"/>
    <n v="150"/>
    <n v="881"/>
    <n v="132150"/>
    <n v="61670"/>
    <x v="4"/>
    <s v="west"/>
    <s v="August"/>
    <n v="2019"/>
    <s v="Francophone"/>
    <x v="1"/>
  </r>
  <r>
    <n v="10541"/>
    <x v="9"/>
    <s v="smithMan@yahoo.com"/>
    <x v="6"/>
    <n v="90"/>
    <n v="150"/>
    <n v="768"/>
    <n v="115200"/>
    <n v="46080"/>
    <x v="0"/>
    <s v="southsouth"/>
    <s v="September"/>
    <n v="2019"/>
    <s v="Anglophone"/>
    <x v="1"/>
  </r>
  <r>
    <n v="10542"/>
    <x v="3"/>
    <s v="jone.ai@yahoo.com"/>
    <x v="0"/>
    <n v="150"/>
    <n v="200"/>
    <n v="844"/>
    <n v="168800"/>
    <n v="42200"/>
    <x v="1"/>
    <s v="northwest"/>
    <s v="October"/>
    <n v="2018"/>
    <s v="Anglophone"/>
    <x v="0"/>
  </r>
  <r>
    <n v="10543"/>
    <x v="6"/>
    <s v="morganny@gmail.com"/>
    <x v="1"/>
    <n v="250"/>
    <n v="500"/>
    <n v="790"/>
    <n v="395000"/>
    <n v="197500"/>
    <x v="2"/>
    <s v="northeast"/>
    <s v="November"/>
    <n v="2017"/>
    <s v="Francophone"/>
    <x v="0"/>
  </r>
  <r>
    <n v="10544"/>
    <x v="3"/>
    <s v="jone.ai@yahoo.com"/>
    <x v="2"/>
    <n v="180"/>
    <n v="450"/>
    <n v="898"/>
    <n v="404100"/>
    <n v="242460"/>
    <x v="3"/>
    <s v="northcentral"/>
    <s v="December"/>
    <n v="2018"/>
    <s v="Francophone"/>
    <x v="0"/>
  </r>
  <r>
    <n v="10545"/>
    <x v="8"/>
    <s v="parentty@uk.com"/>
    <x v="3"/>
    <n v="170"/>
    <n v="250"/>
    <n v="818"/>
    <n v="204500"/>
    <n v="65440"/>
    <x v="4"/>
    <s v="Southeast"/>
    <s v="January"/>
    <n v="2018"/>
    <s v="Francophone"/>
    <x v="0"/>
  </r>
  <r>
    <n v="10546"/>
    <x v="10"/>
    <s v="kivel_go@yahoo.com"/>
    <x v="4"/>
    <n v="150"/>
    <n v="200"/>
    <n v="707"/>
    <n v="141400"/>
    <n v="35350"/>
    <x v="0"/>
    <s v="west"/>
    <s v="February"/>
    <n v="2018"/>
    <s v="Anglophone"/>
    <x v="0"/>
  </r>
  <r>
    <n v="10547"/>
    <x v="9"/>
    <s v="smithMan@yahoo.com"/>
    <x v="5"/>
    <n v="80"/>
    <n v="150"/>
    <n v="712"/>
    <n v="106800"/>
    <n v="49840"/>
    <x v="1"/>
    <s v="southsouth"/>
    <s v="March"/>
    <n v="2017"/>
    <s v="Anglophone"/>
    <x v="1"/>
  </r>
  <r>
    <n v="10548"/>
    <x v="8"/>
    <s v="parentty@uk.com"/>
    <x v="6"/>
    <n v="90"/>
    <n v="150"/>
    <n v="991"/>
    <n v="148650"/>
    <n v="59460"/>
    <x v="2"/>
    <s v="northwest"/>
    <s v="April"/>
    <n v="2018"/>
    <s v="Francophone"/>
    <x v="1"/>
  </r>
  <r>
    <n v="10549"/>
    <x v="1"/>
    <s v="gillhell@uk.com"/>
    <x v="0"/>
    <n v="150"/>
    <n v="200"/>
    <n v="900"/>
    <n v="180000"/>
    <n v="45000"/>
    <x v="3"/>
    <s v="northeast"/>
    <s v="May"/>
    <n v="2019"/>
    <s v="Francophone"/>
    <x v="0"/>
  </r>
  <r>
    <n v="10550"/>
    <x v="9"/>
    <s v="smithMan@yahoo.com"/>
    <x v="1"/>
    <n v="250"/>
    <n v="500"/>
    <n v="810"/>
    <n v="405000"/>
    <n v="202500"/>
    <x v="4"/>
    <s v="northcentral"/>
    <s v="June"/>
    <n v="2019"/>
    <s v="Francophone"/>
    <x v="0"/>
  </r>
  <r>
    <n v="10551"/>
    <x v="3"/>
    <s v="jone.ai@yahoo.com"/>
    <x v="2"/>
    <n v="180"/>
    <n v="450"/>
    <n v="740"/>
    <n v="333000"/>
    <n v="199800"/>
    <x v="0"/>
    <s v="Southeast"/>
    <s v="July"/>
    <n v="2019"/>
    <s v="Anglophone"/>
    <x v="0"/>
  </r>
  <r>
    <n v="10552"/>
    <x v="2"/>
    <s v="sorvi2000@gmail.com"/>
    <x v="3"/>
    <n v="170"/>
    <n v="250"/>
    <n v="909"/>
    <n v="227250"/>
    <n v="72720"/>
    <x v="1"/>
    <s v="west"/>
    <s v="August"/>
    <n v="2017"/>
    <s v="Anglophone"/>
    <x v="0"/>
  </r>
  <r>
    <n v="10553"/>
    <x v="0"/>
    <s v="jard@gmail.com"/>
    <x v="4"/>
    <n v="150"/>
    <n v="200"/>
    <n v="824"/>
    <n v="164800"/>
    <n v="41200"/>
    <x v="2"/>
    <s v="southsouth"/>
    <s v="September"/>
    <n v="2018"/>
    <s v="Francophone"/>
    <x v="0"/>
  </r>
  <r>
    <n v="10554"/>
    <x v="4"/>
    <s v="andy@gmail.com"/>
    <x v="5"/>
    <n v="80"/>
    <n v="150"/>
    <n v="809"/>
    <n v="121350"/>
    <n v="56630"/>
    <x v="3"/>
    <s v="northwest"/>
    <s v="October"/>
    <n v="2017"/>
    <s v="Francophone"/>
    <x v="1"/>
  </r>
  <r>
    <n v="10555"/>
    <x v="7"/>
    <s v="howard_freeman@yahoo.com"/>
    <x v="6"/>
    <n v="90"/>
    <n v="150"/>
    <n v="819"/>
    <n v="122850"/>
    <n v="49140"/>
    <x v="4"/>
    <s v="northeast"/>
    <s v="November"/>
    <n v="2018"/>
    <s v="Francophone"/>
    <x v="1"/>
  </r>
  <r>
    <n v="10556"/>
    <x v="1"/>
    <s v="gillhell@uk.com"/>
    <x v="0"/>
    <n v="150"/>
    <n v="200"/>
    <n v="865"/>
    <n v="173000"/>
    <n v="43250"/>
    <x v="0"/>
    <s v="northcentral"/>
    <s v="December"/>
    <n v="2019"/>
    <s v="Anglophone"/>
    <x v="0"/>
  </r>
  <r>
    <n v="10557"/>
    <x v="1"/>
    <s v="gillhell@uk.com"/>
    <x v="1"/>
    <n v="250"/>
    <n v="500"/>
    <n v="902"/>
    <n v="451000"/>
    <n v="225500"/>
    <x v="1"/>
    <s v="Southeast"/>
    <s v="January"/>
    <n v="2019"/>
    <s v="Anglophone"/>
    <x v="0"/>
  </r>
  <r>
    <n v="10558"/>
    <x v="10"/>
    <s v="kivel_go@yahoo.com"/>
    <x v="2"/>
    <n v="180"/>
    <n v="450"/>
    <n v="796"/>
    <n v="358200"/>
    <n v="214920"/>
    <x v="2"/>
    <s v="west"/>
    <s v="February"/>
    <n v="2017"/>
    <s v="Francophone"/>
    <x v="0"/>
  </r>
  <r>
    <n v="10559"/>
    <x v="3"/>
    <s v="jone.ai@yahoo.com"/>
    <x v="3"/>
    <n v="170"/>
    <n v="250"/>
    <n v="916"/>
    <n v="229000"/>
    <n v="73280"/>
    <x v="3"/>
    <s v="southsouth"/>
    <s v="March"/>
    <n v="2018"/>
    <s v="Francophone"/>
    <x v="0"/>
  </r>
  <r>
    <n v="10560"/>
    <x v="6"/>
    <s v="morganny@gmail.com"/>
    <x v="4"/>
    <n v="150"/>
    <n v="200"/>
    <n v="982"/>
    <n v="196400"/>
    <n v="49100"/>
    <x v="4"/>
    <s v="northwest"/>
    <s v="April"/>
    <n v="2017"/>
    <s v="Francophone"/>
    <x v="0"/>
  </r>
  <r>
    <n v="10561"/>
    <x v="10"/>
    <s v="kivel_go@yahoo.com"/>
    <x v="5"/>
    <n v="80"/>
    <n v="150"/>
    <n v="734"/>
    <n v="110100"/>
    <n v="51380"/>
    <x v="0"/>
    <s v="northeast"/>
    <s v="May"/>
    <n v="2018"/>
    <s v="Anglophone"/>
    <x v="1"/>
  </r>
  <r>
    <n v="10562"/>
    <x v="2"/>
    <s v="sorvi2000@gmail.com"/>
    <x v="6"/>
    <n v="90"/>
    <n v="150"/>
    <n v="735"/>
    <n v="110250"/>
    <n v="44100"/>
    <x v="1"/>
    <s v="northcentral"/>
    <s v="June"/>
    <n v="2019"/>
    <s v="Anglophone"/>
    <x v="1"/>
  </r>
  <r>
    <n v="10563"/>
    <x v="1"/>
    <s v="gillhell@uk.com"/>
    <x v="0"/>
    <n v="150"/>
    <n v="200"/>
    <n v="747"/>
    <n v="149400"/>
    <n v="37350"/>
    <x v="2"/>
    <s v="Southeast"/>
    <s v="July"/>
    <n v="2017"/>
    <s v="Francophone"/>
    <x v="0"/>
  </r>
  <r>
    <n v="10564"/>
    <x v="2"/>
    <s v="sorvi2000@gmail.com"/>
    <x v="1"/>
    <n v="250"/>
    <n v="500"/>
    <n v="798"/>
    <n v="399000"/>
    <n v="199500"/>
    <x v="3"/>
    <s v="west"/>
    <s v="August"/>
    <n v="2018"/>
    <s v="Francophone"/>
    <x v="0"/>
  </r>
  <r>
    <n v="10565"/>
    <x v="5"/>
    <s v="thomp@uk.com"/>
    <x v="2"/>
    <n v="180"/>
    <n v="450"/>
    <n v="829"/>
    <n v="373050"/>
    <n v="223830"/>
    <x v="4"/>
    <s v="southsouth"/>
    <s v="September"/>
    <n v="2017"/>
    <s v="Francophone"/>
    <x v="0"/>
  </r>
  <r>
    <n v="10566"/>
    <x v="4"/>
    <s v="andy@gmail.com"/>
    <x v="3"/>
    <n v="170"/>
    <n v="250"/>
    <n v="729"/>
    <n v="182250"/>
    <n v="58320"/>
    <x v="0"/>
    <s v="northwest"/>
    <s v="October"/>
    <n v="2017"/>
    <s v="Anglophone"/>
    <x v="0"/>
  </r>
  <r>
    <n v="10567"/>
    <x v="0"/>
    <s v="jard@gmail.com"/>
    <x v="4"/>
    <n v="150"/>
    <n v="200"/>
    <n v="721"/>
    <n v="144200"/>
    <n v="36050"/>
    <x v="1"/>
    <s v="northeast"/>
    <s v="November"/>
    <n v="2019"/>
    <s v="Anglophone"/>
    <x v="0"/>
  </r>
  <r>
    <n v="10568"/>
    <x v="0"/>
    <s v="jard@gmail.com"/>
    <x v="5"/>
    <n v="80"/>
    <n v="150"/>
    <n v="709"/>
    <n v="106350"/>
    <n v="49630"/>
    <x v="2"/>
    <s v="northcentral"/>
    <s v="December"/>
    <n v="2018"/>
    <s v="Francophone"/>
    <x v="1"/>
  </r>
  <r>
    <n v="10569"/>
    <x v="4"/>
    <s v="andy@gmail.com"/>
    <x v="6"/>
    <n v="90"/>
    <n v="150"/>
    <n v="719"/>
    <n v="107850"/>
    <n v="43140"/>
    <x v="3"/>
    <s v="Southeast"/>
    <s v="January"/>
    <n v="2017"/>
    <s v="Francophone"/>
    <x v="1"/>
  </r>
  <r>
    <n v="10570"/>
    <x v="0"/>
    <s v="jard@gmail.com"/>
    <x v="0"/>
    <n v="150"/>
    <n v="200"/>
    <n v="875"/>
    <n v="175000"/>
    <n v="43750"/>
    <x v="4"/>
    <s v="west"/>
    <s v="February"/>
    <n v="2018"/>
    <s v="Francophone"/>
    <x v="0"/>
  </r>
  <r>
    <n v="10571"/>
    <x v="1"/>
    <s v="gillhell@uk.com"/>
    <x v="1"/>
    <n v="250"/>
    <n v="500"/>
    <n v="762"/>
    <n v="381000"/>
    <n v="190500"/>
    <x v="0"/>
    <s v="southsouth"/>
    <s v="March"/>
    <n v="2017"/>
    <s v="Anglophone"/>
    <x v="0"/>
  </r>
  <r>
    <n v="10572"/>
    <x v="2"/>
    <s v="sorvi2000@gmail.com"/>
    <x v="2"/>
    <n v="180"/>
    <n v="450"/>
    <n v="964"/>
    <n v="433800"/>
    <n v="260280"/>
    <x v="1"/>
    <s v="northwest"/>
    <s v="April"/>
    <n v="2017"/>
    <s v="Anglophone"/>
    <x v="0"/>
  </r>
  <r>
    <n v="10573"/>
    <x v="3"/>
    <s v="jone.ai@yahoo.com"/>
    <x v="3"/>
    <n v="170"/>
    <n v="250"/>
    <n v="931"/>
    <n v="232750"/>
    <n v="74480"/>
    <x v="2"/>
    <s v="northeast"/>
    <s v="May"/>
    <n v="2018"/>
    <s v="Francophone"/>
    <x v="0"/>
  </r>
  <r>
    <n v="10574"/>
    <x v="4"/>
    <s v="andy@gmail.com"/>
    <x v="4"/>
    <n v="150"/>
    <n v="200"/>
    <n v="766"/>
    <n v="153200"/>
    <n v="38300"/>
    <x v="3"/>
    <s v="northcentral"/>
    <s v="June"/>
    <n v="2019"/>
    <s v="Francophone"/>
    <x v="0"/>
  </r>
  <r>
    <n v="10575"/>
    <x v="0"/>
    <s v="jard@gmail.com"/>
    <x v="5"/>
    <n v="80"/>
    <n v="150"/>
    <n v="746"/>
    <n v="111900"/>
    <n v="52220"/>
    <x v="4"/>
    <s v="Southeast"/>
    <s v="July"/>
    <n v="2018"/>
    <s v="Francophone"/>
    <x v="1"/>
  </r>
  <r>
    <n v="10576"/>
    <x v="5"/>
    <s v="thomp@uk.com"/>
    <x v="6"/>
    <n v="90"/>
    <n v="150"/>
    <n v="942"/>
    <n v="141300"/>
    <n v="56520"/>
    <x v="0"/>
    <s v="west"/>
    <s v="August"/>
    <n v="2017"/>
    <s v="Anglophone"/>
    <x v="1"/>
  </r>
  <r>
    <n v="10577"/>
    <x v="3"/>
    <s v="jone.ai@yahoo.com"/>
    <x v="0"/>
    <n v="150"/>
    <n v="200"/>
    <n v="724"/>
    <n v="144800"/>
    <n v="36200"/>
    <x v="1"/>
    <s v="southsouth"/>
    <s v="September"/>
    <n v="2019"/>
    <s v="Anglophone"/>
    <x v="0"/>
  </r>
  <r>
    <n v="10578"/>
    <x v="6"/>
    <s v="morganny@gmail.com"/>
    <x v="1"/>
    <n v="250"/>
    <n v="500"/>
    <n v="887"/>
    <n v="443500"/>
    <n v="221750"/>
    <x v="2"/>
    <s v="northwest"/>
    <s v="October"/>
    <n v="2018"/>
    <s v="Francophone"/>
    <x v="0"/>
  </r>
  <r>
    <n v="10579"/>
    <x v="7"/>
    <s v="howard_freeman@yahoo.com"/>
    <x v="2"/>
    <n v="180"/>
    <n v="450"/>
    <n v="703"/>
    <n v="316350"/>
    <n v="189810"/>
    <x v="3"/>
    <s v="northeast"/>
    <s v="November"/>
    <n v="2017"/>
    <s v="Francophone"/>
    <x v="0"/>
  </r>
  <r>
    <n v="10580"/>
    <x v="8"/>
    <s v="parentty@uk.com"/>
    <x v="3"/>
    <n v="170"/>
    <n v="250"/>
    <n v="930"/>
    <n v="232500"/>
    <n v="74400"/>
    <x v="4"/>
    <s v="northcentral"/>
    <s v="December"/>
    <n v="2018"/>
    <s v="Francophone"/>
    <x v="0"/>
  </r>
  <r>
    <n v="10581"/>
    <x v="3"/>
    <s v="jone.ai@yahoo.com"/>
    <x v="4"/>
    <n v="150"/>
    <n v="200"/>
    <n v="867"/>
    <n v="173400"/>
    <n v="43350"/>
    <x v="0"/>
    <s v="Southeast"/>
    <s v="January"/>
    <n v="2017"/>
    <s v="Anglophone"/>
    <x v="0"/>
  </r>
  <r>
    <n v="10582"/>
    <x v="9"/>
    <s v="smithMan@yahoo.com"/>
    <x v="5"/>
    <n v="80"/>
    <n v="150"/>
    <n v="853"/>
    <n v="127950"/>
    <n v="59710"/>
    <x v="1"/>
    <s v="west"/>
    <s v="February"/>
    <n v="2018"/>
    <s v="Anglophone"/>
    <x v="1"/>
  </r>
  <r>
    <n v="10583"/>
    <x v="3"/>
    <s v="jone.ai@yahoo.com"/>
    <x v="6"/>
    <n v="90"/>
    <n v="150"/>
    <n v="794"/>
    <n v="119100"/>
    <n v="47640"/>
    <x v="2"/>
    <s v="southsouth"/>
    <s v="March"/>
    <n v="2018"/>
    <s v="Francophone"/>
    <x v="1"/>
  </r>
  <r>
    <n v="10584"/>
    <x v="6"/>
    <s v="morganny@gmail.com"/>
    <x v="0"/>
    <n v="150"/>
    <n v="200"/>
    <n v="974"/>
    <n v="194800"/>
    <n v="48700"/>
    <x v="3"/>
    <s v="northwest"/>
    <s v="April"/>
    <n v="2018"/>
    <s v="Francophone"/>
    <x v="0"/>
  </r>
  <r>
    <n v="10585"/>
    <x v="3"/>
    <s v="jone.ai@yahoo.com"/>
    <x v="1"/>
    <n v="250"/>
    <n v="500"/>
    <n v="778"/>
    <n v="389000"/>
    <n v="194500"/>
    <x v="4"/>
    <s v="northeast"/>
    <s v="May"/>
    <n v="2019"/>
    <s v="Francophone"/>
    <x v="0"/>
  </r>
  <r>
    <n v="10586"/>
    <x v="8"/>
    <s v="parentty@uk.com"/>
    <x v="2"/>
    <n v="180"/>
    <n v="450"/>
    <n v="939"/>
    <n v="422550"/>
    <n v="253530"/>
    <x v="0"/>
    <s v="northcentral"/>
    <s v="June"/>
    <n v="2018"/>
    <s v="Anglophone"/>
    <x v="0"/>
  </r>
  <r>
    <n v="10587"/>
    <x v="10"/>
    <s v="kivel_go@yahoo.com"/>
    <x v="3"/>
    <n v="170"/>
    <n v="250"/>
    <n v="763"/>
    <n v="190750"/>
    <n v="61040"/>
    <x v="1"/>
    <s v="Southeast"/>
    <s v="July"/>
    <n v="2017"/>
    <s v="Anglophone"/>
    <x v="0"/>
  </r>
  <r>
    <n v="10588"/>
    <x v="9"/>
    <s v="smithMan@yahoo.com"/>
    <x v="4"/>
    <n v="150"/>
    <n v="200"/>
    <n v="970"/>
    <n v="194000"/>
    <n v="48500"/>
    <x v="2"/>
    <s v="west"/>
    <s v="August"/>
    <n v="2019"/>
    <s v="Francophone"/>
    <x v="0"/>
  </r>
  <r>
    <n v="10589"/>
    <x v="8"/>
    <s v="parentty@uk.com"/>
    <x v="5"/>
    <n v="80"/>
    <n v="150"/>
    <n v="808"/>
    <n v="121200"/>
    <n v="56560"/>
    <x v="3"/>
    <s v="southsouth"/>
    <s v="September"/>
    <n v="2017"/>
    <s v="Francophone"/>
    <x v="1"/>
  </r>
  <r>
    <n v="10590"/>
    <x v="1"/>
    <s v="gillhell@uk.com"/>
    <x v="6"/>
    <n v="90"/>
    <n v="150"/>
    <n v="952"/>
    <n v="142800"/>
    <n v="57120"/>
    <x v="4"/>
    <s v="northwest"/>
    <s v="October"/>
    <n v="2019"/>
    <s v="Francophone"/>
    <x v="1"/>
  </r>
  <r>
    <n v="10591"/>
    <x v="9"/>
    <s v="smithMan@yahoo.com"/>
    <x v="0"/>
    <n v="150"/>
    <n v="200"/>
    <n v="918"/>
    <n v="183600"/>
    <n v="45900"/>
    <x v="0"/>
    <s v="northeast"/>
    <s v="November"/>
    <n v="2019"/>
    <s v="Anglophone"/>
    <x v="0"/>
  </r>
  <r>
    <n v="10592"/>
    <x v="3"/>
    <s v="jone.ai@yahoo.com"/>
    <x v="1"/>
    <n v="250"/>
    <n v="500"/>
    <n v="934"/>
    <n v="467000"/>
    <n v="233500"/>
    <x v="1"/>
    <s v="northcentral"/>
    <s v="December"/>
    <n v="2018"/>
    <s v="Anglophone"/>
    <x v="0"/>
  </r>
  <r>
    <n v="10593"/>
    <x v="2"/>
    <s v="sorvi2000@gmail.com"/>
    <x v="2"/>
    <n v="180"/>
    <n v="450"/>
    <n v="753"/>
    <n v="338850"/>
    <n v="203310"/>
    <x v="2"/>
    <s v="Southeast"/>
    <s v="January"/>
    <n v="2019"/>
    <s v="Francophone"/>
    <x v="0"/>
  </r>
  <r>
    <n v="10594"/>
    <x v="0"/>
    <s v="jard@gmail.com"/>
    <x v="3"/>
    <n v="170"/>
    <n v="250"/>
    <n v="740"/>
    <n v="185000"/>
    <n v="59200"/>
    <x v="3"/>
    <s v="west"/>
    <s v="February"/>
    <n v="2018"/>
    <s v="Francophone"/>
    <x v="0"/>
  </r>
  <r>
    <n v="10595"/>
    <x v="4"/>
    <s v="andy@gmail.com"/>
    <x v="4"/>
    <n v="150"/>
    <n v="200"/>
    <n v="829"/>
    <n v="165800"/>
    <n v="41450"/>
    <x v="4"/>
    <s v="southsouth"/>
    <s v="March"/>
    <n v="2018"/>
    <s v="Francophone"/>
    <x v="0"/>
  </r>
  <r>
    <n v="10596"/>
    <x v="7"/>
    <s v="howard_freeman@yahoo.com"/>
    <x v="5"/>
    <n v="80"/>
    <n v="150"/>
    <n v="977"/>
    <n v="146550"/>
    <n v="68390"/>
    <x v="0"/>
    <s v="northwest"/>
    <s v="April"/>
    <n v="2018"/>
    <s v="Anglophone"/>
    <x v="1"/>
  </r>
  <r>
    <n v="10597"/>
    <x v="1"/>
    <s v="gillhell@uk.com"/>
    <x v="6"/>
    <n v="90"/>
    <n v="150"/>
    <n v="968"/>
    <n v="145200"/>
    <n v="58080"/>
    <x v="1"/>
    <s v="northeast"/>
    <s v="May"/>
    <n v="2018"/>
    <s v="Anglophone"/>
    <x v="1"/>
  </r>
  <r>
    <n v="10598"/>
    <x v="1"/>
    <s v="gillhell@uk.com"/>
    <x v="0"/>
    <n v="150"/>
    <n v="200"/>
    <n v="797"/>
    <n v="159400"/>
    <n v="39850"/>
    <x v="2"/>
    <s v="northcentral"/>
    <s v="June"/>
    <n v="2017"/>
    <s v="Francophone"/>
    <x v="0"/>
  </r>
  <r>
    <n v="10599"/>
    <x v="10"/>
    <s v="kivel_go@yahoo.com"/>
    <x v="1"/>
    <n v="250"/>
    <n v="500"/>
    <n v="926"/>
    <n v="463000"/>
    <n v="231500"/>
    <x v="3"/>
    <s v="Southeast"/>
    <s v="July"/>
    <n v="2018"/>
    <s v="Francophone"/>
    <x v="0"/>
  </r>
  <r>
    <n v="10600"/>
    <x v="3"/>
    <s v="jone.ai@yahoo.com"/>
    <x v="2"/>
    <n v="180"/>
    <n v="450"/>
    <n v="925"/>
    <n v="416250"/>
    <n v="249750"/>
    <x v="4"/>
    <s v="west"/>
    <s v="August"/>
    <n v="2019"/>
    <s v="Francophone"/>
    <x v="0"/>
  </r>
  <r>
    <n v="10601"/>
    <x v="6"/>
    <s v="morganny@gmail.com"/>
    <x v="3"/>
    <n v="170"/>
    <n v="250"/>
    <n v="911"/>
    <n v="227750"/>
    <n v="72880"/>
    <x v="0"/>
    <s v="southsouth"/>
    <s v="September"/>
    <n v="2017"/>
    <s v="Anglophone"/>
    <x v="0"/>
  </r>
  <r>
    <n v="10602"/>
    <x v="10"/>
    <s v="kivel_go@yahoo.com"/>
    <x v="4"/>
    <n v="150"/>
    <n v="200"/>
    <n v="709"/>
    <n v="141800"/>
    <n v="35450"/>
    <x v="1"/>
    <s v="northwest"/>
    <s v="October"/>
    <n v="2017"/>
    <s v="Anglophone"/>
    <x v="0"/>
  </r>
  <r>
    <n v="10603"/>
    <x v="2"/>
    <s v="sorvi2000@gmail.com"/>
    <x v="5"/>
    <n v="80"/>
    <n v="150"/>
    <n v="791"/>
    <n v="118650"/>
    <n v="55370"/>
    <x v="2"/>
    <s v="northeast"/>
    <s v="November"/>
    <n v="2019"/>
    <s v="Francophone"/>
    <x v="1"/>
  </r>
  <r>
    <n v="10604"/>
    <x v="1"/>
    <s v="gillhell@uk.com"/>
    <x v="6"/>
    <n v="90"/>
    <n v="150"/>
    <n v="702"/>
    <n v="105300"/>
    <n v="42120"/>
    <x v="3"/>
    <s v="northcentral"/>
    <s v="December"/>
    <n v="2018"/>
    <s v="Francophone"/>
    <x v="1"/>
  </r>
  <r>
    <n v="10605"/>
    <x v="2"/>
    <s v="sorvi2000@gmail.com"/>
    <x v="0"/>
    <n v="150"/>
    <n v="200"/>
    <n v="922"/>
    <n v="184400"/>
    <n v="46100"/>
    <x v="4"/>
    <s v="Southeast"/>
    <s v="January"/>
    <n v="2017"/>
    <s v="Francophone"/>
    <x v="0"/>
  </r>
  <r>
    <n v="10606"/>
    <x v="5"/>
    <s v="thomp@uk.com"/>
    <x v="1"/>
    <n v="250"/>
    <n v="500"/>
    <n v="957"/>
    <n v="478500"/>
    <n v="239250"/>
    <x v="0"/>
    <s v="west"/>
    <s v="February"/>
    <n v="2019"/>
    <s v="Anglophone"/>
    <x v="0"/>
  </r>
  <r>
    <n v="10607"/>
    <x v="4"/>
    <s v="andy@gmail.com"/>
    <x v="2"/>
    <n v="180"/>
    <n v="450"/>
    <n v="811"/>
    <n v="364950"/>
    <n v="218970"/>
    <x v="1"/>
    <s v="southsouth"/>
    <s v="March"/>
    <n v="2017"/>
    <s v="Anglophone"/>
    <x v="0"/>
  </r>
  <r>
    <n v="10608"/>
    <x v="0"/>
    <s v="jard@gmail.com"/>
    <x v="3"/>
    <n v="170"/>
    <n v="250"/>
    <n v="776"/>
    <n v="194000"/>
    <n v="62080"/>
    <x v="2"/>
    <s v="northwest"/>
    <s v="April"/>
    <n v="2018"/>
    <s v="Francophone"/>
    <x v="0"/>
  </r>
  <r>
    <n v="10609"/>
    <x v="0"/>
    <s v="jard@gmail.com"/>
    <x v="4"/>
    <n v="150"/>
    <n v="200"/>
    <n v="998"/>
    <n v="199600"/>
    <n v="49900"/>
    <x v="3"/>
    <s v="northeast"/>
    <s v="May"/>
    <n v="2018"/>
    <s v="Francophone"/>
    <x v="0"/>
  </r>
  <r>
    <n v="10610"/>
    <x v="4"/>
    <s v="andy@gmail.com"/>
    <x v="5"/>
    <n v="80"/>
    <n v="150"/>
    <n v="872"/>
    <n v="130800"/>
    <n v="61040"/>
    <x v="4"/>
    <s v="northcentral"/>
    <s v="June"/>
    <n v="2017"/>
    <s v="Francophone"/>
    <x v="1"/>
  </r>
  <r>
    <n v="10611"/>
    <x v="3"/>
    <s v="jone.ai@yahoo.com"/>
    <x v="6"/>
    <n v="90"/>
    <n v="150"/>
    <n v="763"/>
    <n v="114450"/>
    <n v="45780"/>
    <x v="0"/>
    <s v="Southeast"/>
    <s v="July"/>
    <n v="2019"/>
    <s v="Anglophone"/>
    <x v="1"/>
  </r>
  <r>
    <n v="10612"/>
    <x v="6"/>
    <s v="morganny@gmail.com"/>
    <x v="0"/>
    <n v="150"/>
    <n v="200"/>
    <n v="822"/>
    <n v="164400"/>
    <n v="41100"/>
    <x v="1"/>
    <s v="west"/>
    <s v="August"/>
    <n v="2017"/>
    <s v="Anglophone"/>
    <x v="0"/>
  </r>
  <r>
    <n v="10613"/>
    <x v="10"/>
    <s v="kivel_go@yahoo.com"/>
    <x v="1"/>
    <n v="250"/>
    <n v="500"/>
    <n v="721"/>
    <n v="360500"/>
    <n v="180250"/>
    <x v="2"/>
    <s v="southsouth"/>
    <s v="September"/>
    <n v="2018"/>
    <s v="Francophone"/>
    <x v="0"/>
  </r>
  <r>
    <n v="10614"/>
    <x v="2"/>
    <s v="sorvi2000@gmail.com"/>
    <x v="2"/>
    <n v="180"/>
    <n v="450"/>
    <n v="890"/>
    <n v="400500"/>
    <n v="240300"/>
    <x v="3"/>
    <s v="northwest"/>
    <s v="October"/>
    <n v="2017"/>
    <s v="Francophone"/>
    <x v="0"/>
  </r>
  <r>
    <n v="10615"/>
    <x v="1"/>
    <s v="gillhell@uk.com"/>
    <x v="3"/>
    <n v="170"/>
    <n v="250"/>
    <n v="860"/>
    <n v="215000"/>
    <n v="68800"/>
    <x v="4"/>
    <s v="northeast"/>
    <s v="November"/>
    <n v="2019"/>
    <s v="Francophone"/>
    <x v="0"/>
  </r>
  <r>
    <n v="10616"/>
    <x v="2"/>
    <s v="sorvi2000@gmail.com"/>
    <x v="4"/>
    <n v="150"/>
    <n v="200"/>
    <n v="824"/>
    <n v="164800"/>
    <n v="41200"/>
    <x v="0"/>
    <s v="northcentral"/>
    <s v="December"/>
    <n v="2017"/>
    <s v="Anglophone"/>
    <x v="0"/>
  </r>
  <r>
    <n v="10617"/>
    <x v="5"/>
    <s v="thomp@uk.com"/>
    <x v="5"/>
    <n v="80"/>
    <n v="150"/>
    <n v="916"/>
    <n v="137400"/>
    <n v="64120"/>
    <x v="1"/>
    <s v="Southeast"/>
    <s v="January"/>
    <n v="2017"/>
    <s v="Anglophone"/>
    <x v="1"/>
  </r>
  <r>
    <n v="10618"/>
    <x v="4"/>
    <s v="andy@gmail.com"/>
    <x v="6"/>
    <n v="90"/>
    <n v="150"/>
    <n v="855"/>
    <n v="128250"/>
    <n v="51300"/>
    <x v="2"/>
    <s v="west"/>
    <s v="February"/>
    <n v="2019"/>
    <s v="Francophone"/>
    <x v="1"/>
  </r>
  <r>
    <n v="10619"/>
    <x v="0"/>
    <s v="jard@gmail.com"/>
    <x v="0"/>
    <n v="150"/>
    <n v="200"/>
    <n v="715"/>
    <n v="143000"/>
    <n v="35750"/>
    <x v="3"/>
    <s v="southsouth"/>
    <s v="March"/>
    <n v="2018"/>
    <s v="Francophone"/>
    <x v="0"/>
  </r>
  <r>
    <n v="10620"/>
    <x v="0"/>
    <s v="jard@gmail.com"/>
    <x v="1"/>
    <n v="250"/>
    <n v="500"/>
    <n v="940"/>
    <n v="470000"/>
    <n v="235000"/>
    <x v="4"/>
    <s v="northwest"/>
    <s v="April"/>
    <n v="2019"/>
    <s v="Francophone"/>
    <x v="0"/>
  </r>
  <r>
    <n v="10621"/>
    <x v="4"/>
    <s v="andy@gmail.com"/>
    <x v="2"/>
    <n v="180"/>
    <n v="450"/>
    <n v="847"/>
    <n v="381150"/>
    <n v="228690"/>
    <x v="0"/>
    <s v="northeast"/>
    <s v="May"/>
    <n v="2019"/>
    <s v="Anglophone"/>
    <x v="0"/>
  </r>
  <r>
    <n v="10622"/>
    <x v="0"/>
    <s v="jard@gmail.com"/>
    <x v="3"/>
    <n v="170"/>
    <n v="250"/>
    <n v="889"/>
    <n v="222250"/>
    <n v="71120"/>
    <x v="1"/>
    <s v="northcentral"/>
    <s v="June"/>
    <n v="2017"/>
    <s v="Anglophone"/>
    <x v="0"/>
  </r>
  <r>
    <n v="10623"/>
    <x v="1"/>
    <s v="gillhell@uk.com"/>
    <x v="4"/>
    <n v="150"/>
    <n v="200"/>
    <n v="928"/>
    <n v="185600"/>
    <n v="46400"/>
    <x v="2"/>
    <s v="Southeast"/>
    <s v="July"/>
    <n v="2019"/>
    <s v="Francophone"/>
    <x v="0"/>
  </r>
  <r>
    <n v="10624"/>
    <x v="2"/>
    <s v="sorvi2000@gmail.com"/>
    <x v="5"/>
    <n v="80"/>
    <n v="150"/>
    <n v="943"/>
    <n v="141450"/>
    <n v="66010"/>
    <x v="3"/>
    <s v="west"/>
    <s v="August"/>
    <n v="2019"/>
    <s v="Francophone"/>
    <x v="1"/>
  </r>
  <r>
    <n v="10625"/>
    <x v="3"/>
    <s v="jone.ai@yahoo.com"/>
    <x v="6"/>
    <n v="90"/>
    <n v="150"/>
    <n v="716"/>
    <n v="107400"/>
    <n v="42960"/>
    <x v="4"/>
    <s v="southsouth"/>
    <s v="September"/>
    <n v="2018"/>
    <s v="Francophone"/>
    <x v="1"/>
  </r>
  <r>
    <n v="10626"/>
    <x v="4"/>
    <s v="andy@gmail.com"/>
    <x v="0"/>
    <n v="150"/>
    <n v="200"/>
    <n v="757"/>
    <n v="151400"/>
    <n v="37850"/>
    <x v="0"/>
    <s v="northwest"/>
    <s v="October"/>
    <n v="2018"/>
    <s v="Anglophone"/>
    <x v="0"/>
  </r>
  <r>
    <n v="10627"/>
    <x v="0"/>
    <s v="jard@gmail.com"/>
    <x v="1"/>
    <n v="250"/>
    <n v="500"/>
    <n v="795"/>
    <n v="397500"/>
    <n v="198750"/>
    <x v="1"/>
    <s v="northeast"/>
    <s v="November"/>
    <n v="2017"/>
    <s v="Anglophone"/>
    <x v="0"/>
  </r>
  <r>
    <n v="10628"/>
    <x v="5"/>
    <s v="thomp@uk.com"/>
    <x v="2"/>
    <n v="180"/>
    <n v="450"/>
    <n v="940"/>
    <n v="423000"/>
    <n v="253800"/>
    <x v="2"/>
    <s v="northcentral"/>
    <s v="December"/>
    <n v="2019"/>
    <s v="Francophone"/>
    <x v="0"/>
  </r>
  <r>
    <n v="10629"/>
    <x v="3"/>
    <s v="jone.ai@yahoo.com"/>
    <x v="3"/>
    <n v="170"/>
    <n v="250"/>
    <n v="899"/>
    <n v="224750"/>
    <n v="71920"/>
    <x v="3"/>
    <s v="Southeast"/>
    <s v="January"/>
    <n v="2019"/>
    <s v="Francophone"/>
    <x v="0"/>
  </r>
  <r>
    <n v="10630"/>
    <x v="6"/>
    <s v="morganny@gmail.com"/>
    <x v="4"/>
    <n v="150"/>
    <n v="200"/>
    <n v="907"/>
    <n v="181400"/>
    <n v="45350"/>
    <x v="4"/>
    <s v="west"/>
    <s v="February"/>
    <n v="2018"/>
    <s v="Francophone"/>
    <x v="0"/>
  </r>
  <r>
    <n v="10631"/>
    <x v="7"/>
    <s v="howard_freeman@yahoo.com"/>
    <x v="5"/>
    <n v="80"/>
    <n v="150"/>
    <n v="929"/>
    <n v="139350"/>
    <n v="65030"/>
    <x v="0"/>
    <s v="southsouth"/>
    <s v="March"/>
    <n v="2019"/>
    <s v="Anglophone"/>
    <x v="1"/>
  </r>
  <r>
    <n v="10632"/>
    <x v="8"/>
    <s v="parentty@uk.com"/>
    <x v="6"/>
    <n v="90"/>
    <n v="150"/>
    <n v="790"/>
    <n v="118500"/>
    <n v="47400"/>
    <x v="1"/>
    <s v="northwest"/>
    <s v="April"/>
    <n v="2018"/>
    <s v="Anglophone"/>
    <x v="1"/>
  </r>
  <r>
    <n v="10633"/>
    <x v="3"/>
    <s v="jone.ai@yahoo.com"/>
    <x v="0"/>
    <n v="150"/>
    <n v="200"/>
    <n v="939"/>
    <n v="187800"/>
    <n v="46950"/>
    <x v="2"/>
    <s v="northeast"/>
    <s v="May"/>
    <n v="2018"/>
    <s v="Francophone"/>
    <x v="0"/>
  </r>
  <r>
    <n v="10634"/>
    <x v="9"/>
    <s v="smithMan@yahoo.com"/>
    <x v="1"/>
    <n v="250"/>
    <n v="500"/>
    <n v="720"/>
    <n v="360000"/>
    <n v="180000"/>
    <x v="3"/>
    <s v="northcentral"/>
    <s v="June"/>
    <n v="2019"/>
    <s v="Francophone"/>
    <x v="0"/>
  </r>
  <r>
    <n v="10635"/>
    <x v="3"/>
    <s v="jone.ai@yahoo.com"/>
    <x v="2"/>
    <n v="180"/>
    <n v="450"/>
    <n v="745"/>
    <n v="335250"/>
    <n v="201150"/>
    <x v="4"/>
    <s v="Southeast"/>
    <s v="July"/>
    <n v="2018"/>
    <s v="Francophone"/>
    <x v="0"/>
  </r>
  <r>
    <n v="10636"/>
    <x v="0"/>
    <s v="jard@gmail.com"/>
    <x v="3"/>
    <n v="170"/>
    <n v="250"/>
    <n v="846"/>
    <n v="211500"/>
    <n v="67680"/>
    <x v="0"/>
    <s v="west"/>
    <s v="August"/>
    <n v="2017"/>
    <s v="Anglophone"/>
    <x v="0"/>
  </r>
  <r>
    <n v="10637"/>
    <x v="1"/>
    <s v="gillhell@uk.com"/>
    <x v="4"/>
    <n v="150"/>
    <n v="200"/>
    <n v="937"/>
    <n v="187400"/>
    <n v="46850"/>
    <x v="1"/>
    <s v="southsouth"/>
    <s v="September"/>
    <n v="2018"/>
    <s v="Anglophone"/>
    <x v="0"/>
  </r>
  <r>
    <n v="10638"/>
    <x v="2"/>
    <s v="sorvi2000@gmail.com"/>
    <x v="5"/>
    <n v="80"/>
    <n v="150"/>
    <n v="874"/>
    <n v="131100"/>
    <n v="61180"/>
    <x v="2"/>
    <s v="northwest"/>
    <s v="October"/>
    <n v="2018"/>
    <s v="Francophone"/>
    <x v="1"/>
  </r>
  <r>
    <n v="10639"/>
    <x v="3"/>
    <s v="jone.ai@yahoo.com"/>
    <x v="6"/>
    <n v="90"/>
    <n v="150"/>
    <n v="822"/>
    <n v="123300"/>
    <n v="49320"/>
    <x v="3"/>
    <s v="northeast"/>
    <s v="November"/>
    <n v="2018"/>
    <s v="Francophone"/>
    <x v="1"/>
  </r>
  <r>
    <n v="10640"/>
    <x v="4"/>
    <s v="andy@gmail.com"/>
    <x v="0"/>
    <n v="150"/>
    <n v="200"/>
    <n v="737"/>
    <n v="147400"/>
    <n v="36850"/>
    <x v="4"/>
    <s v="northcentral"/>
    <s v="December"/>
    <n v="2017"/>
    <s v="Francophone"/>
    <x v="0"/>
  </r>
  <r>
    <n v="10641"/>
    <x v="0"/>
    <s v="jard@gmail.com"/>
    <x v="1"/>
    <n v="250"/>
    <n v="500"/>
    <n v="759"/>
    <n v="379500"/>
    <n v="189750"/>
    <x v="0"/>
    <s v="Southeast"/>
    <s v="January"/>
    <n v="2018"/>
    <s v="Anglophone"/>
    <x v="0"/>
  </r>
  <r>
    <n v="10642"/>
    <x v="5"/>
    <s v="thomp@uk.com"/>
    <x v="2"/>
    <n v="180"/>
    <n v="450"/>
    <n v="877"/>
    <n v="394650"/>
    <n v="236790"/>
    <x v="1"/>
    <s v="west"/>
    <s v="February"/>
    <n v="2018"/>
    <s v="Anglophone"/>
    <x v="0"/>
  </r>
  <r>
    <n v="10643"/>
    <x v="3"/>
    <s v="jone.ai@yahoo.com"/>
    <x v="3"/>
    <n v="170"/>
    <n v="250"/>
    <n v="874"/>
    <n v="218500"/>
    <n v="69920"/>
    <x v="2"/>
    <s v="southsouth"/>
    <s v="March"/>
    <n v="2017"/>
    <s v="Francophone"/>
    <x v="0"/>
  </r>
  <r>
    <n v="10644"/>
    <x v="6"/>
    <s v="morganny@gmail.com"/>
    <x v="4"/>
    <n v="150"/>
    <n v="200"/>
    <n v="763"/>
    <n v="152600"/>
    <n v="38150"/>
    <x v="3"/>
    <s v="northwest"/>
    <s v="April"/>
    <n v="2018"/>
    <s v="Francophone"/>
    <x v="0"/>
  </r>
  <r>
    <n v="10645"/>
    <x v="7"/>
    <s v="howard_freeman@yahoo.com"/>
    <x v="5"/>
    <n v="80"/>
    <n v="150"/>
    <n v="793"/>
    <n v="118950"/>
    <n v="55510"/>
    <x v="4"/>
    <s v="northeast"/>
    <s v="May"/>
    <n v="2018"/>
    <s v="Francophone"/>
    <x v="1"/>
  </r>
  <r>
    <n v="10646"/>
    <x v="8"/>
    <s v="parentty@uk.com"/>
    <x v="6"/>
    <n v="90"/>
    <n v="150"/>
    <n v="937"/>
    <n v="140550"/>
    <n v="56220"/>
    <x v="0"/>
    <s v="northcentral"/>
    <s v="June"/>
    <n v="2019"/>
    <s v="Anglophone"/>
    <x v="1"/>
  </r>
  <r>
    <n v="10647"/>
    <x v="3"/>
    <s v="jone.ai@yahoo.com"/>
    <x v="0"/>
    <n v="150"/>
    <n v="200"/>
    <n v="865"/>
    <n v="173000"/>
    <n v="43250"/>
    <x v="1"/>
    <s v="Southeast"/>
    <s v="July"/>
    <n v="2018"/>
    <s v="Anglophone"/>
    <x v="0"/>
  </r>
  <r>
    <n v="10648"/>
    <x v="9"/>
    <s v="smithMan@yahoo.com"/>
    <x v="1"/>
    <n v="250"/>
    <n v="500"/>
    <n v="942"/>
    <n v="471000"/>
    <n v="235500"/>
    <x v="2"/>
    <s v="west"/>
    <s v="August"/>
    <n v="2019"/>
    <s v="Francophone"/>
    <x v="0"/>
  </r>
  <r>
    <n v="10649"/>
    <x v="3"/>
    <s v="jone.ai@yahoo.com"/>
    <x v="2"/>
    <n v="180"/>
    <n v="450"/>
    <n v="815"/>
    <n v="366750"/>
    <n v="220050"/>
    <x v="3"/>
    <s v="southsouth"/>
    <s v="September"/>
    <n v="2017"/>
    <s v="Francophone"/>
    <x v="0"/>
  </r>
  <r>
    <n v="10650"/>
    <x v="6"/>
    <s v="morganny@gmail.com"/>
    <x v="3"/>
    <n v="170"/>
    <n v="250"/>
    <n v="958"/>
    <n v="239500"/>
    <n v="76640"/>
    <x v="4"/>
    <s v="northwest"/>
    <s v="October"/>
    <n v="2019"/>
    <s v="Francophone"/>
    <x v="0"/>
  </r>
  <r>
    <n v="10651"/>
    <x v="3"/>
    <s v="jone.ai@yahoo.com"/>
    <x v="4"/>
    <n v="150"/>
    <n v="200"/>
    <n v="869"/>
    <n v="173800"/>
    <n v="43450"/>
    <x v="0"/>
    <s v="northeast"/>
    <s v="November"/>
    <n v="2018"/>
    <s v="Anglophone"/>
    <x v="0"/>
  </r>
  <r>
    <n v="10652"/>
    <x v="8"/>
    <s v="parentty@uk.com"/>
    <x v="5"/>
    <n v="80"/>
    <n v="150"/>
    <n v="750"/>
    <n v="112500"/>
    <n v="52500"/>
    <x v="1"/>
    <s v="northcentral"/>
    <s v="December"/>
    <n v="2018"/>
    <s v="Anglophone"/>
    <x v="1"/>
  </r>
  <r>
    <n v="10653"/>
    <x v="10"/>
    <s v="kivel_go@yahoo.com"/>
    <x v="6"/>
    <n v="90"/>
    <n v="150"/>
    <n v="702"/>
    <n v="105300"/>
    <n v="42120"/>
    <x v="2"/>
    <s v="Southeast"/>
    <s v="January"/>
    <n v="2017"/>
    <s v="Francophone"/>
    <x v="1"/>
  </r>
  <r>
    <n v="10654"/>
    <x v="9"/>
    <s v="smithMan@yahoo.com"/>
    <x v="0"/>
    <n v="150"/>
    <n v="200"/>
    <n v="917"/>
    <n v="183400"/>
    <n v="45850"/>
    <x v="3"/>
    <s v="west"/>
    <s v="February"/>
    <n v="2019"/>
    <s v="Francophone"/>
    <x v="0"/>
  </r>
  <r>
    <n v="10655"/>
    <x v="8"/>
    <s v="parentty@uk.com"/>
    <x v="1"/>
    <n v="250"/>
    <n v="500"/>
    <n v="914"/>
    <n v="457000"/>
    <n v="228500"/>
    <x v="4"/>
    <s v="southsouth"/>
    <s v="March"/>
    <n v="2019"/>
    <s v="Francophone"/>
    <x v="0"/>
  </r>
  <r>
    <n v="10656"/>
    <x v="1"/>
    <s v="gillhell@uk.com"/>
    <x v="2"/>
    <n v="180"/>
    <n v="450"/>
    <n v="817"/>
    <n v="367650"/>
    <n v="220590"/>
    <x v="0"/>
    <s v="northwest"/>
    <s v="April"/>
    <n v="2018"/>
    <s v="Anglophone"/>
    <x v="0"/>
  </r>
  <r>
    <n v="10657"/>
    <x v="9"/>
    <s v="smithMan@yahoo.com"/>
    <x v="3"/>
    <n v="170"/>
    <n v="250"/>
    <n v="913"/>
    <n v="228250"/>
    <n v="73040"/>
    <x v="1"/>
    <s v="northeast"/>
    <s v="May"/>
    <n v="2018"/>
    <s v="Anglophone"/>
    <x v="0"/>
  </r>
  <r>
    <n v="10658"/>
    <x v="3"/>
    <s v="jone.ai@yahoo.com"/>
    <x v="4"/>
    <n v="150"/>
    <n v="200"/>
    <n v="705"/>
    <n v="141000"/>
    <n v="35250"/>
    <x v="2"/>
    <s v="northcentral"/>
    <s v="June"/>
    <n v="2018"/>
    <s v="Francophone"/>
    <x v="0"/>
  </r>
  <r>
    <n v="10659"/>
    <x v="2"/>
    <s v="sorvi2000@gmail.com"/>
    <x v="5"/>
    <n v="80"/>
    <n v="150"/>
    <n v="964"/>
    <n v="144600"/>
    <n v="67480"/>
    <x v="3"/>
    <s v="Southeast"/>
    <s v="July"/>
    <n v="2017"/>
    <s v="Francophone"/>
    <x v="1"/>
  </r>
  <r>
    <n v="10660"/>
    <x v="0"/>
    <s v="jard@gmail.com"/>
    <x v="6"/>
    <n v="90"/>
    <n v="150"/>
    <n v="891"/>
    <n v="133650"/>
    <n v="53460"/>
    <x v="4"/>
    <s v="west"/>
    <s v="August"/>
    <n v="2017"/>
    <s v="Francophone"/>
    <x v="1"/>
  </r>
  <r>
    <n v="10661"/>
    <x v="4"/>
    <s v="andy@gmail.com"/>
    <x v="0"/>
    <n v="150"/>
    <n v="200"/>
    <n v="977"/>
    <n v="195400"/>
    <n v="48850"/>
    <x v="0"/>
    <s v="southsouth"/>
    <s v="September"/>
    <n v="2019"/>
    <s v="Anglophone"/>
    <x v="0"/>
  </r>
  <r>
    <n v="10662"/>
    <x v="7"/>
    <s v="howard_freeman@yahoo.com"/>
    <x v="1"/>
    <n v="250"/>
    <n v="500"/>
    <n v="948"/>
    <n v="474000"/>
    <n v="237000"/>
    <x v="1"/>
    <s v="northwest"/>
    <s v="October"/>
    <n v="2019"/>
    <s v="Anglophone"/>
    <x v="0"/>
  </r>
  <r>
    <n v="10663"/>
    <x v="1"/>
    <s v="gillhell@uk.com"/>
    <x v="2"/>
    <n v="180"/>
    <n v="450"/>
    <n v="751"/>
    <n v="337950"/>
    <n v="202770"/>
    <x v="2"/>
    <s v="northeast"/>
    <s v="November"/>
    <n v="2017"/>
    <s v="Francophone"/>
    <x v="0"/>
  </r>
  <r>
    <n v="10664"/>
    <x v="1"/>
    <s v="gillhell@uk.com"/>
    <x v="3"/>
    <n v="170"/>
    <n v="250"/>
    <n v="827"/>
    <n v="206750"/>
    <n v="66160"/>
    <x v="3"/>
    <s v="northcentral"/>
    <s v="December"/>
    <n v="2017"/>
    <s v="Francophone"/>
    <x v="0"/>
  </r>
  <r>
    <n v="10665"/>
    <x v="10"/>
    <s v="kivel_go@yahoo.com"/>
    <x v="4"/>
    <n v="150"/>
    <n v="200"/>
    <n v="943"/>
    <n v="188600"/>
    <n v="47150"/>
    <x v="4"/>
    <s v="Southeast"/>
    <s v="January"/>
    <n v="2019"/>
    <s v="Francophone"/>
    <x v="0"/>
  </r>
  <r>
    <n v="10666"/>
    <x v="3"/>
    <s v="jone.ai@yahoo.com"/>
    <x v="5"/>
    <n v="80"/>
    <n v="150"/>
    <n v="901"/>
    <n v="135150"/>
    <n v="63070"/>
    <x v="0"/>
    <s v="west"/>
    <s v="February"/>
    <n v="2019"/>
    <s v="Anglophone"/>
    <x v="1"/>
  </r>
  <r>
    <n v="10667"/>
    <x v="6"/>
    <s v="morganny@gmail.com"/>
    <x v="6"/>
    <n v="90"/>
    <n v="150"/>
    <n v="907"/>
    <n v="136050"/>
    <n v="54420"/>
    <x v="1"/>
    <s v="southsouth"/>
    <s v="March"/>
    <n v="2019"/>
    <s v="Anglophone"/>
    <x v="1"/>
  </r>
  <r>
    <n v="10668"/>
    <x v="10"/>
    <s v="kivel_go@yahoo.com"/>
    <x v="0"/>
    <n v="150"/>
    <n v="200"/>
    <n v="755"/>
    <n v="151000"/>
    <n v="37750"/>
    <x v="2"/>
    <s v="northwest"/>
    <s v="April"/>
    <n v="2018"/>
    <s v="Francophone"/>
    <x v="0"/>
  </r>
  <r>
    <n v="10669"/>
    <x v="2"/>
    <s v="sorvi2000@gmail.com"/>
    <x v="1"/>
    <n v="250"/>
    <n v="500"/>
    <n v="802"/>
    <n v="401000"/>
    <n v="200500"/>
    <x v="3"/>
    <s v="northeast"/>
    <s v="May"/>
    <n v="2017"/>
    <s v="Francophone"/>
    <x v="0"/>
  </r>
  <r>
    <n v="10670"/>
    <x v="1"/>
    <s v="gillhell@uk.com"/>
    <x v="2"/>
    <n v="180"/>
    <n v="450"/>
    <n v="919"/>
    <n v="413550"/>
    <n v="248130"/>
    <x v="4"/>
    <s v="northcentral"/>
    <s v="June"/>
    <n v="2019"/>
    <s v="Francophone"/>
    <x v="0"/>
  </r>
  <r>
    <n v="10671"/>
    <x v="2"/>
    <s v="sorvi2000@gmail.com"/>
    <x v="3"/>
    <n v="170"/>
    <n v="250"/>
    <n v="824"/>
    <n v="206000"/>
    <n v="65920"/>
    <x v="0"/>
    <s v="Southeast"/>
    <s v="July"/>
    <n v="2017"/>
    <s v="Anglophone"/>
    <x v="0"/>
  </r>
  <r>
    <n v="10672"/>
    <x v="5"/>
    <s v="thomp@uk.com"/>
    <x v="4"/>
    <n v="150"/>
    <n v="200"/>
    <n v="730"/>
    <n v="146000"/>
    <n v="36500"/>
    <x v="1"/>
    <s v="west"/>
    <s v="August"/>
    <n v="2017"/>
    <s v="Anglophone"/>
    <x v="0"/>
  </r>
  <r>
    <n v="10673"/>
    <x v="4"/>
    <s v="andy@gmail.com"/>
    <x v="5"/>
    <n v="80"/>
    <n v="150"/>
    <n v="798"/>
    <n v="119700"/>
    <n v="55860"/>
    <x v="2"/>
    <s v="southsouth"/>
    <s v="September"/>
    <n v="2018"/>
    <s v="Francophone"/>
    <x v="1"/>
  </r>
  <r>
    <n v="10674"/>
    <x v="0"/>
    <s v="jard@gmail.com"/>
    <x v="6"/>
    <n v="90"/>
    <n v="150"/>
    <n v="811"/>
    <n v="121650"/>
    <n v="48660"/>
    <x v="3"/>
    <s v="northwest"/>
    <s v="October"/>
    <n v="2018"/>
    <s v="Francophone"/>
    <x v="1"/>
  </r>
  <r>
    <n v="10675"/>
    <x v="0"/>
    <s v="jard@gmail.com"/>
    <x v="0"/>
    <n v="150"/>
    <n v="200"/>
    <n v="912"/>
    <n v="182400"/>
    <n v="45600"/>
    <x v="4"/>
    <s v="northeast"/>
    <s v="November"/>
    <n v="2018"/>
    <s v="Francophone"/>
    <x v="0"/>
  </r>
  <r>
    <n v="10676"/>
    <x v="4"/>
    <s v="andy@gmail.com"/>
    <x v="1"/>
    <n v="250"/>
    <n v="500"/>
    <n v="836"/>
    <n v="418000"/>
    <n v="209000"/>
    <x v="0"/>
    <s v="northcentral"/>
    <s v="December"/>
    <n v="2017"/>
    <s v="Anglophone"/>
    <x v="0"/>
  </r>
  <r>
    <n v="10677"/>
    <x v="0"/>
    <s v="jard@gmail.com"/>
    <x v="2"/>
    <n v="180"/>
    <n v="450"/>
    <n v="953"/>
    <n v="428850"/>
    <n v="257310"/>
    <x v="1"/>
    <s v="Southeast"/>
    <s v="January"/>
    <n v="2018"/>
    <s v="Anglophone"/>
    <x v="0"/>
  </r>
  <r>
    <n v="10678"/>
    <x v="1"/>
    <s v="gillhell@uk.com"/>
    <x v="3"/>
    <n v="170"/>
    <n v="250"/>
    <n v="908"/>
    <n v="227000"/>
    <n v="72640"/>
    <x v="2"/>
    <s v="west"/>
    <s v="February"/>
    <n v="2018"/>
    <s v="Francophone"/>
    <x v="0"/>
  </r>
  <r>
    <n v="10679"/>
    <x v="2"/>
    <s v="sorvi2000@gmail.com"/>
    <x v="4"/>
    <n v="150"/>
    <n v="200"/>
    <n v="859"/>
    <n v="171800"/>
    <n v="42950"/>
    <x v="3"/>
    <s v="southsouth"/>
    <s v="March"/>
    <n v="2019"/>
    <s v="Francophone"/>
    <x v="0"/>
  </r>
  <r>
    <n v="10680"/>
    <x v="3"/>
    <s v="jone.ai@yahoo.com"/>
    <x v="5"/>
    <n v="80"/>
    <n v="150"/>
    <n v="928"/>
    <n v="139200"/>
    <n v="64960"/>
    <x v="4"/>
    <s v="northwest"/>
    <s v="April"/>
    <n v="2017"/>
    <s v="Francophone"/>
    <x v="1"/>
  </r>
  <r>
    <n v="10681"/>
    <x v="4"/>
    <s v="andy@gmail.com"/>
    <x v="6"/>
    <n v="90"/>
    <n v="150"/>
    <n v="716"/>
    <n v="107400"/>
    <n v="42960"/>
    <x v="0"/>
    <s v="northeast"/>
    <s v="May"/>
    <n v="2019"/>
    <s v="Anglophone"/>
    <x v="1"/>
  </r>
  <r>
    <n v="10682"/>
    <x v="0"/>
    <s v="jard@gmail.com"/>
    <x v="0"/>
    <n v="150"/>
    <n v="200"/>
    <n v="946"/>
    <n v="189200"/>
    <n v="47300"/>
    <x v="1"/>
    <s v="northcentral"/>
    <s v="June"/>
    <n v="2017"/>
    <s v="Anglophone"/>
    <x v="0"/>
  </r>
  <r>
    <n v="10683"/>
    <x v="5"/>
    <s v="thomp@uk.com"/>
    <x v="1"/>
    <n v="250"/>
    <n v="500"/>
    <n v="913"/>
    <n v="456500"/>
    <n v="228250"/>
    <x v="2"/>
    <s v="Southeast"/>
    <s v="July"/>
    <n v="2018"/>
    <s v="Francophone"/>
    <x v="0"/>
  </r>
  <r>
    <n v="10684"/>
    <x v="3"/>
    <s v="jone.ai@yahoo.com"/>
    <x v="2"/>
    <n v="180"/>
    <n v="450"/>
    <n v="947"/>
    <n v="426150"/>
    <n v="255690"/>
    <x v="3"/>
    <s v="west"/>
    <s v="August"/>
    <n v="2019"/>
    <s v="Francophone"/>
    <x v="0"/>
  </r>
  <r>
    <n v="10685"/>
    <x v="6"/>
    <s v="morganny@gmail.com"/>
    <x v="3"/>
    <n v="170"/>
    <n v="250"/>
    <n v="743"/>
    <n v="185750"/>
    <n v="59440"/>
    <x v="4"/>
    <s v="southsouth"/>
    <s v="September"/>
    <n v="2018"/>
    <s v="Francophone"/>
    <x v="0"/>
  </r>
  <r>
    <n v="10686"/>
    <x v="7"/>
    <s v="howard_freeman@yahoo.com"/>
    <x v="4"/>
    <n v="150"/>
    <n v="200"/>
    <n v="788"/>
    <n v="157600"/>
    <n v="39400"/>
    <x v="0"/>
    <s v="northwest"/>
    <s v="October"/>
    <n v="2018"/>
    <s v="Anglophone"/>
    <x v="0"/>
  </r>
  <r>
    <n v="10687"/>
    <x v="8"/>
    <s v="parentty@uk.com"/>
    <x v="5"/>
    <n v="80"/>
    <n v="150"/>
    <n v="810"/>
    <n v="121500"/>
    <n v="56700"/>
    <x v="1"/>
    <s v="northeast"/>
    <s v="November"/>
    <n v="2017"/>
    <s v="Anglophone"/>
    <x v="1"/>
  </r>
  <r>
    <n v="10688"/>
    <x v="3"/>
    <s v="jone.ai@yahoo.com"/>
    <x v="6"/>
    <n v="90"/>
    <n v="150"/>
    <n v="784"/>
    <n v="117600"/>
    <n v="47040"/>
    <x v="2"/>
    <s v="northcentral"/>
    <s v="December"/>
    <n v="2018"/>
    <s v="Francophone"/>
    <x v="1"/>
  </r>
  <r>
    <n v="10689"/>
    <x v="9"/>
    <s v="smithMan@yahoo.com"/>
    <x v="0"/>
    <n v="150"/>
    <n v="200"/>
    <n v="813"/>
    <n v="162600"/>
    <n v="40650"/>
    <x v="3"/>
    <s v="Southeast"/>
    <s v="January"/>
    <n v="2017"/>
    <s v="Francophone"/>
    <x v="0"/>
  </r>
  <r>
    <n v="10690"/>
    <x v="3"/>
    <s v="jone.ai@yahoo.com"/>
    <x v="1"/>
    <n v="250"/>
    <n v="500"/>
    <n v="998"/>
    <n v="499000"/>
    <n v="249500"/>
    <x v="4"/>
    <s v="west"/>
    <s v="February"/>
    <n v="2017"/>
    <s v="Francophone"/>
    <x v="0"/>
  </r>
  <r>
    <n v="10691"/>
    <x v="6"/>
    <s v="morganny@gmail.com"/>
    <x v="2"/>
    <n v="180"/>
    <n v="450"/>
    <n v="889"/>
    <n v="400050"/>
    <n v="240030"/>
    <x v="0"/>
    <s v="southsouth"/>
    <s v="March"/>
    <n v="2018"/>
    <s v="Anglophone"/>
    <x v="0"/>
  </r>
  <r>
    <n v="10692"/>
    <x v="3"/>
    <s v="jone.ai@yahoo.com"/>
    <x v="3"/>
    <n v="170"/>
    <n v="250"/>
    <n v="783"/>
    <n v="195750"/>
    <n v="62640"/>
    <x v="1"/>
    <s v="northwest"/>
    <s v="April"/>
    <n v="2019"/>
    <s v="Anglophone"/>
    <x v="0"/>
  </r>
  <r>
    <n v="10693"/>
    <x v="8"/>
    <s v="parentty@uk.com"/>
    <x v="4"/>
    <n v="150"/>
    <n v="200"/>
    <n v="866"/>
    <n v="173200"/>
    <n v="43300"/>
    <x v="2"/>
    <s v="northeast"/>
    <s v="May"/>
    <n v="2017"/>
    <s v="Francophone"/>
    <x v="0"/>
  </r>
  <r>
    <n v="10694"/>
    <x v="10"/>
    <s v="kivel_go@yahoo.com"/>
    <x v="5"/>
    <n v="80"/>
    <n v="150"/>
    <n v="840"/>
    <n v="126000"/>
    <n v="58800"/>
    <x v="3"/>
    <s v="northcentral"/>
    <s v="June"/>
    <n v="2018"/>
    <s v="Francophone"/>
    <x v="1"/>
  </r>
  <r>
    <n v="10695"/>
    <x v="9"/>
    <s v="smithMan@yahoo.com"/>
    <x v="6"/>
    <n v="90"/>
    <n v="150"/>
    <n v="905"/>
    <n v="135750"/>
    <n v="54300"/>
    <x v="4"/>
    <s v="Southeast"/>
    <s v="July"/>
    <n v="2017"/>
    <s v="Francophone"/>
    <x v="1"/>
  </r>
  <r>
    <n v="10696"/>
    <x v="8"/>
    <s v="parentty@uk.com"/>
    <x v="0"/>
    <n v="150"/>
    <n v="200"/>
    <n v="814"/>
    <n v="162800"/>
    <n v="40700"/>
    <x v="0"/>
    <s v="west"/>
    <s v="August"/>
    <n v="2019"/>
    <s v="Anglophone"/>
    <x v="0"/>
  </r>
  <r>
    <n v="10697"/>
    <x v="1"/>
    <s v="gillhell@uk.com"/>
    <x v="1"/>
    <n v="250"/>
    <n v="500"/>
    <n v="878"/>
    <n v="439000"/>
    <n v="219500"/>
    <x v="1"/>
    <s v="southsouth"/>
    <s v="September"/>
    <n v="2018"/>
    <s v="Anglophone"/>
    <x v="0"/>
  </r>
  <r>
    <n v="10698"/>
    <x v="9"/>
    <s v="smithMan@yahoo.com"/>
    <x v="2"/>
    <n v="180"/>
    <n v="450"/>
    <n v="819"/>
    <n v="368550"/>
    <n v="221130"/>
    <x v="2"/>
    <s v="northwest"/>
    <s v="October"/>
    <n v="2018"/>
    <s v="Francophone"/>
    <x v="0"/>
  </r>
  <r>
    <n v="10699"/>
    <x v="3"/>
    <s v="jone.ai@yahoo.com"/>
    <x v="3"/>
    <n v="170"/>
    <n v="250"/>
    <n v="899"/>
    <n v="224750"/>
    <n v="71920"/>
    <x v="3"/>
    <s v="northeast"/>
    <s v="November"/>
    <n v="2019"/>
    <s v="Francophone"/>
    <x v="0"/>
  </r>
  <r>
    <n v="10700"/>
    <x v="2"/>
    <s v="sorvi2000@gmail.com"/>
    <x v="4"/>
    <n v="150"/>
    <n v="200"/>
    <n v="897"/>
    <n v="179400"/>
    <n v="44850"/>
    <x v="4"/>
    <s v="northcentral"/>
    <s v="December"/>
    <n v="2019"/>
    <s v="Francophone"/>
    <x v="0"/>
  </r>
  <r>
    <n v="10701"/>
    <x v="0"/>
    <s v="jard@gmail.com"/>
    <x v="5"/>
    <n v="80"/>
    <n v="150"/>
    <n v="753"/>
    <n v="112950"/>
    <n v="52710"/>
    <x v="0"/>
    <s v="Southeast"/>
    <s v="January"/>
    <n v="2017"/>
    <s v="Anglophone"/>
    <x v="1"/>
  </r>
  <r>
    <n v="10702"/>
    <x v="4"/>
    <s v="andy@gmail.com"/>
    <x v="6"/>
    <n v="90"/>
    <n v="150"/>
    <n v="781"/>
    <n v="117150"/>
    <n v="46860"/>
    <x v="1"/>
    <s v="west"/>
    <s v="February"/>
    <n v="2018"/>
    <s v="Anglophone"/>
    <x v="1"/>
  </r>
  <r>
    <n v="10703"/>
    <x v="7"/>
    <s v="howard_freeman@yahoo.com"/>
    <x v="0"/>
    <n v="150"/>
    <n v="200"/>
    <n v="911"/>
    <n v="182200"/>
    <n v="45550"/>
    <x v="2"/>
    <s v="southsouth"/>
    <s v="March"/>
    <n v="2018"/>
    <s v="Francophone"/>
    <x v="0"/>
  </r>
  <r>
    <n v="10704"/>
    <x v="1"/>
    <s v="gillhell@uk.com"/>
    <x v="1"/>
    <n v="250"/>
    <n v="500"/>
    <n v="730"/>
    <n v="365000"/>
    <n v="182500"/>
    <x v="3"/>
    <s v="northwest"/>
    <s v="April"/>
    <n v="2018"/>
    <s v="Francophone"/>
    <x v="0"/>
  </r>
  <r>
    <n v="10705"/>
    <x v="1"/>
    <s v="gillhell@uk.com"/>
    <x v="2"/>
    <n v="180"/>
    <n v="450"/>
    <n v="912"/>
    <n v="410400"/>
    <n v="246240"/>
    <x v="4"/>
    <s v="northeast"/>
    <s v="May"/>
    <n v="2017"/>
    <s v="Francophone"/>
    <x v="0"/>
  </r>
  <r>
    <n v="10706"/>
    <x v="10"/>
    <s v="kivel_go@yahoo.com"/>
    <x v="3"/>
    <n v="170"/>
    <n v="250"/>
    <n v="755"/>
    <n v="188750"/>
    <n v="60400"/>
    <x v="0"/>
    <s v="northcentral"/>
    <s v="June"/>
    <n v="2019"/>
    <s v="Anglophone"/>
    <x v="0"/>
  </r>
  <r>
    <n v="10707"/>
    <x v="3"/>
    <s v="jone.ai@yahoo.com"/>
    <x v="4"/>
    <n v="150"/>
    <n v="200"/>
    <n v="981"/>
    <n v="196200"/>
    <n v="49050"/>
    <x v="1"/>
    <s v="Southeast"/>
    <s v="July"/>
    <n v="2018"/>
    <s v="Anglophone"/>
    <x v="0"/>
  </r>
  <r>
    <n v="10708"/>
    <x v="6"/>
    <s v="morganny@gmail.com"/>
    <x v="5"/>
    <n v="80"/>
    <n v="150"/>
    <n v="914"/>
    <n v="137100"/>
    <n v="63980"/>
    <x v="2"/>
    <s v="west"/>
    <s v="August"/>
    <n v="2018"/>
    <s v="Francophone"/>
    <x v="1"/>
  </r>
  <r>
    <n v="10709"/>
    <x v="10"/>
    <s v="kivel_go@yahoo.com"/>
    <x v="6"/>
    <n v="90"/>
    <n v="150"/>
    <n v="705"/>
    <n v="105750"/>
    <n v="42300"/>
    <x v="3"/>
    <s v="southsouth"/>
    <s v="September"/>
    <n v="2019"/>
    <s v="Francophone"/>
    <x v="1"/>
  </r>
  <r>
    <n v="10710"/>
    <x v="2"/>
    <s v="sorvi2000@gmail.com"/>
    <x v="0"/>
    <n v="150"/>
    <n v="200"/>
    <n v="774"/>
    <n v="154800"/>
    <n v="38700"/>
    <x v="4"/>
    <s v="northwest"/>
    <s v="October"/>
    <n v="2018"/>
    <s v="Francophone"/>
    <x v="0"/>
  </r>
  <r>
    <n v="10711"/>
    <x v="1"/>
    <s v="gillhell@uk.com"/>
    <x v="1"/>
    <n v="250"/>
    <n v="500"/>
    <n v="748"/>
    <n v="374000"/>
    <n v="187000"/>
    <x v="0"/>
    <s v="northeast"/>
    <s v="November"/>
    <n v="2017"/>
    <s v="Anglophone"/>
    <x v="0"/>
  </r>
  <r>
    <n v="10712"/>
    <x v="2"/>
    <s v="sorvi2000@gmail.com"/>
    <x v="2"/>
    <n v="180"/>
    <n v="450"/>
    <n v="807"/>
    <n v="363150"/>
    <n v="217890"/>
    <x v="1"/>
    <s v="northcentral"/>
    <s v="December"/>
    <n v="2018"/>
    <s v="Anglophone"/>
    <x v="0"/>
  </r>
  <r>
    <n v="10713"/>
    <x v="5"/>
    <s v="thomp@uk.com"/>
    <x v="3"/>
    <n v="170"/>
    <n v="250"/>
    <n v="877"/>
    <n v="219250"/>
    <n v="70160"/>
    <x v="2"/>
    <s v="Southeast"/>
    <s v="January"/>
    <n v="2018"/>
    <s v="Francophone"/>
    <x v="0"/>
  </r>
  <r>
    <n v="10714"/>
    <x v="4"/>
    <s v="andy@gmail.com"/>
    <x v="4"/>
    <n v="150"/>
    <n v="200"/>
    <n v="965"/>
    <n v="193000"/>
    <n v="48250"/>
    <x v="3"/>
    <s v="west"/>
    <s v="February"/>
    <n v="2017"/>
    <s v="Francophone"/>
    <x v="0"/>
  </r>
  <r>
    <n v="10715"/>
    <x v="0"/>
    <s v="jard@gmail.com"/>
    <x v="5"/>
    <n v="80"/>
    <n v="150"/>
    <n v="728"/>
    <n v="109200"/>
    <n v="50960"/>
    <x v="4"/>
    <s v="southsouth"/>
    <s v="March"/>
    <n v="2017"/>
    <s v="Francophone"/>
    <x v="1"/>
  </r>
  <r>
    <n v="10716"/>
    <x v="0"/>
    <s v="jard@gmail.com"/>
    <x v="6"/>
    <n v="90"/>
    <n v="150"/>
    <n v="792"/>
    <n v="118800"/>
    <n v="47520"/>
    <x v="0"/>
    <s v="northwest"/>
    <s v="April"/>
    <n v="2017"/>
    <s v="Anglophone"/>
    <x v="1"/>
  </r>
  <r>
    <n v="10717"/>
    <x v="4"/>
    <s v="andy@gmail.com"/>
    <x v="0"/>
    <n v="150"/>
    <n v="200"/>
    <n v="878"/>
    <n v="175600"/>
    <n v="43900"/>
    <x v="1"/>
    <s v="northeast"/>
    <s v="May"/>
    <n v="2017"/>
    <s v="Anglophone"/>
    <x v="0"/>
  </r>
  <r>
    <n v="10718"/>
    <x v="3"/>
    <s v="jone.ai@yahoo.com"/>
    <x v="1"/>
    <n v="250"/>
    <n v="500"/>
    <n v="886"/>
    <n v="443000"/>
    <n v="221500"/>
    <x v="2"/>
    <s v="northcentral"/>
    <s v="June"/>
    <n v="2017"/>
    <s v="Francophone"/>
    <x v="0"/>
  </r>
  <r>
    <n v="10719"/>
    <x v="6"/>
    <s v="morganny@gmail.com"/>
    <x v="2"/>
    <n v="180"/>
    <n v="450"/>
    <n v="995"/>
    <n v="447750"/>
    <n v="268650"/>
    <x v="3"/>
    <s v="Southeast"/>
    <s v="July"/>
    <n v="2017"/>
    <s v="Francophone"/>
    <x v="0"/>
  </r>
  <r>
    <n v="10720"/>
    <x v="10"/>
    <s v="kivel_go@yahoo.com"/>
    <x v="3"/>
    <n v="170"/>
    <n v="250"/>
    <n v="851"/>
    <n v="212750"/>
    <n v="68080"/>
    <x v="4"/>
    <s v="west"/>
    <s v="August"/>
    <n v="2019"/>
    <s v="Francophone"/>
    <x v="0"/>
  </r>
  <r>
    <n v="10721"/>
    <x v="2"/>
    <s v="sorvi2000@gmail.com"/>
    <x v="4"/>
    <n v="150"/>
    <n v="200"/>
    <n v="866"/>
    <n v="173200"/>
    <n v="43300"/>
    <x v="0"/>
    <s v="southsouth"/>
    <s v="September"/>
    <n v="2017"/>
    <s v="Anglophone"/>
    <x v="0"/>
  </r>
  <r>
    <n v="10722"/>
    <x v="1"/>
    <s v="gillhell@uk.com"/>
    <x v="5"/>
    <n v="80"/>
    <n v="150"/>
    <n v="987"/>
    <n v="148050"/>
    <n v="69090"/>
    <x v="1"/>
    <s v="northwest"/>
    <s v="October"/>
    <n v="2017"/>
    <s v="Anglophone"/>
    <x v="1"/>
  </r>
  <r>
    <n v="10723"/>
    <x v="2"/>
    <s v="sorvi2000@gmail.com"/>
    <x v="6"/>
    <n v="90"/>
    <n v="150"/>
    <n v="776"/>
    <n v="116400"/>
    <n v="46560"/>
    <x v="2"/>
    <s v="northeast"/>
    <s v="November"/>
    <n v="2019"/>
    <s v="Francophone"/>
    <x v="1"/>
  </r>
  <r>
    <n v="10724"/>
    <x v="5"/>
    <s v="thomp@uk.com"/>
    <x v="0"/>
    <n v="150"/>
    <n v="200"/>
    <n v="969"/>
    <n v="193800"/>
    <n v="48450"/>
    <x v="3"/>
    <s v="northcentral"/>
    <s v="December"/>
    <n v="2017"/>
    <s v="Francophone"/>
    <x v="0"/>
  </r>
  <r>
    <n v="10725"/>
    <x v="4"/>
    <s v="andy@gmail.com"/>
    <x v="1"/>
    <n v="250"/>
    <n v="500"/>
    <n v="718"/>
    <n v="359000"/>
    <n v="179500"/>
    <x v="4"/>
    <s v="Southeast"/>
    <s v="January"/>
    <n v="2017"/>
    <s v="Francophone"/>
    <x v="0"/>
  </r>
  <r>
    <n v="10726"/>
    <x v="0"/>
    <s v="jard@gmail.com"/>
    <x v="2"/>
    <n v="180"/>
    <n v="450"/>
    <n v="787"/>
    <n v="354150"/>
    <n v="212490"/>
    <x v="0"/>
    <s v="west"/>
    <s v="February"/>
    <n v="2018"/>
    <s v="Anglophone"/>
    <x v="0"/>
  </r>
  <r>
    <n v="10727"/>
    <x v="0"/>
    <s v="jard@gmail.com"/>
    <x v="3"/>
    <n v="170"/>
    <n v="250"/>
    <n v="901"/>
    <n v="225250"/>
    <n v="72080"/>
    <x v="1"/>
    <s v="southsouth"/>
    <s v="March"/>
    <n v="2018"/>
    <s v="Anglophone"/>
    <x v="0"/>
  </r>
  <r>
    <n v="10728"/>
    <x v="4"/>
    <s v="andy@gmail.com"/>
    <x v="4"/>
    <n v="150"/>
    <n v="200"/>
    <n v="736"/>
    <n v="147200"/>
    <n v="36800"/>
    <x v="2"/>
    <s v="northwest"/>
    <s v="April"/>
    <n v="2018"/>
    <s v="Francophone"/>
    <x v="0"/>
  </r>
  <r>
    <n v="10729"/>
    <x v="0"/>
    <s v="jard@gmail.com"/>
    <x v="5"/>
    <n v="80"/>
    <n v="150"/>
    <n v="710"/>
    <n v="106500"/>
    <n v="49700"/>
    <x v="3"/>
    <s v="northeast"/>
    <s v="May"/>
    <n v="2017"/>
    <s v="Francophone"/>
    <x v="1"/>
  </r>
  <r>
    <n v="10730"/>
    <x v="1"/>
    <s v="gillhell@uk.com"/>
    <x v="6"/>
    <n v="90"/>
    <n v="150"/>
    <n v="719"/>
    <n v="107850"/>
    <n v="43140"/>
    <x v="4"/>
    <s v="northcentral"/>
    <s v="June"/>
    <n v="2019"/>
    <s v="Francophone"/>
    <x v="1"/>
  </r>
  <r>
    <n v="10731"/>
    <x v="2"/>
    <s v="sorvi2000@gmail.com"/>
    <x v="0"/>
    <n v="150"/>
    <n v="200"/>
    <n v="738"/>
    <n v="147600"/>
    <n v="36900"/>
    <x v="0"/>
    <s v="Southeast"/>
    <s v="July"/>
    <n v="2017"/>
    <s v="Anglophone"/>
    <x v="0"/>
  </r>
  <r>
    <n v="10732"/>
    <x v="3"/>
    <s v="jone.ai@yahoo.com"/>
    <x v="1"/>
    <n v="250"/>
    <n v="500"/>
    <n v="884"/>
    <n v="442000"/>
    <n v="221000"/>
    <x v="1"/>
    <s v="west"/>
    <s v="August"/>
    <n v="2019"/>
    <s v="Anglophone"/>
    <x v="0"/>
  </r>
  <r>
    <n v="10733"/>
    <x v="4"/>
    <s v="andy@gmail.com"/>
    <x v="2"/>
    <n v="180"/>
    <n v="450"/>
    <n v="772"/>
    <n v="347400"/>
    <n v="208440"/>
    <x v="2"/>
    <s v="southsouth"/>
    <s v="September"/>
    <n v="2017"/>
    <s v="Francophone"/>
    <x v="0"/>
  </r>
  <r>
    <n v="10734"/>
    <x v="0"/>
    <s v="jard@gmail.com"/>
    <x v="3"/>
    <n v="170"/>
    <n v="250"/>
    <n v="762"/>
    <n v="190500"/>
    <n v="60960"/>
    <x v="3"/>
    <s v="northwest"/>
    <s v="October"/>
    <n v="2017"/>
    <s v="Francophone"/>
    <x v="0"/>
  </r>
  <r>
    <n v="10735"/>
    <x v="5"/>
    <s v="thomp@uk.com"/>
    <x v="4"/>
    <n v="150"/>
    <n v="200"/>
    <n v="830"/>
    <n v="166000"/>
    <n v="41500"/>
    <x v="4"/>
    <s v="northeast"/>
    <s v="November"/>
    <n v="2018"/>
    <s v="Francophone"/>
    <x v="0"/>
  </r>
  <r>
    <n v="10736"/>
    <x v="3"/>
    <s v="jone.ai@yahoo.com"/>
    <x v="5"/>
    <n v="80"/>
    <n v="150"/>
    <n v="995"/>
    <n v="149250"/>
    <n v="69650"/>
    <x v="0"/>
    <s v="northcentral"/>
    <s v="December"/>
    <n v="2018"/>
    <s v="Anglophone"/>
    <x v="1"/>
  </r>
  <r>
    <n v="10737"/>
    <x v="6"/>
    <s v="morganny@gmail.com"/>
    <x v="6"/>
    <n v="90"/>
    <n v="150"/>
    <n v="812"/>
    <n v="121800"/>
    <n v="48720"/>
    <x v="1"/>
    <s v="Southeast"/>
    <s v="January"/>
    <n v="2019"/>
    <s v="Anglophone"/>
    <x v="1"/>
  </r>
  <r>
    <n v="10738"/>
    <x v="7"/>
    <s v="howard_freeman@yahoo.com"/>
    <x v="0"/>
    <n v="150"/>
    <n v="200"/>
    <n v="993"/>
    <n v="198600"/>
    <n v="49650"/>
    <x v="2"/>
    <s v="west"/>
    <s v="February"/>
    <n v="2018"/>
    <s v="Francophone"/>
    <x v="0"/>
  </r>
  <r>
    <n v="10739"/>
    <x v="8"/>
    <s v="parentty@uk.com"/>
    <x v="1"/>
    <n v="250"/>
    <n v="500"/>
    <n v="941"/>
    <n v="470500"/>
    <n v="235250"/>
    <x v="3"/>
    <s v="southsouth"/>
    <s v="March"/>
    <n v="2017"/>
    <s v="Francophone"/>
    <x v="0"/>
  </r>
  <r>
    <n v="10740"/>
    <x v="3"/>
    <s v="jone.ai@yahoo.com"/>
    <x v="2"/>
    <n v="180"/>
    <n v="450"/>
    <n v="703"/>
    <n v="316350"/>
    <n v="189810"/>
    <x v="4"/>
    <s v="northwest"/>
    <s v="April"/>
    <n v="2019"/>
    <s v="Francophone"/>
    <x v="0"/>
  </r>
  <r>
    <n v="10741"/>
    <x v="9"/>
    <s v="smithMan@yahoo.com"/>
    <x v="3"/>
    <n v="170"/>
    <n v="250"/>
    <n v="834"/>
    <n v="208500"/>
    <n v="66720"/>
    <x v="0"/>
    <s v="northeast"/>
    <s v="May"/>
    <n v="2019"/>
    <s v="Anglophone"/>
    <x v="0"/>
  </r>
  <r>
    <n v="10742"/>
    <x v="3"/>
    <s v="jone.ai@yahoo.com"/>
    <x v="4"/>
    <n v="150"/>
    <n v="200"/>
    <n v="843"/>
    <n v="168600"/>
    <n v="42150"/>
    <x v="1"/>
    <s v="northcentral"/>
    <s v="June"/>
    <n v="2019"/>
    <s v="Anglophone"/>
    <x v="0"/>
  </r>
  <r>
    <n v="10743"/>
    <x v="0"/>
    <s v="jard@gmail.com"/>
    <x v="5"/>
    <n v="80"/>
    <n v="150"/>
    <n v="749"/>
    <n v="112350"/>
    <n v="52430"/>
    <x v="2"/>
    <s v="Southeast"/>
    <s v="July"/>
    <n v="2019"/>
    <s v="Francophone"/>
    <x v="1"/>
  </r>
  <r>
    <n v="10744"/>
    <x v="1"/>
    <s v="gillhell@uk.com"/>
    <x v="6"/>
    <n v="90"/>
    <n v="150"/>
    <n v="859"/>
    <n v="128850"/>
    <n v="51540"/>
    <x v="3"/>
    <s v="west"/>
    <s v="August"/>
    <n v="2017"/>
    <s v="Francophone"/>
    <x v="1"/>
  </r>
  <r>
    <n v="10745"/>
    <x v="2"/>
    <s v="sorvi2000@gmail.com"/>
    <x v="0"/>
    <n v="150"/>
    <n v="200"/>
    <n v="962"/>
    <n v="192400"/>
    <n v="48100"/>
    <x v="4"/>
    <s v="southsouth"/>
    <s v="September"/>
    <n v="2017"/>
    <s v="Francophone"/>
    <x v="0"/>
  </r>
  <r>
    <n v="10746"/>
    <x v="3"/>
    <s v="jone.ai@yahoo.com"/>
    <x v="1"/>
    <n v="250"/>
    <n v="500"/>
    <n v="816"/>
    <n v="408000"/>
    <n v="204000"/>
    <x v="0"/>
    <s v="northwest"/>
    <s v="October"/>
    <n v="2019"/>
    <s v="Anglophone"/>
    <x v="0"/>
  </r>
  <r>
    <n v="10747"/>
    <x v="4"/>
    <s v="andy@gmail.com"/>
    <x v="2"/>
    <n v="180"/>
    <n v="450"/>
    <n v="989"/>
    <n v="445050"/>
    <n v="267030"/>
    <x v="1"/>
    <s v="northeast"/>
    <s v="November"/>
    <n v="2017"/>
    <s v="Anglophone"/>
    <x v="0"/>
  </r>
  <r>
    <n v="10748"/>
    <x v="0"/>
    <s v="jard@gmail.com"/>
    <x v="3"/>
    <n v="170"/>
    <n v="250"/>
    <n v="702"/>
    <n v="175500"/>
    <n v="56160"/>
    <x v="2"/>
    <s v="northcentral"/>
    <s v="December"/>
    <n v="2018"/>
    <s v="Francophone"/>
    <x v="0"/>
  </r>
  <r>
    <n v="10749"/>
    <x v="5"/>
    <s v="thomp@uk.com"/>
    <x v="4"/>
    <n v="150"/>
    <n v="200"/>
    <n v="830"/>
    <n v="166000"/>
    <n v="41500"/>
    <x v="3"/>
    <s v="Southeast"/>
    <s v="January"/>
    <n v="2018"/>
    <s v="Francophone"/>
    <x v="0"/>
  </r>
  <r>
    <n v="10750"/>
    <x v="3"/>
    <s v="jone.ai@yahoo.com"/>
    <x v="5"/>
    <n v="80"/>
    <n v="150"/>
    <n v="710"/>
    <n v="106500"/>
    <n v="49700"/>
    <x v="4"/>
    <s v="west"/>
    <s v="February"/>
    <n v="2018"/>
    <s v="Francophone"/>
    <x v="1"/>
  </r>
  <r>
    <n v="10751"/>
    <x v="6"/>
    <s v="morganny@gmail.com"/>
    <x v="6"/>
    <n v="90"/>
    <n v="150"/>
    <n v="708"/>
    <n v="106200"/>
    <n v="42480"/>
    <x v="0"/>
    <s v="southsouth"/>
    <s v="March"/>
    <n v="2018"/>
    <s v="Anglophone"/>
    <x v="1"/>
  </r>
  <r>
    <n v="10752"/>
    <x v="7"/>
    <s v="howard_freeman@yahoo.com"/>
    <x v="0"/>
    <n v="150"/>
    <n v="200"/>
    <n v="816"/>
    <n v="163200"/>
    <n v="40800"/>
    <x v="1"/>
    <s v="northwest"/>
    <s v="April"/>
    <n v="2019"/>
    <s v="Anglophone"/>
    <x v="0"/>
  </r>
  <r>
    <n v="10753"/>
    <x v="8"/>
    <s v="parentty@uk.com"/>
    <x v="1"/>
    <n v="250"/>
    <n v="500"/>
    <n v="722"/>
    <n v="361000"/>
    <n v="180500"/>
    <x v="2"/>
    <s v="northeast"/>
    <s v="May"/>
    <n v="2017"/>
    <s v="Francophone"/>
    <x v="0"/>
  </r>
  <r>
    <n v="10754"/>
    <x v="3"/>
    <s v="jone.ai@yahoo.com"/>
    <x v="2"/>
    <n v="180"/>
    <n v="450"/>
    <n v="778"/>
    <n v="350100"/>
    <n v="210060"/>
    <x v="3"/>
    <s v="northcentral"/>
    <s v="June"/>
    <n v="2017"/>
    <s v="Francophone"/>
    <x v="0"/>
  </r>
  <r>
    <n v="10755"/>
    <x v="9"/>
    <s v="smithMan@yahoo.com"/>
    <x v="3"/>
    <n v="170"/>
    <n v="250"/>
    <n v="732"/>
    <n v="183000"/>
    <n v="58560"/>
    <x v="4"/>
    <s v="Southeast"/>
    <s v="July"/>
    <n v="2019"/>
    <s v="Francophone"/>
    <x v="0"/>
  </r>
  <r>
    <n v="10756"/>
    <x v="3"/>
    <s v="jone.ai@yahoo.com"/>
    <x v="4"/>
    <n v="150"/>
    <n v="200"/>
    <n v="881"/>
    <n v="176200"/>
    <n v="44050"/>
    <x v="0"/>
    <s v="west"/>
    <s v="August"/>
    <n v="2018"/>
    <s v="Anglophone"/>
    <x v="0"/>
  </r>
  <r>
    <n v="10757"/>
    <x v="6"/>
    <s v="morganny@gmail.com"/>
    <x v="5"/>
    <n v="80"/>
    <n v="150"/>
    <n v="939"/>
    <n v="140850"/>
    <n v="65730"/>
    <x v="1"/>
    <s v="southsouth"/>
    <s v="September"/>
    <n v="2017"/>
    <s v="Anglophone"/>
    <x v="1"/>
  </r>
  <r>
    <n v="10758"/>
    <x v="3"/>
    <s v="jone.ai@yahoo.com"/>
    <x v="6"/>
    <n v="90"/>
    <n v="150"/>
    <n v="907"/>
    <n v="136050"/>
    <n v="54420"/>
    <x v="2"/>
    <s v="northwest"/>
    <s v="October"/>
    <n v="2019"/>
    <s v="Francophone"/>
    <x v="1"/>
  </r>
  <r>
    <n v="10759"/>
    <x v="8"/>
    <s v="parentty@uk.com"/>
    <x v="0"/>
    <n v="150"/>
    <n v="200"/>
    <n v="709"/>
    <n v="141800"/>
    <n v="35450"/>
    <x v="3"/>
    <s v="northeast"/>
    <s v="November"/>
    <n v="2019"/>
    <s v="Francophone"/>
    <x v="0"/>
  </r>
  <r>
    <n v="10760"/>
    <x v="10"/>
    <s v="kivel_go@yahoo.com"/>
    <x v="1"/>
    <n v="250"/>
    <n v="500"/>
    <n v="886"/>
    <n v="443000"/>
    <n v="221500"/>
    <x v="4"/>
    <s v="northcentral"/>
    <s v="December"/>
    <n v="2017"/>
    <s v="Francophone"/>
    <x v="0"/>
  </r>
  <r>
    <n v="10761"/>
    <x v="9"/>
    <s v="smithMan@yahoo.com"/>
    <x v="2"/>
    <n v="180"/>
    <n v="450"/>
    <n v="828"/>
    <n v="372600"/>
    <n v="223560"/>
    <x v="0"/>
    <s v="Southeast"/>
    <s v="January"/>
    <n v="2017"/>
    <s v="Anglophone"/>
    <x v="0"/>
  </r>
  <r>
    <n v="10762"/>
    <x v="8"/>
    <s v="parentty@uk.com"/>
    <x v="3"/>
    <n v="170"/>
    <n v="250"/>
    <n v="700"/>
    <n v="175000"/>
    <n v="56000"/>
    <x v="1"/>
    <s v="west"/>
    <s v="February"/>
    <n v="2019"/>
    <s v="Anglophone"/>
    <x v="0"/>
  </r>
  <r>
    <n v="10763"/>
    <x v="1"/>
    <s v="gillhell@uk.com"/>
    <x v="4"/>
    <n v="150"/>
    <n v="200"/>
    <n v="928"/>
    <n v="185600"/>
    <n v="46400"/>
    <x v="2"/>
    <s v="southsouth"/>
    <s v="March"/>
    <n v="2018"/>
    <s v="Francophone"/>
    <x v="0"/>
  </r>
  <r>
    <n v="10764"/>
    <x v="9"/>
    <s v="smithMan@yahoo.com"/>
    <x v="5"/>
    <n v="80"/>
    <n v="150"/>
    <n v="737"/>
    <n v="110550"/>
    <n v="51590"/>
    <x v="3"/>
    <s v="northwest"/>
    <s v="April"/>
    <n v="2018"/>
    <s v="Francophone"/>
    <x v="1"/>
  </r>
  <r>
    <n v="10765"/>
    <x v="3"/>
    <s v="jone.ai@yahoo.com"/>
    <x v="6"/>
    <n v="90"/>
    <n v="150"/>
    <n v="986"/>
    <n v="147900"/>
    <n v="59160"/>
    <x v="4"/>
    <s v="northeast"/>
    <s v="May"/>
    <n v="2019"/>
    <s v="Francophone"/>
    <x v="1"/>
  </r>
  <r>
    <n v="10766"/>
    <x v="2"/>
    <s v="sorvi2000@gmail.com"/>
    <x v="0"/>
    <n v="150"/>
    <n v="200"/>
    <n v="733"/>
    <n v="146600"/>
    <n v="36650"/>
    <x v="0"/>
    <s v="northcentral"/>
    <s v="June"/>
    <n v="2018"/>
    <s v="Anglophone"/>
    <x v="0"/>
  </r>
  <r>
    <n v="10767"/>
    <x v="0"/>
    <s v="jard@gmail.com"/>
    <x v="1"/>
    <n v="250"/>
    <n v="500"/>
    <n v="769"/>
    <n v="384500"/>
    <n v="192250"/>
    <x v="1"/>
    <s v="Southeast"/>
    <s v="July"/>
    <n v="2017"/>
    <s v="Anglophone"/>
    <x v="0"/>
  </r>
  <r>
    <n v="10768"/>
    <x v="4"/>
    <s v="andy@gmail.com"/>
    <x v="2"/>
    <n v="180"/>
    <n v="450"/>
    <n v="782"/>
    <n v="351900"/>
    <n v="211140"/>
    <x v="2"/>
    <s v="west"/>
    <s v="August"/>
    <n v="2017"/>
    <s v="Francophone"/>
    <x v="0"/>
  </r>
  <r>
    <n v="10769"/>
    <x v="7"/>
    <s v="howard_freeman@yahoo.com"/>
    <x v="3"/>
    <n v="170"/>
    <n v="250"/>
    <n v="755"/>
    <n v="188750"/>
    <n v="60400"/>
    <x v="3"/>
    <s v="southsouth"/>
    <s v="September"/>
    <n v="2017"/>
    <s v="Francophone"/>
    <x v="0"/>
  </r>
  <r>
    <n v="10770"/>
    <x v="1"/>
    <s v="gillhell@uk.com"/>
    <x v="4"/>
    <n v="150"/>
    <n v="200"/>
    <n v="980"/>
    <n v="196000"/>
    <n v="49000"/>
    <x v="4"/>
    <s v="northwest"/>
    <s v="October"/>
    <n v="2019"/>
    <s v="Francophone"/>
    <x v="0"/>
  </r>
  <r>
    <n v="10771"/>
    <x v="1"/>
    <s v="gillhell@uk.com"/>
    <x v="5"/>
    <n v="80"/>
    <n v="150"/>
    <n v="755"/>
    <n v="113250"/>
    <n v="52850"/>
    <x v="0"/>
    <s v="northeast"/>
    <s v="November"/>
    <n v="2019"/>
    <s v="Anglophone"/>
    <x v="1"/>
  </r>
  <r>
    <n v="10772"/>
    <x v="10"/>
    <s v="kivel_go@yahoo.com"/>
    <x v="6"/>
    <n v="90"/>
    <n v="150"/>
    <n v="804"/>
    <n v="120600"/>
    <n v="48240"/>
    <x v="1"/>
    <s v="northcentral"/>
    <s v="December"/>
    <n v="2019"/>
    <s v="Anglophone"/>
    <x v="1"/>
  </r>
  <r>
    <n v="10773"/>
    <x v="3"/>
    <s v="jone.ai@yahoo.com"/>
    <x v="0"/>
    <n v="150"/>
    <n v="200"/>
    <n v="821"/>
    <n v="164200"/>
    <n v="41050"/>
    <x v="2"/>
    <s v="Southeast"/>
    <s v="January"/>
    <n v="2017"/>
    <s v="Francophone"/>
    <x v="0"/>
  </r>
  <r>
    <n v="10774"/>
    <x v="6"/>
    <s v="morganny@gmail.com"/>
    <x v="1"/>
    <n v="250"/>
    <n v="500"/>
    <n v="768"/>
    <n v="384000"/>
    <n v="192000"/>
    <x v="3"/>
    <s v="west"/>
    <s v="February"/>
    <n v="2017"/>
    <s v="Francophone"/>
    <x v="0"/>
  </r>
  <r>
    <n v="10775"/>
    <x v="10"/>
    <s v="kivel_go@yahoo.com"/>
    <x v="2"/>
    <n v="180"/>
    <n v="450"/>
    <n v="929"/>
    <n v="418050"/>
    <n v="250830"/>
    <x v="4"/>
    <s v="southsouth"/>
    <s v="March"/>
    <n v="2019"/>
    <s v="Francophone"/>
    <x v="0"/>
  </r>
  <r>
    <n v="10776"/>
    <x v="2"/>
    <s v="sorvi2000@gmail.com"/>
    <x v="3"/>
    <n v="170"/>
    <n v="250"/>
    <n v="938"/>
    <n v="234500"/>
    <n v="75040"/>
    <x v="0"/>
    <s v="northwest"/>
    <s v="April"/>
    <n v="2018"/>
    <s v="Anglophone"/>
    <x v="0"/>
  </r>
  <r>
    <n v="10777"/>
    <x v="1"/>
    <s v="gillhell@uk.com"/>
    <x v="4"/>
    <n v="150"/>
    <n v="200"/>
    <n v="776"/>
    <n v="155200"/>
    <n v="38800"/>
    <x v="1"/>
    <s v="northeast"/>
    <s v="May"/>
    <n v="2018"/>
    <s v="Anglophone"/>
    <x v="0"/>
  </r>
  <r>
    <n v="10778"/>
    <x v="2"/>
    <s v="sorvi2000@gmail.com"/>
    <x v="5"/>
    <n v="80"/>
    <n v="150"/>
    <n v="830"/>
    <n v="124500"/>
    <n v="58100"/>
    <x v="2"/>
    <s v="northcentral"/>
    <s v="June"/>
    <n v="2018"/>
    <s v="Francophone"/>
    <x v="1"/>
  </r>
  <r>
    <n v="10779"/>
    <x v="5"/>
    <s v="thomp@uk.com"/>
    <x v="6"/>
    <n v="90"/>
    <n v="150"/>
    <n v="881"/>
    <n v="132150"/>
    <n v="52860"/>
    <x v="3"/>
    <s v="Southeast"/>
    <s v="July"/>
    <n v="2017"/>
    <s v="Francophone"/>
    <x v="1"/>
  </r>
  <r>
    <n v="10780"/>
    <x v="4"/>
    <s v="andy@gmail.com"/>
    <x v="0"/>
    <n v="150"/>
    <n v="200"/>
    <n v="854"/>
    <n v="170800"/>
    <n v="42700"/>
    <x v="4"/>
    <s v="west"/>
    <s v="August"/>
    <n v="2019"/>
    <s v="Francophone"/>
    <x v="0"/>
  </r>
  <r>
    <n v="10781"/>
    <x v="0"/>
    <s v="jard@gmail.com"/>
    <x v="1"/>
    <n v="250"/>
    <n v="500"/>
    <n v="843"/>
    <n v="421500"/>
    <n v="210750"/>
    <x v="0"/>
    <s v="southsouth"/>
    <s v="September"/>
    <n v="2017"/>
    <s v="Anglophone"/>
    <x v="0"/>
  </r>
  <r>
    <n v="10782"/>
    <x v="0"/>
    <s v="jard@gmail.com"/>
    <x v="2"/>
    <n v="180"/>
    <n v="450"/>
    <n v="927"/>
    <n v="417150"/>
    <n v="250290"/>
    <x v="1"/>
    <s v="northwest"/>
    <s v="October"/>
    <n v="2019"/>
    <s v="Anglophone"/>
    <x v="0"/>
  </r>
  <r>
    <n v="10783"/>
    <x v="4"/>
    <s v="andy@gmail.com"/>
    <x v="3"/>
    <n v="170"/>
    <n v="250"/>
    <n v="988"/>
    <n v="247000"/>
    <n v="79040"/>
    <x v="2"/>
    <s v="northeast"/>
    <s v="November"/>
    <n v="2019"/>
    <s v="Francophone"/>
    <x v="0"/>
  </r>
  <r>
    <n v="10784"/>
    <x v="0"/>
    <s v="jard@gmail.com"/>
    <x v="4"/>
    <n v="150"/>
    <n v="200"/>
    <n v="864"/>
    <n v="172800"/>
    <n v="43200"/>
    <x v="3"/>
    <s v="northcentral"/>
    <s v="December"/>
    <n v="2018"/>
    <s v="Francophone"/>
    <x v="0"/>
  </r>
  <r>
    <n v="10785"/>
    <x v="1"/>
    <s v="gillhell@uk.com"/>
    <x v="5"/>
    <n v="80"/>
    <n v="150"/>
    <n v="952"/>
    <n v="142800"/>
    <n v="66640"/>
    <x v="4"/>
    <s v="Southeast"/>
    <s v="January"/>
    <n v="2017"/>
    <s v="Francophone"/>
    <x v="1"/>
  </r>
  <r>
    <n v="10786"/>
    <x v="2"/>
    <s v="sorvi2000@gmail.com"/>
    <x v="6"/>
    <n v="90"/>
    <n v="150"/>
    <n v="817"/>
    <n v="122550"/>
    <n v="49020"/>
    <x v="0"/>
    <s v="west"/>
    <s v="February"/>
    <n v="2018"/>
    <s v="Anglophone"/>
    <x v="1"/>
  </r>
  <r>
    <n v="10787"/>
    <x v="3"/>
    <s v="jone.ai@yahoo.com"/>
    <x v="0"/>
    <n v="150"/>
    <n v="200"/>
    <n v="980"/>
    <n v="196000"/>
    <n v="49000"/>
    <x v="1"/>
    <s v="southsouth"/>
    <s v="March"/>
    <n v="2018"/>
    <s v="Anglophone"/>
    <x v="0"/>
  </r>
  <r>
    <n v="10788"/>
    <x v="4"/>
    <s v="andy@gmail.com"/>
    <x v="1"/>
    <n v="250"/>
    <n v="500"/>
    <n v="826"/>
    <n v="413000"/>
    <n v="206500"/>
    <x v="2"/>
    <s v="northwest"/>
    <s v="April"/>
    <n v="2019"/>
    <s v="Francophone"/>
    <x v="0"/>
  </r>
  <r>
    <n v="10789"/>
    <x v="0"/>
    <s v="jard@gmail.com"/>
    <x v="2"/>
    <n v="180"/>
    <n v="450"/>
    <n v="864"/>
    <n v="388800"/>
    <n v="233280"/>
    <x v="3"/>
    <s v="northeast"/>
    <s v="May"/>
    <n v="2017"/>
    <s v="Francophone"/>
    <x v="0"/>
  </r>
  <r>
    <n v="10790"/>
    <x v="5"/>
    <s v="thomp@uk.com"/>
    <x v="3"/>
    <n v="170"/>
    <n v="250"/>
    <n v="737"/>
    <n v="184250"/>
    <n v="58960"/>
    <x v="4"/>
    <s v="northcentral"/>
    <s v="June"/>
    <n v="2018"/>
    <s v="Francophone"/>
    <x v="0"/>
  </r>
  <r>
    <n v="10791"/>
    <x v="3"/>
    <s v="jone.ai@yahoo.com"/>
    <x v="4"/>
    <n v="150"/>
    <n v="200"/>
    <n v="773"/>
    <n v="154600"/>
    <n v="38650"/>
    <x v="0"/>
    <s v="Southeast"/>
    <s v="July"/>
    <n v="2018"/>
    <s v="Anglophone"/>
    <x v="0"/>
  </r>
  <r>
    <n v="10792"/>
    <x v="6"/>
    <s v="morganny@gmail.com"/>
    <x v="5"/>
    <n v="80"/>
    <n v="150"/>
    <n v="902"/>
    <n v="135300"/>
    <n v="63140"/>
    <x v="1"/>
    <s v="west"/>
    <s v="August"/>
    <n v="2019"/>
    <s v="Anglophone"/>
    <x v="1"/>
  </r>
  <r>
    <n v="10793"/>
    <x v="7"/>
    <s v="howard_freeman@yahoo.com"/>
    <x v="6"/>
    <n v="90"/>
    <n v="150"/>
    <n v="888"/>
    <n v="133200"/>
    <n v="53280"/>
    <x v="2"/>
    <s v="southsouth"/>
    <s v="September"/>
    <n v="2019"/>
    <s v="Francophone"/>
    <x v="1"/>
  </r>
  <r>
    <n v="10794"/>
    <x v="8"/>
    <s v="parentty@uk.com"/>
    <x v="0"/>
    <n v="150"/>
    <n v="200"/>
    <n v="893"/>
    <n v="178600"/>
    <n v="44650"/>
    <x v="3"/>
    <s v="northwest"/>
    <s v="October"/>
    <n v="2019"/>
    <s v="Francophone"/>
    <x v="0"/>
  </r>
  <r>
    <n v="10795"/>
    <x v="3"/>
    <s v="jone.ai@yahoo.com"/>
    <x v="1"/>
    <n v="250"/>
    <n v="500"/>
    <n v="718"/>
    <n v="359000"/>
    <n v="179500"/>
    <x v="4"/>
    <s v="northeast"/>
    <s v="November"/>
    <n v="2017"/>
    <s v="Francophone"/>
    <x v="0"/>
  </r>
  <r>
    <n v="10796"/>
    <x v="9"/>
    <s v="smithMan@yahoo.com"/>
    <x v="2"/>
    <n v="180"/>
    <n v="450"/>
    <n v="744"/>
    <n v="334800"/>
    <n v="200880"/>
    <x v="0"/>
    <s v="northcentral"/>
    <s v="December"/>
    <n v="2017"/>
    <s v="Anglophone"/>
    <x v="0"/>
  </r>
  <r>
    <n v="10797"/>
    <x v="3"/>
    <s v="jone.ai@yahoo.com"/>
    <x v="3"/>
    <n v="170"/>
    <n v="250"/>
    <n v="959"/>
    <n v="239750"/>
    <n v="76720"/>
    <x v="1"/>
    <s v="Southeast"/>
    <s v="January"/>
    <n v="2017"/>
    <s v="Anglophone"/>
    <x v="0"/>
  </r>
  <r>
    <n v="10798"/>
    <x v="6"/>
    <s v="morganny@gmail.com"/>
    <x v="4"/>
    <n v="150"/>
    <n v="200"/>
    <n v="976"/>
    <n v="195200"/>
    <n v="48800"/>
    <x v="2"/>
    <s v="west"/>
    <s v="February"/>
    <n v="2017"/>
    <s v="Francophone"/>
    <x v="0"/>
  </r>
  <r>
    <n v="10799"/>
    <x v="3"/>
    <s v="jone.ai@yahoo.com"/>
    <x v="5"/>
    <n v="80"/>
    <n v="150"/>
    <n v="940"/>
    <n v="141000"/>
    <n v="65800"/>
    <x v="3"/>
    <s v="southsouth"/>
    <s v="March"/>
    <n v="2018"/>
    <s v="Francophone"/>
    <x v="1"/>
  </r>
  <r>
    <n v="10800"/>
    <x v="8"/>
    <s v="parentty@uk.com"/>
    <x v="6"/>
    <n v="90"/>
    <n v="150"/>
    <n v="956"/>
    <n v="143400"/>
    <n v="57360"/>
    <x v="4"/>
    <s v="northwest"/>
    <s v="April"/>
    <n v="2019"/>
    <s v="Francophone"/>
    <x v="1"/>
  </r>
  <r>
    <n v="10801"/>
    <x v="10"/>
    <s v="kivel_go@yahoo.com"/>
    <x v="0"/>
    <n v="150"/>
    <n v="200"/>
    <n v="908"/>
    <n v="181600"/>
    <n v="45400"/>
    <x v="0"/>
    <s v="northeast"/>
    <s v="May"/>
    <n v="2018"/>
    <s v="Anglophone"/>
    <x v="0"/>
  </r>
  <r>
    <n v="10802"/>
    <x v="9"/>
    <s v="smithMan@yahoo.com"/>
    <x v="1"/>
    <n v="250"/>
    <n v="500"/>
    <n v="866"/>
    <n v="433000"/>
    <n v="216500"/>
    <x v="1"/>
    <s v="northcentral"/>
    <s v="June"/>
    <n v="2018"/>
    <s v="Anglophone"/>
    <x v="0"/>
  </r>
  <r>
    <n v="10803"/>
    <x v="8"/>
    <s v="parentty@uk.com"/>
    <x v="2"/>
    <n v="180"/>
    <n v="450"/>
    <n v="735"/>
    <n v="330750"/>
    <n v="198450"/>
    <x v="2"/>
    <s v="Southeast"/>
    <s v="July"/>
    <n v="2019"/>
    <s v="Francophone"/>
    <x v="0"/>
  </r>
  <r>
    <n v="10804"/>
    <x v="1"/>
    <s v="gillhell@uk.com"/>
    <x v="3"/>
    <n v="170"/>
    <n v="250"/>
    <n v="802"/>
    <n v="200500"/>
    <n v="64160"/>
    <x v="3"/>
    <s v="west"/>
    <s v="August"/>
    <n v="2017"/>
    <s v="Francophone"/>
    <x v="0"/>
  </r>
  <r>
    <n v="10805"/>
    <x v="9"/>
    <s v="smithMan@yahoo.com"/>
    <x v="4"/>
    <n v="150"/>
    <n v="200"/>
    <n v="976"/>
    <n v="195200"/>
    <n v="48800"/>
    <x v="4"/>
    <s v="southsouth"/>
    <s v="September"/>
    <n v="2018"/>
    <s v="Francophone"/>
    <x v="0"/>
  </r>
  <r>
    <n v="10806"/>
    <x v="3"/>
    <s v="jone.ai@yahoo.com"/>
    <x v="5"/>
    <n v="80"/>
    <n v="150"/>
    <n v="914"/>
    <n v="137100"/>
    <n v="63980"/>
    <x v="0"/>
    <s v="northwest"/>
    <s v="October"/>
    <n v="2017"/>
    <s v="Anglophone"/>
    <x v="1"/>
  </r>
  <r>
    <n v="10807"/>
    <x v="2"/>
    <s v="sorvi2000@gmail.com"/>
    <x v="6"/>
    <n v="90"/>
    <n v="150"/>
    <n v="821"/>
    <n v="123150"/>
    <n v="49260"/>
    <x v="1"/>
    <s v="northeast"/>
    <s v="November"/>
    <n v="2017"/>
    <s v="Anglophone"/>
    <x v="1"/>
  </r>
  <r>
    <n v="10808"/>
    <x v="0"/>
    <s v="jard@gmail.com"/>
    <x v="0"/>
    <n v="150"/>
    <n v="200"/>
    <n v="804"/>
    <n v="160800"/>
    <n v="40200"/>
    <x v="2"/>
    <s v="northcentral"/>
    <s v="December"/>
    <n v="2017"/>
    <s v="Francophone"/>
    <x v="0"/>
  </r>
  <r>
    <n v="10809"/>
    <x v="4"/>
    <s v="andy@gmail.com"/>
    <x v="1"/>
    <n v="250"/>
    <n v="500"/>
    <n v="946"/>
    <n v="473000"/>
    <n v="236500"/>
    <x v="3"/>
    <s v="Southeast"/>
    <s v="January"/>
    <n v="2017"/>
    <s v="Francophone"/>
    <x v="0"/>
  </r>
  <r>
    <n v="10810"/>
    <x v="7"/>
    <s v="howard_freeman@yahoo.com"/>
    <x v="2"/>
    <n v="180"/>
    <n v="450"/>
    <n v="997"/>
    <n v="448650"/>
    <n v="269190"/>
    <x v="4"/>
    <s v="west"/>
    <s v="February"/>
    <n v="2019"/>
    <s v="Francophone"/>
    <x v="0"/>
  </r>
  <r>
    <n v="10811"/>
    <x v="1"/>
    <s v="gillhell@uk.com"/>
    <x v="3"/>
    <n v="170"/>
    <n v="250"/>
    <n v="770"/>
    <n v="192500"/>
    <n v="61600"/>
    <x v="0"/>
    <s v="southsouth"/>
    <s v="March"/>
    <n v="2019"/>
    <s v="Anglophone"/>
    <x v="0"/>
  </r>
  <r>
    <n v="10812"/>
    <x v="1"/>
    <s v="gillhell@uk.com"/>
    <x v="4"/>
    <n v="150"/>
    <n v="200"/>
    <n v="901"/>
    <n v="180200"/>
    <n v="45050"/>
    <x v="1"/>
    <s v="northwest"/>
    <s v="April"/>
    <n v="2017"/>
    <s v="Anglophone"/>
    <x v="0"/>
  </r>
  <r>
    <n v="10813"/>
    <x v="10"/>
    <s v="kivel_go@yahoo.com"/>
    <x v="5"/>
    <n v="80"/>
    <n v="150"/>
    <n v="719"/>
    <n v="107850"/>
    <n v="50330"/>
    <x v="2"/>
    <s v="northeast"/>
    <s v="May"/>
    <n v="2019"/>
    <s v="Francophone"/>
    <x v="1"/>
  </r>
  <r>
    <n v="10814"/>
    <x v="3"/>
    <s v="jone.ai@yahoo.com"/>
    <x v="6"/>
    <n v="90"/>
    <n v="150"/>
    <n v="933"/>
    <n v="139950"/>
    <n v="55980"/>
    <x v="3"/>
    <s v="northcentral"/>
    <s v="June"/>
    <n v="2018"/>
    <s v="Francophone"/>
    <x v="1"/>
  </r>
  <r>
    <n v="10815"/>
    <x v="6"/>
    <s v="morganny@gmail.com"/>
    <x v="0"/>
    <n v="150"/>
    <n v="200"/>
    <n v="992"/>
    <n v="198400"/>
    <n v="49600"/>
    <x v="4"/>
    <s v="Southeast"/>
    <s v="July"/>
    <n v="2017"/>
    <s v="Francophone"/>
    <x v="0"/>
  </r>
  <r>
    <n v="10816"/>
    <x v="10"/>
    <s v="kivel_go@yahoo.com"/>
    <x v="1"/>
    <n v="250"/>
    <n v="500"/>
    <n v="818"/>
    <n v="409000"/>
    <n v="204500"/>
    <x v="0"/>
    <s v="west"/>
    <s v="August"/>
    <n v="2018"/>
    <s v="Anglophone"/>
    <x v="0"/>
  </r>
  <r>
    <n v="10817"/>
    <x v="2"/>
    <s v="sorvi2000@gmail.com"/>
    <x v="2"/>
    <n v="180"/>
    <n v="450"/>
    <n v="828"/>
    <n v="372600"/>
    <n v="223560"/>
    <x v="1"/>
    <s v="southsouth"/>
    <s v="September"/>
    <n v="2017"/>
    <s v="Anglophone"/>
    <x v="0"/>
  </r>
  <r>
    <n v="10818"/>
    <x v="1"/>
    <s v="gillhell@uk.com"/>
    <x v="3"/>
    <n v="170"/>
    <n v="250"/>
    <n v="758"/>
    <n v="189500"/>
    <n v="60640"/>
    <x v="2"/>
    <s v="northwest"/>
    <s v="October"/>
    <n v="2017"/>
    <s v="Francophone"/>
    <x v="0"/>
  </r>
  <r>
    <n v="10819"/>
    <x v="2"/>
    <s v="sorvi2000@gmail.com"/>
    <x v="4"/>
    <n v="150"/>
    <n v="200"/>
    <n v="787"/>
    <n v="157400"/>
    <n v="39350"/>
    <x v="3"/>
    <s v="northeast"/>
    <s v="November"/>
    <n v="2018"/>
    <s v="Francophone"/>
    <x v="0"/>
  </r>
  <r>
    <n v="10820"/>
    <x v="5"/>
    <s v="thomp@uk.com"/>
    <x v="5"/>
    <n v="80"/>
    <n v="150"/>
    <n v="929"/>
    <n v="139350"/>
    <n v="65030"/>
    <x v="4"/>
    <s v="northcentral"/>
    <s v="December"/>
    <n v="2019"/>
    <s v="Francophone"/>
    <x v="1"/>
  </r>
  <r>
    <n v="10821"/>
    <x v="4"/>
    <s v="andy@gmail.com"/>
    <x v="6"/>
    <n v="90"/>
    <n v="150"/>
    <n v="785"/>
    <n v="117750"/>
    <n v="47100"/>
    <x v="0"/>
    <s v="Southeast"/>
    <s v="January"/>
    <n v="2019"/>
    <s v="Anglophone"/>
    <x v="1"/>
  </r>
  <r>
    <n v="10822"/>
    <x v="0"/>
    <s v="jard@gmail.com"/>
    <x v="0"/>
    <n v="150"/>
    <n v="200"/>
    <n v="701"/>
    <n v="140200"/>
    <n v="35050"/>
    <x v="1"/>
    <s v="west"/>
    <s v="February"/>
    <n v="2017"/>
    <s v="Anglophone"/>
    <x v="0"/>
  </r>
  <r>
    <n v="10823"/>
    <x v="0"/>
    <s v="jard@gmail.com"/>
    <x v="1"/>
    <n v="250"/>
    <n v="500"/>
    <n v="757"/>
    <n v="378500"/>
    <n v="189250"/>
    <x v="2"/>
    <s v="southsouth"/>
    <s v="March"/>
    <n v="2019"/>
    <s v="Francophone"/>
    <x v="0"/>
  </r>
  <r>
    <n v="10824"/>
    <x v="4"/>
    <s v="andy@gmail.com"/>
    <x v="2"/>
    <n v="180"/>
    <n v="450"/>
    <n v="810"/>
    <n v="364500"/>
    <n v="218700"/>
    <x v="3"/>
    <s v="northwest"/>
    <s v="April"/>
    <n v="2019"/>
    <s v="Francophone"/>
    <x v="0"/>
  </r>
  <r>
    <n v="10825"/>
    <x v="3"/>
    <s v="jone.ai@yahoo.com"/>
    <x v="3"/>
    <n v="170"/>
    <n v="250"/>
    <n v="874"/>
    <n v="218500"/>
    <n v="69920"/>
    <x v="4"/>
    <s v="northeast"/>
    <s v="May"/>
    <n v="2017"/>
    <s v="Francophone"/>
    <x v="0"/>
  </r>
  <r>
    <n v="10826"/>
    <x v="6"/>
    <s v="morganny@gmail.com"/>
    <x v="4"/>
    <n v="150"/>
    <n v="200"/>
    <n v="820"/>
    <n v="164000"/>
    <n v="41000"/>
    <x v="0"/>
    <s v="northcentral"/>
    <s v="June"/>
    <n v="2018"/>
    <s v="Anglophone"/>
    <x v="0"/>
  </r>
  <r>
    <n v="10827"/>
    <x v="10"/>
    <s v="kivel_go@yahoo.com"/>
    <x v="5"/>
    <n v="80"/>
    <n v="150"/>
    <n v="874"/>
    <n v="131100"/>
    <n v="61180"/>
    <x v="1"/>
    <s v="Southeast"/>
    <s v="July"/>
    <n v="2018"/>
    <s v="Anglophone"/>
    <x v="1"/>
  </r>
  <r>
    <n v="10828"/>
    <x v="2"/>
    <s v="sorvi2000@gmail.com"/>
    <x v="6"/>
    <n v="90"/>
    <n v="150"/>
    <n v="958"/>
    <n v="143700"/>
    <n v="57480"/>
    <x v="2"/>
    <s v="west"/>
    <s v="August"/>
    <n v="2019"/>
    <s v="Francophone"/>
    <x v="1"/>
  </r>
  <r>
    <n v="10829"/>
    <x v="1"/>
    <s v="gillhell@uk.com"/>
    <x v="0"/>
    <n v="150"/>
    <n v="200"/>
    <n v="742"/>
    <n v="148400"/>
    <n v="37100"/>
    <x v="3"/>
    <s v="southsouth"/>
    <s v="September"/>
    <n v="2018"/>
    <s v="Francophone"/>
    <x v="0"/>
  </r>
  <r>
    <n v="10830"/>
    <x v="2"/>
    <s v="sorvi2000@gmail.com"/>
    <x v="1"/>
    <n v="250"/>
    <n v="500"/>
    <n v="973"/>
    <n v="486500"/>
    <n v="243250"/>
    <x v="4"/>
    <s v="northwest"/>
    <s v="October"/>
    <n v="2018"/>
    <s v="Francophone"/>
    <x v="0"/>
  </r>
  <r>
    <n v="10831"/>
    <x v="5"/>
    <s v="thomp@uk.com"/>
    <x v="2"/>
    <n v="180"/>
    <n v="450"/>
    <n v="961"/>
    <n v="432450"/>
    <n v="259470"/>
    <x v="0"/>
    <s v="northeast"/>
    <s v="November"/>
    <n v="2017"/>
    <s v="Anglophone"/>
    <x v="0"/>
  </r>
  <r>
    <n v="10832"/>
    <x v="4"/>
    <s v="andy@gmail.com"/>
    <x v="3"/>
    <n v="170"/>
    <n v="250"/>
    <n v="752"/>
    <n v="188000"/>
    <n v="60160"/>
    <x v="1"/>
    <s v="northcentral"/>
    <s v="December"/>
    <n v="2017"/>
    <s v="Anglophone"/>
    <x v="0"/>
  </r>
  <r>
    <n v="10833"/>
    <x v="0"/>
    <s v="jard@gmail.com"/>
    <x v="4"/>
    <n v="150"/>
    <n v="200"/>
    <n v="938"/>
    <n v="187600"/>
    <n v="46900"/>
    <x v="2"/>
    <s v="Southeast"/>
    <s v="January"/>
    <n v="2018"/>
    <s v="Francophone"/>
    <x v="0"/>
  </r>
  <r>
    <n v="10834"/>
    <x v="0"/>
    <s v="jard@gmail.com"/>
    <x v="5"/>
    <n v="80"/>
    <n v="150"/>
    <n v="777"/>
    <n v="116550"/>
    <n v="54390"/>
    <x v="3"/>
    <s v="west"/>
    <s v="February"/>
    <n v="2018"/>
    <s v="Francophone"/>
    <x v="1"/>
  </r>
  <r>
    <n v="10835"/>
    <x v="4"/>
    <s v="andy@gmail.com"/>
    <x v="6"/>
    <n v="90"/>
    <n v="150"/>
    <n v="855"/>
    <n v="128250"/>
    <n v="51300"/>
    <x v="4"/>
    <s v="southsouth"/>
    <s v="March"/>
    <n v="2018"/>
    <s v="Francophone"/>
    <x v="1"/>
  </r>
  <r>
    <n v="10836"/>
    <x v="0"/>
    <s v="jard@gmail.com"/>
    <x v="0"/>
    <n v="150"/>
    <n v="200"/>
    <n v="870"/>
    <n v="174000"/>
    <n v="43500"/>
    <x v="0"/>
    <s v="northwest"/>
    <s v="April"/>
    <n v="2017"/>
    <s v="Anglophone"/>
    <x v="0"/>
  </r>
  <r>
    <n v="10837"/>
    <x v="1"/>
    <s v="gillhell@uk.com"/>
    <x v="1"/>
    <n v="250"/>
    <n v="500"/>
    <n v="922"/>
    <n v="461000"/>
    <n v="230500"/>
    <x v="1"/>
    <s v="northeast"/>
    <s v="May"/>
    <n v="2018"/>
    <s v="Anglophone"/>
    <x v="0"/>
  </r>
  <r>
    <n v="10838"/>
    <x v="2"/>
    <s v="sorvi2000@gmail.com"/>
    <x v="2"/>
    <n v="180"/>
    <n v="450"/>
    <n v="856"/>
    <n v="385200"/>
    <n v="231120"/>
    <x v="2"/>
    <s v="northcentral"/>
    <s v="June"/>
    <n v="2018"/>
    <s v="Francophone"/>
    <x v="0"/>
  </r>
  <r>
    <n v="10839"/>
    <x v="3"/>
    <s v="jone.ai@yahoo.com"/>
    <x v="3"/>
    <n v="170"/>
    <n v="250"/>
    <n v="852"/>
    <n v="213000"/>
    <n v="68160"/>
    <x v="3"/>
    <s v="Southeast"/>
    <s v="July"/>
    <n v="2018"/>
    <s v="Francophone"/>
    <x v="0"/>
  </r>
  <r>
    <n v="10840"/>
    <x v="4"/>
    <s v="andy@gmail.com"/>
    <x v="4"/>
    <n v="150"/>
    <n v="200"/>
    <n v="981"/>
    <n v="196200"/>
    <n v="49050"/>
    <x v="4"/>
    <s v="west"/>
    <s v="August"/>
    <n v="2018"/>
    <s v="Francophone"/>
    <x v="0"/>
  </r>
  <r>
    <n v="10841"/>
    <x v="0"/>
    <s v="jard@gmail.com"/>
    <x v="5"/>
    <n v="80"/>
    <n v="150"/>
    <n v="910"/>
    <n v="136500"/>
    <n v="63700"/>
    <x v="0"/>
    <s v="southsouth"/>
    <s v="September"/>
    <n v="2017"/>
    <s v="Anglophone"/>
    <x v="1"/>
  </r>
  <r>
    <n v="10842"/>
    <x v="5"/>
    <s v="thomp@uk.com"/>
    <x v="6"/>
    <n v="90"/>
    <n v="150"/>
    <n v="805"/>
    <n v="120750"/>
    <n v="48300"/>
    <x v="1"/>
    <s v="northwest"/>
    <s v="October"/>
    <n v="2018"/>
    <s v="Anglophone"/>
    <x v="1"/>
  </r>
  <r>
    <n v="10843"/>
    <x v="3"/>
    <s v="jone.ai@yahoo.com"/>
    <x v="0"/>
    <n v="150"/>
    <n v="200"/>
    <n v="932"/>
    <n v="186400"/>
    <n v="46600"/>
    <x v="2"/>
    <s v="northeast"/>
    <s v="November"/>
    <n v="2018"/>
    <s v="Francophone"/>
    <x v="0"/>
  </r>
  <r>
    <n v="10844"/>
    <x v="6"/>
    <s v="morganny@gmail.com"/>
    <x v="1"/>
    <n v="250"/>
    <n v="500"/>
    <n v="891"/>
    <n v="445500"/>
    <n v="222750"/>
    <x v="3"/>
    <s v="northcentral"/>
    <s v="December"/>
    <n v="2018"/>
    <s v="Francophone"/>
    <x v="0"/>
  </r>
  <r>
    <n v="10845"/>
    <x v="7"/>
    <s v="howard_freeman@yahoo.com"/>
    <x v="2"/>
    <n v="180"/>
    <n v="450"/>
    <n v="803"/>
    <n v="361350"/>
    <n v="216810"/>
    <x v="4"/>
    <s v="Southeast"/>
    <s v="January"/>
    <n v="2018"/>
    <s v="Francophone"/>
    <x v="0"/>
  </r>
  <r>
    <n v="10846"/>
    <x v="8"/>
    <s v="parentty@uk.com"/>
    <x v="3"/>
    <n v="170"/>
    <n v="250"/>
    <n v="818"/>
    <n v="204500"/>
    <n v="65440"/>
    <x v="0"/>
    <s v="west"/>
    <s v="February"/>
    <n v="2017"/>
    <s v="Anglophone"/>
    <x v="0"/>
  </r>
  <r>
    <n v="10847"/>
    <x v="3"/>
    <s v="jone.ai@yahoo.com"/>
    <x v="4"/>
    <n v="150"/>
    <n v="200"/>
    <n v="932"/>
    <n v="186400"/>
    <n v="46600"/>
    <x v="1"/>
    <s v="southsouth"/>
    <s v="March"/>
    <n v="2019"/>
    <s v="Anglophone"/>
    <x v="0"/>
  </r>
  <r>
    <n v="10848"/>
    <x v="9"/>
    <s v="smithMan@yahoo.com"/>
    <x v="5"/>
    <n v="80"/>
    <n v="150"/>
    <n v="893"/>
    <n v="133950"/>
    <n v="62510"/>
    <x v="2"/>
    <s v="northwest"/>
    <s v="April"/>
    <n v="2019"/>
    <s v="Francophone"/>
    <x v="1"/>
  </r>
  <r>
    <n v="10849"/>
    <x v="3"/>
    <s v="jone.ai@yahoo.com"/>
    <x v="6"/>
    <n v="90"/>
    <n v="150"/>
    <n v="824"/>
    <n v="123600"/>
    <n v="49440"/>
    <x v="3"/>
    <s v="northeast"/>
    <s v="May"/>
    <n v="2019"/>
    <s v="Francophone"/>
    <x v="1"/>
  </r>
  <r>
    <n v="10850"/>
    <x v="0"/>
    <s v="jard@gmail.com"/>
    <x v="0"/>
    <n v="150"/>
    <n v="200"/>
    <n v="931"/>
    <n v="186200"/>
    <n v="46550"/>
    <x v="4"/>
    <s v="northcentral"/>
    <s v="June"/>
    <n v="2019"/>
    <s v="Francophone"/>
    <x v="0"/>
  </r>
  <r>
    <n v="10851"/>
    <x v="1"/>
    <s v="gillhell@uk.com"/>
    <x v="1"/>
    <n v="250"/>
    <n v="500"/>
    <n v="783"/>
    <n v="391500"/>
    <n v="195750"/>
    <x v="0"/>
    <s v="Southeast"/>
    <s v="July"/>
    <n v="2019"/>
    <s v="Anglophone"/>
    <x v="0"/>
  </r>
  <r>
    <n v="10852"/>
    <x v="2"/>
    <s v="sorvi2000@gmail.com"/>
    <x v="2"/>
    <n v="180"/>
    <n v="450"/>
    <n v="708"/>
    <n v="318600"/>
    <n v="191160"/>
    <x v="1"/>
    <s v="west"/>
    <s v="August"/>
    <n v="2017"/>
    <s v="Anglophone"/>
    <x v="0"/>
  </r>
  <r>
    <n v="10853"/>
    <x v="3"/>
    <s v="jone.ai@yahoo.com"/>
    <x v="3"/>
    <n v="170"/>
    <n v="250"/>
    <n v="861"/>
    <n v="215250"/>
    <n v="68880"/>
    <x v="2"/>
    <s v="southsouth"/>
    <s v="September"/>
    <n v="2017"/>
    <s v="Francophone"/>
    <x v="0"/>
  </r>
  <r>
    <n v="10854"/>
    <x v="4"/>
    <s v="andy@gmail.com"/>
    <x v="4"/>
    <n v="150"/>
    <n v="200"/>
    <n v="798"/>
    <n v="159600"/>
    <n v="39900"/>
    <x v="3"/>
    <s v="northwest"/>
    <s v="October"/>
    <n v="2017"/>
    <s v="Francophone"/>
    <x v="0"/>
  </r>
  <r>
    <n v="10855"/>
    <x v="0"/>
    <s v="jard@gmail.com"/>
    <x v="5"/>
    <n v="80"/>
    <n v="150"/>
    <n v="934"/>
    <n v="140100"/>
    <n v="65380"/>
    <x v="4"/>
    <s v="northeast"/>
    <s v="November"/>
    <n v="2019"/>
    <s v="Francophone"/>
    <x v="1"/>
  </r>
  <r>
    <n v="10856"/>
    <x v="5"/>
    <s v="thomp@uk.com"/>
    <x v="6"/>
    <n v="90"/>
    <n v="150"/>
    <n v="950"/>
    <n v="142500"/>
    <n v="57000"/>
    <x v="0"/>
    <s v="northcentral"/>
    <s v="December"/>
    <n v="2017"/>
    <s v="Anglophone"/>
    <x v="1"/>
  </r>
  <r>
    <n v="10857"/>
    <x v="3"/>
    <s v="jone.ai@yahoo.com"/>
    <x v="0"/>
    <n v="150"/>
    <n v="200"/>
    <n v="986"/>
    <n v="197200"/>
    <n v="49300"/>
    <x v="1"/>
    <s v="Southeast"/>
    <s v="January"/>
    <n v="2018"/>
    <s v="Anglophone"/>
    <x v="0"/>
  </r>
  <r>
    <n v="10858"/>
    <x v="6"/>
    <s v="morganny@gmail.com"/>
    <x v="1"/>
    <n v="250"/>
    <n v="500"/>
    <n v="767"/>
    <n v="383500"/>
    <n v="191750"/>
    <x v="2"/>
    <s v="west"/>
    <s v="February"/>
    <n v="2017"/>
    <s v="Francophone"/>
    <x v="0"/>
  </r>
  <r>
    <n v="10859"/>
    <x v="7"/>
    <s v="howard_freeman@yahoo.com"/>
    <x v="2"/>
    <n v="180"/>
    <n v="450"/>
    <n v="898"/>
    <n v="404100"/>
    <n v="242460"/>
    <x v="3"/>
    <s v="southsouth"/>
    <s v="March"/>
    <n v="2017"/>
    <s v="Francophone"/>
    <x v="0"/>
  </r>
  <r>
    <n v="10860"/>
    <x v="8"/>
    <s v="parentty@uk.com"/>
    <x v="3"/>
    <n v="170"/>
    <n v="250"/>
    <n v="859"/>
    <n v="214750"/>
    <n v="68720"/>
    <x v="4"/>
    <s v="northwest"/>
    <s v="April"/>
    <n v="2018"/>
    <s v="Francophone"/>
    <x v="0"/>
  </r>
  <r>
    <n v="10861"/>
    <x v="3"/>
    <s v="jone.ai@yahoo.com"/>
    <x v="4"/>
    <n v="150"/>
    <n v="200"/>
    <n v="934"/>
    <n v="186800"/>
    <n v="46700"/>
    <x v="0"/>
    <s v="northeast"/>
    <s v="May"/>
    <n v="2019"/>
    <s v="Anglophone"/>
    <x v="0"/>
  </r>
  <r>
    <n v="10862"/>
    <x v="9"/>
    <s v="smithMan@yahoo.com"/>
    <x v="5"/>
    <n v="80"/>
    <n v="150"/>
    <n v="879"/>
    <n v="131850"/>
    <n v="61530"/>
    <x v="1"/>
    <s v="northcentral"/>
    <s v="June"/>
    <n v="2017"/>
    <s v="Anglophone"/>
    <x v="1"/>
  </r>
  <r>
    <n v="10863"/>
    <x v="3"/>
    <s v="jone.ai@yahoo.com"/>
    <x v="6"/>
    <n v="90"/>
    <n v="150"/>
    <n v="872"/>
    <n v="130800"/>
    <n v="52320"/>
    <x v="2"/>
    <s v="Southeast"/>
    <s v="July"/>
    <n v="2017"/>
    <s v="Francophone"/>
    <x v="1"/>
  </r>
  <r>
    <n v="10864"/>
    <x v="6"/>
    <s v="morganny@gmail.com"/>
    <x v="0"/>
    <n v="150"/>
    <n v="200"/>
    <n v="991"/>
    <n v="198200"/>
    <n v="49550"/>
    <x v="3"/>
    <s v="west"/>
    <s v="August"/>
    <n v="2018"/>
    <s v="Francophone"/>
    <x v="0"/>
  </r>
  <r>
    <n v="10865"/>
    <x v="3"/>
    <s v="jone.ai@yahoo.com"/>
    <x v="1"/>
    <n v="250"/>
    <n v="500"/>
    <n v="738"/>
    <n v="369000"/>
    <n v="184500"/>
    <x v="4"/>
    <s v="southsouth"/>
    <s v="September"/>
    <n v="2018"/>
    <s v="Francophone"/>
    <x v="0"/>
  </r>
  <r>
    <n v="10866"/>
    <x v="8"/>
    <s v="parentty@uk.com"/>
    <x v="2"/>
    <n v="180"/>
    <n v="450"/>
    <n v="849"/>
    <n v="382050"/>
    <n v="229230"/>
    <x v="0"/>
    <s v="northwest"/>
    <s v="October"/>
    <n v="2018"/>
    <s v="Anglophone"/>
    <x v="0"/>
  </r>
  <r>
    <n v="10867"/>
    <x v="10"/>
    <s v="kivel_go@yahoo.com"/>
    <x v="3"/>
    <n v="170"/>
    <n v="250"/>
    <n v="997"/>
    <n v="249250"/>
    <n v="79760"/>
    <x v="1"/>
    <s v="northeast"/>
    <s v="November"/>
    <n v="2017"/>
    <s v="Anglophone"/>
    <x v="0"/>
  </r>
  <r>
    <n v="10868"/>
    <x v="9"/>
    <s v="smithMan@yahoo.com"/>
    <x v="4"/>
    <n v="150"/>
    <n v="200"/>
    <n v="842"/>
    <n v="168400"/>
    <n v="42100"/>
    <x v="2"/>
    <s v="northcentral"/>
    <s v="December"/>
    <n v="2017"/>
    <s v="Francophone"/>
    <x v="0"/>
  </r>
  <r>
    <n v="10869"/>
    <x v="8"/>
    <s v="parentty@uk.com"/>
    <x v="5"/>
    <n v="80"/>
    <n v="150"/>
    <n v="866"/>
    <n v="129900"/>
    <n v="60620"/>
    <x v="3"/>
    <s v="Southeast"/>
    <s v="January"/>
    <n v="2019"/>
    <s v="Francophone"/>
    <x v="1"/>
  </r>
  <r>
    <n v="10870"/>
    <x v="1"/>
    <s v="gillhell@uk.com"/>
    <x v="6"/>
    <n v="90"/>
    <n v="150"/>
    <n v="904"/>
    <n v="135600"/>
    <n v="54240"/>
    <x v="4"/>
    <s v="west"/>
    <s v="February"/>
    <n v="2018"/>
    <s v="Francophone"/>
    <x v="1"/>
  </r>
  <r>
    <n v="10871"/>
    <x v="9"/>
    <s v="smithMan@yahoo.com"/>
    <x v="0"/>
    <n v="150"/>
    <n v="200"/>
    <n v="977"/>
    <n v="195400"/>
    <n v="48850"/>
    <x v="0"/>
    <s v="southsouth"/>
    <s v="March"/>
    <n v="2018"/>
    <s v="Anglophone"/>
    <x v="0"/>
  </r>
  <r>
    <n v="10872"/>
    <x v="3"/>
    <s v="jone.ai@yahoo.com"/>
    <x v="1"/>
    <n v="250"/>
    <n v="500"/>
    <n v="848"/>
    <n v="424000"/>
    <n v="212000"/>
    <x v="1"/>
    <s v="northwest"/>
    <s v="April"/>
    <n v="2017"/>
    <s v="Anglophone"/>
    <x v="0"/>
  </r>
  <r>
    <n v="10873"/>
    <x v="2"/>
    <s v="sorvi2000@gmail.com"/>
    <x v="2"/>
    <n v="180"/>
    <n v="450"/>
    <n v="924"/>
    <n v="415800"/>
    <n v="249480"/>
    <x v="2"/>
    <s v="northeast"/>
    <s v="May"/>
    <n v="2017"/>
    <s v="Francophone"/>
    <x v="0"/>
  </r>
  <r>
    <n v="10874"/>
    <x v="0"/>
    <s v="jard@gmail.com"/>
    <x v="3"/>
    <n v="170"/>
    <n v="250"/>
    <n v="977"/>
    <n v="244250"/>
    <n v="78160"/>
    <x v="3"/>
    <s v="northcentral"/>
    <s v="June"/>
    <n v="2019"/>
    <s v="Francophone"/>
    <x v="0"/>
  </r>
  <r>
    <n v="10875"/>
    <x v="4"/>
    <s v="andy@gmail.com"/>
    <x v="4"/>
    <n v="150"/>
    <n v="200"/>
    <n v="771"/>
    <n v="154200"/>
    <n v="38550"/>
    <x v="4"/>
    <s v="Southeast"/>
    <s v="July"/>
    <n v="2017"/>
    <s v="Francophone"/>
    <x v="0"/>
  </r>
  <r>
    <n v="10876"/>
    <x v="7"/>
    <s v="howard_freeman@yahoo.com"/>
    <x v="5"/>
    <n v="80"/>
    <n v="150"/>
    <n v="862"/>
    <n v="129300"/>
    <n v="60340"/>
    <x v="0"/>
    <s v="west"/>
    <s v="August"/>
    <n v="2017"/>
    <s v="Anglophone"/>
    <x v="1"/>
  </r>
  <r>
    <n v="10877"/>
    <x v="1"/>
    <s v="gillhell@uk.com"/>
    <x v="6"/>
    <n v="90"/>
    <n v="150"/>
    <n v="716"/>
    <n v="107400"/>
    <n v="42960"/>
    <x v="1"/>
    <s v="southsouth"/>
    <s v="September"/>
    <n v="2019"/>
    <s v="Anglophone"/>
    <x v="1"/>
  </r>
  <r>
    <n v="10878"/>
    <x v="1"/>
    <s v="gillhell@uk.com"/>
    <x v="0"/>
    <n v="150"/>
    <n v="200"/>
    <n v="923"/>
    <n v="184600"/>
    <n v="46150"/>
    <x v="2"/>
    <s v="northwest"/>
    <s v="October"/>
    <n v="2017"/>
    <s v="Francophone"/>
    <x v="0"/>
  </r>
  <r>
    <n v="10879"/>
    <x v="10"/>
    <s v="kivel_go@yahoo.com"/>
    <x v="1"/>
    <n v="250"/>
    <n v="500"/>
    <n v="729"/>
    <n v="364500"/>
    <n v="182250"/>
    <x v="3"/>
    <s v="northeast"/>
    <s v="November"/>
    <n v="2018"/>
    <s v="Francophone"/>
    <x v="0"/>
  </r>
  <r>
    <n v="10880"/>
    <x v="3"/>
    <s v="jone.ai@yahoo.com"/>
    <x v="2"/>
    <n v="180"/>
    <n v="450"/>
    <n v="766"/>
    <n v="344700"/>
    <n v="206820"/>
    <x v="4"/>
    <s v="northcentral"/>
    <s v="December"/>
    <n v="2017"/>
    <s v="Francophone"/>
    <x v="0"/>
  </r>
  <r>
    <n v="10881"/>
    <x v="6"/>
    <s v="morganny@gmail.com"/>
    <x v="3"/>
    <n v="170"/>
    <n v="250"/>
    <n v="704"/>
    <n v="176000"/>
    <n v="56320"/>
    <x v="0"/>
    <s v="Southeast"/>
    <s v="January"/>
    <n v="2019"/>
    <s v="Anglophone"/>
    <x v="0"/>
  </r>
  <r>
    <n v="10882"/>
    <x v="10"/>
    <s v="kivel_go@yahoo.com"/>
    <x v="4"/>
    <n v="150"/>
    <n v="200"/>
    <n v="823"/>
    <n v="164600"/>
    <n v="41150"/>
    <x v="1"/>
    <s v="west"/>
    <s v="February"/>
    <n v="2018"/>
    <s v="Anglophone"/>
    <x v="0"/>
  </r>
  <r>
    <n v="10883"/>
    <x v="2"/>
    <s v="sorvi2000@gmail.com"/>
    <x v="5"/>
    <n v="80"/>
    <n v="150"/>
    <n v="869"/>
    <n v="130350"/>
    <n v="60830"/>
    <x v="2"/>
    <s v="southsouth"/>
    <s v="March"/>
    <n v="2017"/>
    <s v="Francophone"/>
    <x v="1"/>
  </r>
  <r>
    <n v="10884"/>
    <x v="1"/>
    <s v="gillhell@uk.com"/>
    <x v="6"/>
    <n v="90"/>
    <n v="150"/>
    <n v="928"/>
    <n v="139200"/>
    <n v="55680"/>
    <x v="3"/>
    <s v="northwest"/>
    <s v="April"/>
    <n v="2019"/>
    <s v="Francophone"/>
    <x v="1"/>
  </r>
  <r>
    <n v="10885"/>
    <x v="2"/>
    <s v="sorvi2000@gmail.com"/>
    <x v="0"/>
    <n v="150"/>
    <n v="200"/>
    <n v="903"/>
    <n v="180600"/>
    <n v="45150"/>
    <x v="4"/>
    <s v="northeast"/>
    <s v="May"/>
    <n v="2019"/>
    <s v="Francophone"/>
    <x v="0"/>
  </r>
  <r>
    <n v="10886"/>
    <x v="5"/>
    <s v="thomp@uk.com"/>
    <x v="1"/>
    <n v="250"/>
    <n v="500"/>
    <n v="916"/>
    <n v="458000"/>
    <n v="229000"/>
    <x v="0"/>
    <s v="northcentral"/>
    <s v="June"/>
    <n v="2018"/>
    <s v="Anglophone"/>
    <x v="0"/>
  </r>
  <r>
    <n v="10887"/>
    <x v="4"/>
    <s v="andy@gmail.com"/>
    <x v="2"/>
    <n v="180"/>
    <n v="450"/>
    <n v="988"/>
    <n v="444600"/>
    <n v="266760"/>
    <x v="1"/>
    <s v="Southeast"/>
    <s v="July"/>
    <n v="2018"/>
    <s v="Anglophone"/>
    <x v="0"/>
  </r>
  <r>
    <n v="10888"/>
    <x v="0"/>
    <s v="jard@gmail.com"/>
    <x v="3"/>
    <n v="170"/>
    <n v="250"/>
    <n v="905"/>
    <n v="226250"/>
    <n v="72400"/>
    <x v="2"/>
    <s v="west"/>
    <s v="August"/>
    <n v="2017"/>
    <s v="Francophone"/>
    <x v="0"/>
  </r>
  <r>
    <n v="10889"/>
    <x v="0"/>
    <s v="jard@gmail.com"/>
    <x v="4"/>
    <n v="150"/>
    <n v="200"/>
    <n v="947"/>
    <n v="189400"/>
    <n v="47350"/>
    <x v="3"/>
    <s v="southsouth"/>
    <s v="September"/>
    <n v="2018"/>
    <s v="Francophone"/>
    <x v="0"/>
  </r>
  <r>
    <n v="10890"/>
    <x v="4"/>
    <s v="andy@gmail.com"/>
    <x v="5"/>
    <n v="80"/>
    <n v="150"/>
    <n v="926"/>
    <n v="138900"/>
    <n v="64820"/>
    <x v="4"/>
    <s v="northwest"/>
    <s v="October"/>
    <n v="2017"/>
    <s v="Francophone"/>
    <x v="1"/>
  </r>
  <r>
    <n v="10891"/>
    <x v="0"/>
    <s v="jard@gmail.com"/>
    <x v="6"/>
    <n v="90"/>
    <n v="150"/>
    <n v="907"/>
    <n v="136050"/>
    <n v="54420"/>
    <x v="0"/>
    <s v="northeast"/>
    <s v="November"/>
    <n v="2019"/>
    <s v="Anglophone"/>
    <x v="1"/>
  </r>
  <r>
    <n v="10892"/>
    <x v="1"/>
    <s v="gillhell@uk.com"/>
    <x v="0"/>
    <n v="150"/>
    <n v="200"/>
    <n v="848"/>
    <n v="169600"/>
    <n v="42400"/>
    <x v="1"/>
    <s v="northcentral"/>
    <s v="December"/>
    <n v="2019"/>
    <s v="Anglophone"/>
    <x v="0"/>
  </r>
  <r>
    <n v="10893"/>
    <x v="2"/>
    <s v="sorvi2000@gmail.com"/>
    <x v="1"/>
    <n v="250"/>
    <n v="500"/>
    <n v="878"/>
    <n v="439000"/>
    <n v="219500"/>
    <x v="2"/>
    <s v="Southeast"/>
    <s v="January"/>
    <n v="2017"/>
    <s v="Francophone"/>
    <x v="0"/>
  </r>
  <r>
    <n v="10894"/>
    <x v="3"/>
    <s v="jone.ai@yahoo.com"/>
    <x v="2"/>
    <n v="180"/>
    <n v="450"/>
    <n v="706"/>
    <n v="317700"/>
    <n v="190620"/>
    <x v="3"/>
    <s v="west"/>
    <s v="February"/>
    <n v="2018"/>
    <s v="Francophone"/>
    <x v="0"/>
  </r>
  <r>
    <n v="10895"/>
    <x v="4"/>
    <s v="andy@gmail.com"/>
    <x v="3"/>
    <n v="170"/>
    <n v="250"/>
    <n v="781"/>
    <n v="195250"/>
    <n v="62480"/>
    <x v="4"/>
    <s v="southsouth"/>
    <s v="March"/>
    <n v="2019"/>
    <s v="Francophone"/>
    <x v="0"/>
  </r>
  <r>
    <n v="10896"/>
    <x v="0"/>
    <s v="jard@gmail.com"/>
    <x v="4"/>
    <n v="150"/>
    <n v="200"/>
    <n v="818"/>
    <n v="163600"/>
    <n v="40900"/>
    <x v="0"/>
    <s v="northwest"/>
    <s v="April"/>
    <n v="2017"/>
    <s v="Anglophone"/>
    <x v="0"/>
  </r>
  <r>
    <n v="10897"/>
    <x v="5"/>
    <s v="thomp@uk.com"/>
    <x v="5"/>
    <n v="80"/>
    <n v="150"/>
    <n v="852"/>
    <n v="127800"/>
    <n v="59640"/>
    <x v="1"/>
    <s v="northeast"/>
    <s v="May"/>
    <n v="2017"/>
    <s v="Anglophone"/>
    <x v="1"/>
  </r>
  <r>
    <n v="10898"/>
    <x v="3"/>
    <s v="jone.ai@yahoo.com"/>
    <x v="6"/>
    <n v="90"/>
    <n v="150"/>
    <n v="786"/>
    <n v="117900"/>
    <n v="47160"/>
    <x v="2"/>
    <s v="northcentral"/>
    <s v="June"/>
    <n v="2019"/>
    <s v="Francophone"/>
    <x v="1"/>
  </r>
  <r>
    <n v="10899"/>
    <x v="6"/>
    <s v="morganny@gmail.com"/>
    <x v="0"/>
    <n v="150"/>
    <n v="200"/>
    <n v="1000"/>
    <n v="200000"/>
    <n v="50000"/>
    <x v="3"/>
    <s v="Southeast"/>
    <s v="July"/>
    <n v="2018"/>
    <s v="Francophone"/>
    <x v="0"/>
  </r>
  <r>
    <n v="10900"/>
    <x v="7"/>
    <s v="howard_freeman@yahoo.com"/>
    <x v="1"/>
    <n v="250"/>
    <n v="500"/>
    <n v="952"/>
    <n v="476000"/>
    <n v="238000"/>
    <x v="4"/>
    <s v="west"/>
    <s v="August"/>
    <n v="2017"/>
    <s v="Francophone"/>
    <x v="0"/>
  </r>
  <r>
    <n v="10901"/>
    <x v="8"/>
    <s v="parentty@uk.com"/>
    <x v="2"/>
    <n v="180"/>
    <n v="450"/>
    <n v="839"/>
    <n v="377550"/>
    <n v="226530"/>
    <x v="0"/>
    <s v="southsouth"/>
    <s v="September"/>
    <n v="2018"/>
    <s v="Anglophone"/>
    <x v="0"/>
  </r>
  <r>
    <n v="10902"/>
    <x v="3"/>
    <s v="jone.ai@yahoo.com"/>
    <x v="3"/>
    <n v="170"/>
    <n v="250"/>
    <n v="952"/>
    <n v="238000"/>
    <n v="76160"/>
    <x v="1"/>
    <s v="northwest"/>
    <s v="October"/>
    <n v="2017"/>
    <s v="Anglophone"/>
    <x v="0"/>
  </r>
  <r>
    <n v="10903"/>
    <x v="9"/>
    <s v="smithMan@yahoo.com"/>
    <x v="4"/>
    <n v="150"/>
    <n v="200"/>
    <n v="777"/>
    <n v="155400"/>
    <n v="38850"/>
    <x v="2"/>
    <s v="northeast"/>
    <s v="November"/>
    <n v="2017"/>
    <s v="Francophone"/>
    <x v="0"/>
  </r>
  <r>
    <n v="10904"/>
    <x v="3"/>
    <s v="jone.ai@yahoo.com"/>
    <x v="5"/>
    <n v="80"/>
    <n v="150"/>
    <n v="864"/>
    <n v="129600"/>
    <n v="60480"/>
    <x v="3"/>
    <s v="northcentral"/>
    <s v="December"/>
    <n v="2018"/>
    <s v="Francophone"/>
    <x v="1"/>
  </r>
  <r>
    <n v="10905"/>
    <x v="6"/>
    <s v="morganny@gmail.com"/>
    <x v="6"/>
    <n v="90"/>
    <n v="150"/>
    <n v="934"/>
    <n v="140100"/>
    <n v="56040"/>
    <x v="4"/>
    <s v="Southeast"/>
    <s v="January"/>
    <n v="2017"/>
    <s v="Francophone"/>
    <x v="1"/>
  </r>
  <r>
    <n v="10906"/>
    <x v="3"/>
    <s v="jone.ai@yahoo.com"/>
    <x v="0"/>
    <n v="150"/>
    <n v="200"/>
    <n v="902"/>
    <n v="180400"/>
    <n v="45100"/>
    <x v="0"/>
    <s v="west"/>
    <s v="February"/>
    <n v="2018"/>
    <s v="Anglophone"/>
    <x v="0"/>
  </r>
  <r>
    <n v="10907"/>
    <x v="8"/>
    <s v="parentty@uk.com"/>
    <x v="1"/>
    <n v="250"/>
    <n v="500"/>
    <n v="793"/>
    <n v="396500"/>
    <n v="198250"/>
    <x v="1"/>
    <s v="southsouth"/>
    <s v="March"/>
    <n v="2017"/>
    <s v="Anglophone"/>
    <x v="0"/>
  </r>
  <r>
    <n v="10908"/>
    <x v="10"/>
    <s v="kivel_go@yahoo.com"/>
    <x v="2"/>
    <n v="180"/>
    <n v="450"/>
    <n v="735"/>
    <n v="330750"/>
    <n v="198450"/>
    <x v="2"/>
    <s v="northwest"/>
    <s v="April"/>
    <n v="2019"/>
    <s v="Francophone"/>
    <x v="0"/>
  </r>
  <r>
    <n v="10909"/>
    <x v="9"/>
    <s v="smithMan@yahoo.com"/>
    <x v="3"/>
    <n v="170"/>
    <n v="250"/>
    <n v="890"/>
    <n v="222500"/>
    <n v="71200"/>
    <x v="3"/>
    <s v="northeast"/>
    <s v="May"/>
    <n v="2018"/>
    <s v="Francophone"/>
    <x v="0"/>
  </r>
  <r>
    <n v="10910"/>
    <x v="8"/>
    <s v="parentty@uk.com"/>
    <x v="4"/>
    <n v="150"/>
    <n v="200"/>
    <n v="969"/>
    <n v="193800"/>
    <n v="48450"/>
    <x v="4"/>
    <s v="northcentral"/>
    <s v="June"/>
    <n v="2018"/>
    <s v="Francophone"/>
    <x v="0"/>
  </r>
  <r>
    <n v="10911"/>
    <x v="1"/>
    <s v="gillhell@uk.com"/>
    <x v="5"/>
    <n v="80"/>
    <n v="150"/>
    <n v="978"/>
    <n v="146700"/>
    <n v="68460"/>
    <x v="0"/>
    <s v="Southeast"/>
    <s v="July"/>
    <n v="2019"/>
    <s v="Anglophone"/>
    <x v="1"/>
  </r>
  <r>
    <n v="10912"/>
    <x v="9"/>
    <s v="smithMan@yahoo.com"/>
    <x v="6"/>
    <n v="90"/>
    <n v="150"/>
    <n v="855"/>
    <n v="128250"/>
    <n v="51300"/>
    <x v="1"/>
    <s v="west"/>
    <s v="August"/>
    <n v="2017"/>
    <s v="Anglophone"/>
    <x v="1"/>
  </r>
  <r>
    <n v="10913"/>
    <x v="3"/>
    <s v="jone.ai@yahoo.com"/>
    <x v="0"/>
    <n v="150"/>
    <n v="200"/>
    <n v="835"/>
    <n v="167000"/>
    <n v="41750"/>
    <x v="2"/>
    <s v="southsouth"/>
    <s v="September"/>
    <n v="2017"/>
    <s v="Francophone"/>
    <x v="0"/>
  </r>
  <r>
    <n v="10914"/>
    <x v="2"/>
    <s v="sorvi2000@gmail.com"/>
    <x v="1"/>
    <n v="250"/>
    <n v="500"/>
    <n v="835"/>
    <n v="417500"/>
    <n v="208750"/>
    <x v="3"/>
    <s v="northwest"/>
    <s v="October"/>
    <n v="2019"/>
    <s v="Francophone"/>
    <x v="0"/>
  </r>
  <r>
    <n v="10915"/>
    <x v="0"/>
    <s v="jard@gmail.com"/>
    <x v="2"/>
    <n v="180"/>
    <n v="450"/>
    <n v="992"/>
    <n v="446400"/>
    <n v="267840"/>
    <x v="4"/>
    <s v="northeast"/>
    <s v="November"/>
    <n v="2018"/>
    <s v="Francophone"/>
    <x v="0"/>
  </r>
  <r>
    <n v="10916"/>
    <x v="4"/>
    <s v="andy@gmail.com"/>
    <x v="3"/>
    <n v="170"/>
    <n v="250"/>
    <n v="702"/>
    <n v="175500"/>
    <n v="56160"/>
    <x v="0"/>
    <s v="northcentral"/>
    <s v="December"/>
    <n v="2017"/>
    <s v="Anglophone"/>
    <x v="0"/>
  </r>
  <r>
    <n v="10917"/>
    <x v="7"/>
    <s v="howard_freeman@yahoo.com"/>
    <x v="4"/>
    <n v="150"/>
    <n v="200"/>
    <n v="925"/>
    <n v="185000"/>
    <n v="46250"/>
    <x v="1"/>
    <s v="Southeast"/>
    <s v="January"/>
    <n v="2019"/>
    <s v="Anglophone"/>
    <x v="0"/>
  </r>
  <r>
    <n v="10918"/>
    <x v="1"/>
    <s v="gillhell@uk.com"/>
    <x v="5"/>
    <n v="80"/>
    <n v="150"/>
    <n v="997"/>
    <n v="149550"/>
    <n v="69790"/>
    <x v="2"/>
    <s v="west"/>
    <s v="February"/>
    <n v="2017"/>
    <s v="Francophone"/>
    <x v="1"/>
  </r>
  <r>
    <n v="10919"/>
    <x v="1"/>
    <s v="gillhell@uk.com"/>
    <x v="6"/>
    <n v="90"/>
    <n v="150"/>
    <n v="796"/>
    <n v="119400"/>
    <n v="47760"/>
    <x v="3"/>
    <s v="southsouth"/>
    <s v="March"/>
    <n v="2019"/>
    <s v="Francophone"/>
    <x v="1"/>
  </r>
  <r>
    <n v="10920"/>
    <x v="10"/>
    <s v="kivel_go@yahoo.com"/>
    <x v="0"/>
    <n v="150"/>
    <n v="200"/>
    <n v="741"/>
    <n v="148200"/>
    <n v="37050"/>
    <x v="4"/>
    <s v="northwest"/>
    <s v="April"/>
    <n v="2019"/>
    <s v="Francophone"/>
    <x v="0"/>
  </r>
  <r>
    <n v="10921"/>
    <x v="3"/>
    <s v="jone.ai@yahoo.com"/>
    <x v="1"/>
    <n v="250"/>
    <n v="500"/>
    <n v="827"/>
    <n v="413500"/>
    <n v="206750"/>
    <x v="0"/>
    <s v="northeast"/>
    <s v="May"/>
    <n v="2018"/>
    <s v="Anglophone"/>
    <x v="0"/>
  </r>
  <r>
    <n v="10922"/>
    <x v="6"/>
    <s v="morganny@gmail.com"/>
    <x v="2"/>
    <n v="180"/>
    <n v="450"/>
    <n v="849"/>
    <n v="382050"/>
    <n v="229230"/>
    <x v="1"/>
    <s v="northcentral"/>
    <s v="June"/>
    <n v="2018"/>
    <s v="Anglophone"/>
    <x v="0"/>
  </r>
  <r>
    <n v="10923"/>
    <x v="10"/>
    <s v="kivel_go@yahoo.com"/>
    <x v="3"/>
    <n v="170"/>
    <n v="250"/>
    <n v="742"/>
    <n v="185500"/>
    <n v="59360"/>
    <x v="2"/>
    <s v="Southeast"/>
    <s v="July"/>
    <n v="2019"/>
    <s v="Francophone"/>
    <x v="0"/>
  </r>
  <r>
    <n v="10924"/>
    <x v="2"/>
    <s v="sorvi2000@gmail.com"/>
    <x v="4"/>
    <n v="150"/>
    <n v="200"/>
    <n v="965"/>
    <n v="193000"/>
    <n v="48250"/>
    <x v="3"/>
    <s v="west"/>
    <s v="August"/>
    <n v="2017"/>
    <s v="Francophone"/>
    <x v="0"/>
  </r>
  <r>
    <n v="10925"/>
    <x v="1"/>
    <s v="gillhell@uk.com"/>
    <x v="5"/>
    <n v="80"/>
    <n v="150"/>
    <n v="983"/>
    <n v="147450"/>
    <n v="68810"/>
    <x v="4"/>
    <s v="southsouth"/>
    <s v="September"/>
    <n v="2019"/>
    <s v="Francophone"/>
    <x v="1"/>
  </r>
  <r>
    <n v="10926"/>
    <x v="2"/>
    <s v="sorvi2000@gmail.com"/>
    <x v="6"/>
    <n v="90"/>
    <n v="150"/>
    <n v="820"/>
    <n v="123000"/>
    <n v="49200"/>
    <x v="0"/>
    <s v="northwest"/>
    <s v="October"/>
    <n v="2017"/>
    <s v="Anglophone"/>
    <x v="1"/>
  </r>
  <r>
    <n v="10927"/>
    <x v="5"/>
    <s v="thomp@uk.com"/>
    <x v="0"/>
    <n v="150"/>
    <n v="200"/>
    <n v="854"/>
    <n v="170800"/>
    <n v="42700"/>
    <x v="1"/>
    <s v="northeast"/>
    <s v="November"/>
    <n v="2018"/>
    <s v="Anglophone"/>
    <x v="0"/>
  </r>
  <r>
    <n v="10928"/>
    <x v="4"/>
    <s v="andy@gmail.com"/>
    <x v="1"/>
    <n v="250"/>
    <n v="500"/>
    <n v="768"/>
    <n v="384000"/>
    <n v="192000"/>
    <x v="2"/>
    <s v="northcentral"/>
    <s v="December"/>
    <n v="2019"/>
    <s v="Francophone"/>
    <x v="0"/>
  </r>
  <r>
    <n v="10929"/>
    <x v="0"/>
    <s v="jard@gmail.com"/>
    <x v="2"/>
    <n v="180"/>
    <n v="450"/>
    <n v="786"/>
    <n v="353700"/>
    <n v="212220"/>
    <x v="3"/>
    <s v="Southeast"/>
    <s v="January"/>
    <n v="2019"/>
    <s v="Francophone"/>
    <x v="0"/>
  </r>
  <r>
    <n v="10930"/>
    <x v="0"/>
    <s v="jard@gmail.com"/>
    <x v="3"/>
    <n v="170"/>
    <n v="250"/>
    <n v="856"/>
    <n v="214000"/>
    <n v="68480"/>
    <x v="4"/>
    <s v="west"/>
    <s v="February"/>
    <n v="2019"/>
    <s v="Francophone"/>
    <x v="0"/>
  </r>
  <r>
    <n v="10931"/>
    <x v="4"/>
    <s v="andy@gmail.com"/>
    <x v="4"/>
    <n v="150"/>
    <n v="200"/>
    <n v="919"/>
    <n v="183800"/>
    <n v="45950"/>
    <x v="0"/>
    <s v="southsouth"/>
    <s v="March"/>
    <n v="2018"/>
    <s v="Anglophone"/>
    <x v="0"/>
  </r>
  <r>
    <n v="10932"/>
    <x v="3"/>
    <s v="jone.ai@yahoo.com"/>
    <x v="5"/>
    <n v="80"/>
    <n v="150"/>
    <n v="802"/>
    <n v="120300"/>
    <n v="56140"/>
    <x v="1"/>
    <s v="northwest"/>
    <s v="April"/>
    <n v="2019"/>
    <s v="Anglophone"/>
    <x v="1"/>
  </r>
  <r>
    <n v="10933"/>
    <x v="6"/>
    <s v="morganny@gmail.com"/>
    <x v="6"/>
    <n v="90"/>
    <n v="150"/>
    <n v="864"/>
    <n v="129600"/>
    <n v="51840"/>
    <x v="2"/>
    <s v="northeast"/>
    <s v="May"/>
    <n v="2017"/>
    <s v="Francophone"/>
    <x v="1"/>
  </r>
  <r>
    <n v="10934"/>
    <x v="10"/>
    <s v="kivel_go@yahoo.com"/>
    <x v="0"/>
    <n v="150"/>
    <n v="200"/>
    <n v="993"/>
    <n v="198600"/>
    <n v="49650"/>
    <x v="3"/>
    <s v="northcentral"/>
    <s v="June"/>
    <n v="2018"/>
    <s v="Francophone"/>
    <x v="0"/>
  </r>
  <r>
    <n v="10935"/>
    <x v="2"/>
    <s v="sorvi2000@gmail.com"/>
    <x v="1"/>
    <n v="250"/>
    <n v="500"/>
    <n v="796"/>
    <n v="398000"/>
    <n v="199000"/>
    <x v="4"/>
    <s v="Southeast"/>
    <s v="July"/>
    <n v="2017"/>
    <s v="Francophone"/>
    <x v="0"/>
  </r>
  <r>
    <n v="10936"/>
    <x v="1"/>
    <s v="gillhell@uk.com"/>
    <x v="2"/>
    <n v="180"/>
    <n v="450"/>
    <n v="923"/>
    <n v="415350"/>
    <n v="249210"/>
    <x v="0"/>
    <s v="west"/>
    <s v="August"/>
    <n v="2019"/>
    <s v="Anglophone"/>
    <x v="0"/>
  </r>
  <r>
    <n v="10937"/>
    <x v="2"/>
    <s v="sorvi2000@gmail.com"/>
    <x v="3"/>
    <n v="170"/>
    <n v="250"/>
    <n v="990"/>
    <n v="247500"/>
    <n v="79200"/>
    <x v="1"/>
    <s v="southsouth"/>
    <s v="September"/>
    <n v="2018"/>
    <s v="Anglophone"/>
    <x v="0"/>
  </r>
  <r>
    <n v="10938"/>
    <x v="5"/>
    <s v="thomp@uk.com"/>
    <x v="4"/>
    <n v="150"/>
    <n v="200"/>
    <n v="957"/>
    <n v="191400"/>
    <n v="47850"/>
    <x v="2"/>
    <s v="northwest"/>
    <s v="October"/>
    <n v="2017"/>
    <s v="Francophone"/>
    <x v="0"/>
  </r>
  <r>
    <n v="10939"/>
    <x v="4"/>
    <s v="andy@gmail.com"/>
    <x v="5"/>
    <n v="80"/>
    <n v="150"/>
    <n v="836"/>
    <n v="125400"/>
    <n v="58520"/>
    <x v="3"/>
    <s v="northeast"/>
    <s v="November"/>
    <n v="2018"/>
    <s v="Francophone"/>
    <x v="1"/>
  </r>
  <r>
    <n v="10940"/>
    <x v="0"/>
    <s v="jard@gmail.com"/>
    <x v="6"/>
    <n v="90"/>
    <n v="150"/>
    <n v="936"/>
    <n v="140400"/>
    <n v="56160"/>
    <x v="4"/>
    <s v="northcentral"/>
    <s v="December"/>
    <n v="2019"/>
    <s v="Francophone"/>
    <x v="1"/>
  </r>
  <r>
    <n v="10941"/>
    <x v="0"/>
    <s v="jard@gmail.com"/>
    <x v="0"/>
    <n v="150"/>
    <n v="200"/>
    <n v="924"/>
    <n v="184800"/>
    <n v="46200"/>
    <x v="0"/>
    <s v="Southeast"/>
    <s v="January"/>
    <n v="2019"/>
    <s v="Anglophone"/>
    <x v="0"/>
  </r>
  <r>
    <n v="10942"/>
    <x v="4"/>
    <s v="andy@gmail.com"/>
    <x v="1"/>
    <n v="250"/>
    <n v="500"/>
    <n v="998"/>
    <n v="499000"/>
    <n v="249500"/>
    <x v="1"/>
    <s v="west"/>
    <s v="February"/>
    <n v="2017"/>
    <s v="Anglophone"/>
    <x v="0"/>
  </r>
  <r>
    <n v="10943"/>
    <x v="0"/>
    <s v="jard@gmail.com"/>
    <x v="2"/>
    <n v="180"/>
    <n v="450"/>
    <n v="862"/>
    <n v="387900"/>
    <n v="232740"/>
    <x v="2"/>
    <s v="southsouth"/>
    <s v="March"/>
    <n v="2018"/>
    <s v="Francophone"/>
    <x v="0"/>
  </r>
  <r>
    <n v="10944"/>
    <x v="1"/>
    <s v="gillhell@uk.com"/>
    <x v="3"/>
    <n v="170"/>
    <n v="250"/>
    <n v="963"/>
    <n v="240750"/>
    <n v="77040"/>
    <x v="3"/>
    <s v="northwest"/>
    <s v="April"/>
    <n v="2018"/>
    <s v="Francophone"/>
    <x v="0"/>
  </r>
  <r>
    <n v="10945"/>
    <x v="2"/>
    <s v="sorvi2000@gmail.com"/>
    <x v="4"/>
    <n v="150"/>
    <n v="200"/>
    <n v="849"/>
    <n v="169800"/>
    <n v="42450"/>
    <x v="4"/>
    <s v="northeast"/>
    <s v="May"/>
    <n v="2017"/>
    <s v="Francophone"/>
    <x v="0"/>
  </r>
  <r>
    <n v="10946"/>
    <x v="3"/>
    <s v="jone.ai@yahoo.com"/>
    <x v="5"/>
    <n v="80"/>
    <n v="150"/>
    <n v="938"/>
    <n v="140700"/>
    <n v="65660"/>
    <x v="0"/>
    <s v="northcentral"/>
    <s v="June"/>
    <n v="2017"/>
    <s v="Anglophone"/>
    <x v="1"/>
  </r>
  <r>
    <n v="10947"/>
    <x v="4"/>
    <s v="andy@gmail.com"/>
    <x v="6"/>
    <n v="90"/>
    <n v="150"/>
    <n v="918"/>
    <n v="137700"/>
    <n v="55080"/>
    <x v="1"/>
    <s v="Southeast"/>
    <s v="July"/>
    <n v="2018"/>
    <s v="Anglophone"/>
    <x v="1"/>
  </r>
  <r>
    <n v="10948"/>
    <x v="0"/>
    <s v="jard@gmail.com"/>
    <x v="0"/>
    <n v="150"/>
    <n v="200"/>
    <n v="728"/>
    <n v="145600"/>
    <n v="36400"/>
    <x v="2"/>
    <s v="west"/>
    <s v="August"/>
    <n v="2017"/>
    <s v="Francophone"/>
    <x v="0"/>
  </r>
  <r>
    <n v="10949"/>
    <x v="5"/>
    <s v="thomp@uk.com"/>
    <x v="1"/>
    <n v="250"/>
    <n v="500"/>
    <n v="999"/>
    <n v="499500"/>
    <n v="249750"/>
    <x v="3"/>
    <s v="southsouth"/>
    <s v="September"/>
    <n v="2019"/>
    <s v="Francophone"/>
    <x v="0"/>
  </r>
  <r>
    <n v="10950"/>
    <x v="3"/>
    <s v="jone.ai@yahoo.com"/>
    <x v="2"/>
    <n v="180"/>
    <n v="450"/>
    <n v="888"/>
    <n v="399600"/>
    <n v="239760"/>
    <x v="4"/>
    <s v="northwest"/>
    <s v="October"/>
    <n v="2018"/>
    <s v="Francophone"/>
    <x v="0"/>
  </r>
  <r>
    <n v="10951"/>
    <x v="6"/>
    <s v="morganny@gmail.com"/>
    <x v="3"/>
    <n v="170"/>
    <n v="250"/>
    <n v="746"/>
    <n v="186500"/>
    <n v="59680"/>
    <x v="0"/>
    <s v="northeast"/>
    <s v="November"/>
    <n v="2018"/>
    <s v="Anglophone"/>
    <x v="0"/>
  </r>
  <r>
    <n v="10952"/>
    <x v="7"/>
    <s v="howard_freeman@yahoo.com"/>
    <x v="4"/>
    <n v="150"/>
    <n v="200"/>
    <n v="989"/>
    <n v="197800"/>
    <n v="49450"/>
    <x v="1"/>
    <s v="northcentral"/>
    <s v="December"/>
    <n v="2017"/>
    <s v="Anglophone"/>
    <x v="0"/>
  </r>
  <r>
    <n v="10953"/>
    <x v="8"/>
    <s v="parentty@uk.com"/>
    <x v="5"/>
    <n v="80"/>
    <n v="150"/>
    <n v="948"/>
    <n v="142200"/>
    <n v="66360"/>
    <x v="2"/>
    <s v="Southeast"/>
    <s v="January"/>
    <n v="2019"/>
    <s v="Francophone"/>
    <x v="1"/>
  </r>
  <r>
    <n v="10954"/>
    <x v="3"/>
    <s v="jone.ai@yahoo.com"/>
    <x v="6"/>
    <n v="90"/>
    <n v="150"/>
    <n v="919"/>
    <n v="137850"/>
    <n v="55140"/>
    <x v="3"/>
    <s v="west"/>
    <s v="February"/>
    <n v="2019"/>
    <s v="Francophone"/>
    <x v="1"/>
  </r>
  <r>
    <n v="10955"/>
    <x v="9"/>
    <s v="smithMan@yahoo.com"/>
    <x v="0"/>
    <n v="150"/>
    <n v="200"/>
    <n v="887"/>
    <n v="177400"/>
    <n v="44350"/>
    <x v="4"/>
    <s v="southsouth"/>
    <s v="March"/>
    <n v="2017"/>
    <s v="Francophone"/>
    <x v="0"/>
  </r>
  <r>
    <n v="10956"/>
    <x v="3"/>
    <s v="jone.ai@yahoo.com"/>
    <x v="1"/>
    <n v="250"/>
    <n v="500"/>
    <n v="784"/>
    <n v="392000"/>
    <n v="196000"/>
    <x v="0"/>
    <s v="northwest"/>
    <s v="April"/>
    <n v="2019"/>
    <s v="Anglophone"/>
    <x v="0"/>
  </r>
  <r>
    <n v="10957"/>
    <x v="0"/>
    <s v="jard@gmail.com"/>
    <x v="2"/>
    <n v="180"/>
    <n v="450"/>
    <n v="795"/>
    <n v="357750"/>
    <n v="214650"/>
    <x v="1"/>
    <s v="northeast"/>
    <s v="May"/>
    <n v="2017"/>
    <s v="Anglophone"/>
    <x v="0"/>
  </r>
  <r>
    <n v="10958"/>
    <x v="1"/>
    <s v="gillhell@uk.com"/>
    <x v="3"/>
    <n v="170"/>
    <n v="250"/>
    <n v="948"/>
    <n v="237000"/>
    <n v="75840"/>
    <x v="2"/>
    <s v="northcentral"/>
    <s v="June"/>
    <n v="2019"/>
    <s v="Francophone"/>
    <x v="0"/>
  </r>
  <r>
    <n v="10959"/>
    <x v="2"/>
    <s v="sorvi2000@gmail.com"/>
    <x v="4"/>
    <n v="150"/>
    <n v="200"/>
    <n v="787"/>
    <n v="157400"/>
    <n v="39350"/>
    <x v="3"/>
    <s v="Southeast"/>
    <s v="July"/>
    <n v="2019"/>
    <s v="Francophone"/>
    <x v="0"/>
  </r>
  <r>
    <n v="10960"/>
    <x v="3"/>
    <s v="jone.ai@yahoo.com"/>
    <x v="5"/>
    <n v="80"/>
    <n v="150"/>
    <n v="977"/>
    <n v="146550"/>
    <n v="68390"/>
    <x v="4"/>
    <s v="west"/>
    <s v="August"/>
    <n v="2018"/>
    <s v="Francophone"/>
    <x v="1"/>
  </r>
  <r>
    <n v="10961"/>
    <x v="4"/>
    <s v="andy@gmail.com"/>
    <x v="6"/>
    <n v="90"/>
    <n v="150"/>
    <n v="955"/>
    <n v="143250"/>
    <n v="57300"/>
    <x v="0"/>
    <s v="southsouth"/>
    <s v="September"/>
    <n v="2017"/>
    <s v="Anglophone"/>
    <x v="1"/>
  </r>
  <r>
    <n v="10962"/>
    <x v="0"/>
    <s v="jard@gmail.com"/>
    <x v="0"/>
    <n v="150"/>
    <n v="200"/>
    <n v="955"/>
    <n v="191000"/>
    <n v="47750"/>
    <x v="1"/>
    <s v="northwest"/>
    <s v="October"/>
    <n v="2018"/>
    <s v="Anglophone"/>
    <x v="0"/>
  </r>
  <r>
    <n v="10963"/>
    <x v="5"/>
    <s v="thomp@uk.com"/>
    <x v="1"/>
    <n v="250"/>
    <n v="500"/>
    <n v="765"/>
    <n v="382500"/>
    <n v="191250"/>
    <x v="2"/>
    <s v="northeast"/>
    <s v="November"/>
    <n v="2017"/>
    <s v="Francophone"/>
    <x v="0"/>
  </r>
  <r>
    <n v="10964"/>
    <x v="3"/>
    <s v="jone.ai@yahoo.com"/>
    <x v="2"/>
    <n v="180"/>
    <n v="450"/>
    <n v="887"/>
    <n v="399150"/>
    <n v="239490"/>
    <x v="3"/>
    <s v="northcentral"/>
    <s v="December"/>
    <n v="2019"/>
    <s v="Francophone"/>
    <x v="0"/>
  </r>
  <r>
    <n v="10965"/>
    <x v="6"/>
    <s v="morganny@gmail.com"/>
    <x v="3"/>
    <n v="170"/>
    <n v="250"/>
    <n v="729"/>
    <n v="182250"/>
    <n v="58320"/>
    <x v="4"/>
    <s v="Southeast"/>
    <s v="January"/>
    <n v="2019"/>
    <s v="Francophone"/>
    <x v="0"/>
  </r>
  <r>
    <n v="10966"/>
    <x v="7"/>
    <s v="howard_freeman@yahoo.com"/>
    <x v="4"/>
    <n v="150"/>
    <n v="200"/>
    <n v="836"/>
    <n v="167200"/>
    <n v="41800"/>
    <x v="0"/>
    <s v="west"/>
    <s v="February"/>
    <n v="2019"/>
    <s v="Anglophone"/>
    <x v="0"/>
  </r>
  <r>
    <n v="10967"/>
    <x v="8"/>
    <s v="parentty@uk.com"/>
    <x v="5"/>
    <n v="80"/>
    <n v="150"/>
    <n v="797"/>
    <n v="119550"/>
    <n v="55790"/>
    <x v="1"/>
    <s v="southsouth"/>
    <s v="March"/>
    <n v="2018"/>
    <s v="Anglophone"/>
    <x v="1"/>
  </r>
  <r>
    <n v="10968"/>
    <x v="3"/>
    <s v="jone.ai@yahoo.com"/>
    <x v="6"/>
    <n v="90"/>
    <n v="150"/>
    <n v="791"/>
    <n v="118650"/>
    <n v="47460"/>
    <x v="2"/>
    <s v="northwest"/>
    <s v="April"/>
    <n v="2019"/>
    <s v="Francophone"/>
    <x v="1"/>
  </r>
  <r>
    <n v="10969"/>
    <x v="9"/>
    <s v="smithMan@yahoo.com"/>
    <x v="0"/>
    <n v="150"/>
    <n v="200"/>
    <n v="773"/>
    <n v="154600"/>
    <n v="38650"/>
    <x v="3"/>
    <s v="northeast"/>
    <s v="May"/>
    <n v="2018"/>
    <s v="Francophone"/>
    <x v="0"/>
  </r>
  <r>
    <n v="10970"/>
    <x v="3"/>
    <s v="jone.ai@yahoo.com"/>
    <x v="1"/>
    <n v="250"/>
    <n v="500"/>
    <n v="767"/>
    <n v="383500"/>
    <n v="191750"/>
    <x v="4"/>
    <s v="northcentral"/>
    <s v="June"/>
    <n v="2017"/>
    <s v="Francophone"/>
    <x v="0"/>
  </r>
  <r>
    <n v="10971"/>
    <x v="6"/>
    <s v="morganny@gmail.com"/>
    <x v="2"/>
    <n v="180"/>
    <n v="450"/>
    <n v="939"/>
    <n v="422550"/>
    <n v="253530"/>
    <x v="0"/>
    <s v="Southeast"/>
    <s v="July"/>
    <n v="2019"/>
    <s v="Anglophone"/>
    <x v="0"/>
  </r>
  <r>
    <n v="10972"/>
    <x v="3"/>
    <s v="jone.ai@yahoo.com"/>
    <x v="3"/>
    <n v="170"/>
    <n v="250"/>
    <n v="832"/>
    <n v="208000"/>
    <n v="66560"/>
    <x v="1"/>
    <s v="west"/>
    <s v="August"/>
    <n v="2018"/>
    <s v="Anglophone"/>
    <x v="0"/>
  </r>
  <r>
    <n v="10973"/>
    <x v="8"/>
    <s v="parentty@uk.com"/>
    <x v="4"/>
    <n v="150"/>
    <n v="200"/>
    <n v="768"/>
    <n v="153600"/>
    <n v="38400"/>
    <x v="2"/>
    <s v="southsouth"/>
    <s v="September"/>
    <n v="2018"/>
    <s v="Francophone"/>
    <x v="0"/>
  </r>
  <r>
    <n v="10974"/>
    <x v="10"/>
    <s v="kivel_go@yahoo.com"/>
    <x v="5"/>
    <n v="80"/>
    <n v="150"/>
    <n v="958"/>
    <n v="143700"/>
    <n v="67060"/>
    <x v="3"/>
    <s v="northwest"/>
    <s v="October"/>
    <n v="2017"/>
    <s v="Francophone"/>
    <x v="1"/>
  </r>
  <r>
    <n v="10975"/>
    <x v="9"/>
    <s v="smithMan@yahoo.com"/>
    <x v="6"/>
    <n v="90"/>
    <n v="150"/>
    <n v="958"/>
    <n v="143700"/>
    <n v="57480"/>
    <x v="4"/>
    <s v="northeast"/>
    <s v="November"/>
    <n v="2018"/>
    <s v="Francophone"/>
    <x v="1"/>
  </r>
  <r>
    <n v="10976"/>
    <x v="8"/>
    <s v="parentty@uk.com"/>
    <x v="0"/>
    <n v="150"/>
    <n v="200"/>
    <n v="927"/>
    <n v="185400"/>
    <n v="46350"/>
    <x v="0"/>
    <s v="northcentral"/>
    <s v="December"/>
    <n v="2019"/>
    <s v="Anglophone"/>
    <x v="0"/>
  </r>
  <r>
    <n v="10977"/>
    <x v="1"/>
    <s v="gillhell@uk.com"/>
    <x v="1"/>
    <n v="250"/>
    <n v="500"/>
    <n v="919"/>
    <n v="459500"/>
    <n v="229750"/>
    <x v="1"/>
    <s v="Southeast"/>
    <s v="January"/>
    <n v="2019"/>
    <s v="Anglophone"/>
    <x v="0"/>
  </r>
  <r>
    <n v="10978"/>
    <x v="9"/>
    <s v="smithMan@yahoo.com"/>
    <x v="2"/>
    <n v="180"/>
    <n v="450"/>
    <n v="830"/>
    <n v="373500"/>
    <n v="224100"/>
    <x v="2"/>
    <s v="west"/>
    <s v="February"/>
    <n v="2018"/>
    <s v="Francophone"/>
    <x v="0"/>
  </r>
  <r>
    <n v="10979"/>
    <x v="3"/>
    <s v="jone.ai@yahoo.com"/>
    <x v="3"/>
    <n v="170"/>
    <n v="250"/>
    <n v="874"/>
    <n v="218500"/>
    <n v="69920"/>
    <x v="3"/>
    <s v="southsouth"/>
    <s v="March"/>
    <n v="2018"/>
    <s v="Francophone"/>
    <x v="0"/>
  </r>
  <r>
    <n v="10980"/>
    <x v="2"/>
    <s v="sorvi2000@gmail.com"/>
    <x v="4"/>
    <n v="150"/>
    <n v="200"/>
    <n v="954"/>
    <n v="190800"/>
    <n v="47700"/>
    <x v="4"/>
    <s v="northwest"/>
    <s v="April"/>
    <n v="2017"/>
    <s v="Francophone"/>
    <x v="0"/>
  </r>
  <r>
    <n v="10981"/>
    <x v="0"/>
    <s v="jard@gmail.com"/>
    <x v="5"/>
    <n v="80"/>
    <n v="150"/>
    <n v="919"/>
    <n v="137850"/>
    <n v="64330"/>
    <x v="0"/>
    <s v="northeast"/>
    <s v="May"/>
    <n v="2017"/>
    <s v="Anglophone"/>
    <x v="1"/>
  </r>
  <r>
    <n v="10982"/>
    <x v="4"/>
    <s v="andy@gmail.com"/>
    <x v="6"/>
    <n v="90"/>
    <n v="150"/>
    <n v="796"/>
    <n v="119400"/>
    <n v="47760"/>
    <x v="1"/>
    <s v="northcentral"/>
    <s v="June"/>
    <n v="2017"/>
    <s v="Anglophone"/>
    <x v="1"/>
  </r>
  <r>
    <n v="10983"/>
    <x v="7"/>
    <s v="howard_freeman@yahoo.com"/>
    <x v="0"/>
    <n v="150"/>
    <n v="200"/>
    <n v="773"/>
    <n v="154600"/>
    <n v="38650"/>
    <x v="2"/>
    <s v="Southeast"/>
    <s v="July"/>
    <n v="2017"/>
    <s v="Francophone"/>
    <x v="0"/>
  </r>
  <r>
    <n v="10984"/>
    <x v="1"/>
    <s v="gillhell@uk.com"/>
    <x v="1"/>
    <n v="250"/>
    <n v="500"/>
    <n v="891"/>
    <n v="445500"/>
    <n v="222750"/>
    <x v="3"/>
    <s v="west"/>
    <s v="August"/>
    <n v="2018"/>
    <s v="Francophone"/>
    <x v="0"/>
  </r>
  <r>
    <n v="10985"/>
    <x v="1"/>
    <s v="gillhell@uk.com"/>
    <x v="2"/>
    <n v="180"/>
    <n v="450"/>
    <n v="778"/>
    <n v="350100"/>
    <n v="210060"/>
    <x v="4"/>
    <s v="southsouth"/>
    <s v="September"/>
    <n v="2017"/>
    <s v="Francophone"/>
    <x v="0"/>
  </r>
  <r>
    <n v="10986"/>
    <x v="10"/>
    <s v="kivel_go@yahoo.com"/>
    <x v="3"/>
    <n v="170"/>
    <n v="250"/>
    <n v="950"/>
    <n v="237500"/>
    <n v="76000"/>
    <x v="0"/>
    <s v="northwest"/>
    <s v="October"/>
    <n v="2018"/>
    <s v="Anglophone"/>
    <x v="0"/>
  </r>
  <r>
    <n v="10987"/>
    <x v="3"/>
    <s v="jone.ai@yahoo.com"/>
    <x v="4"/>
    <n v="150"/>
    <n v="200"/>
    <n v="840"/>
    <n v="168000"/>
    <n v="42000"/>
    <x v="1"/>
    <s v="northeast"/>
    <s v="November"/>
    <n v="2017"/>
    <s v="Anglophone"/>
    <x v="0"/>
  </r>
  <r>
    <n v="10988"/>
    <x v="6"/>
    <s v="morganny@gmail.com"/>
    <x v="5"/>
    <n v="80"/>
    <n v="150"/>
    <n v="821"/>
    <n v="123150"/>
    <n v="57470"/>
    <x v="2"/>
    <s v="northcentral"/>
    <s v="December"/>
    <n v="2017"/>
    <s v="Francophone"/>
    <x v="1"/>
  </r>
  <r>
    <n v="10989"/>
    <x v="10"/>
    <s v="kivel_go@yahoo.com"/>
    <x v="6"/>
    <n v="90"/>
    <n v="150"/>
    <n v="720"/>
    <n v="108000"/>
    <n v="43200"/>
    <x v="3"/>
    <s v="Southeast"/>
    <s v="January"/>
    <n v="2017"/>
    <s v="Francophone"/>
    <x v="1"/>
  </r>
  <r>
    <n v="10990"/>
    <x v="2"/>
    <s v="sorvi2000@gmail.com"/>
    <x v="0"/>
    <n v="150"/>
    <n v="200"/>
    <n v="706"/>
    <n v="141200"/>
    <n v="35300"/>
    <x v="4"/>
    <s v="west"/>
    <s v="February"/>
    <n v="2019"/>
    <s v="Francophone"/>
    <x v="0"/>
  </r>
  <r>
    <n v="10991"/>
    <x v="1"/>
    <s v="gillhell@uk.com"/>
    <x v="1"/>
    <n v="250"/>
    <n v="500"/>
    <n v="827"/>
    <n v="413500"/>
    <n v="206750"/>
    <x v="0"/>
    <s v="southsouth"/>
    <s v="March"/>
    <n v="2018"/>
    <s v="Anglophone"/>
    <x v="0"/>
  </r>
  <r>
    <n v="10992"/>
    <x v="2"/>
    <s v="sorvi2000@gmail.com"/>
    <x v="2"/>
    <n v="180"/>
    <n v="450"/>
    <n v="792"/>
    <n v="356400"/>
    <n v="213840"/>
    <x v="1"/>
    <s v="northwest"/>
    <s v="April"/>
    <n v="2017"/>
    <s v="Anglophone"/>
    <x v="0"/>
  </r>
  <r>
    <n v="10993"/>
    <x v="5"/>
    <s v="thomp@uk.com"/>
    <x v="3"/>
    <n v="170"/>
    <n v="250"/>
    <n v="885"/>
    <n v="221250"/>
    <n v="70800"/>
    <x v="2"/>
    <s v="northeast"/>
    <s v="May"/>
    <n v="2017"/>
    <s v="Francophone"/>
    <x v="0"/>
  </r>
  <r>
    <n v="10994"/>
    <x v="4"/>
    <s v="andy@gmail.com"/>
    <x v="4"/>
    <n v="150"/>
    <n v="200"/>
    <n v="973"/>
    <n v="194600"/>
    <n v="48650"/>
    <x v="3"/>
    <s v="northcentral"/>
    <s v="June"/>
    <n v="2019"/>
    <s v="Francophone"/>
    <x v="0"/>
  </r>
  <r>
    <n v="10995"/>
    <x v="0"/>
    <s v="jard@gmail.com"/>
    <x v="5"/>
    <n v="80"/>
    <n v="150"/>
    <n v="977"/>
    <n v="146550"/>
    <n v="68390"/>
    <x v="4"/>
    <s v="Southeast"/>
    <s v="July"/>
    <n v="2017"/>
    <s v="Francophone"/>
    <x v="1"/>
  </r>
  <r>
    <n v="10996"/>
    <x v="0"/>
    <s v="jard@gmail.com"/>
    <x v="6"/>
    <n v="90"/>
    <n v="150"/>
    <n v="873"/>
    <n v="130950"/>
    <n v="52380"/>
    <x v="0"/>
    <s v="west"/>
    <s v="August"/>
    <n v="2019"/>
    <s v="Anglophone"/>
    <x v="1"/>
  </r>
  <r>
    <n v="10997"/>
    <x v="4"/>
    <s v="andy@gmail.com"/>
    <x v="0"/>
    <n v="150"/>
    <n v="200"/>
    <n v="932"/>
    <n v="186400"/>
    <n v="46600"/>
    <x v="1"/>
    <s v="southsouth"/>
    <s v="September"/>
    <n v="2017"/>
    <s v="Anglophone"/>
    <x v="0"/>
  </r>
  <r>
    <n v="10998"/>
    <x v="0"/>
    <s v="jard@gmail.com"/>
    <x v="1"/>
    <n v="250"/>
    <n v="500"/>
    <n v="701"/>
    <n v="350500"/>
    <n v="175250"/>
    <x v="2"/>
    <s v="northwest"/>
    <s v="October"/>
    <n v="2018"/>
    <s v="Francophone"/>
    <x v="0"/>
  </r>
  <r>
    <n v="10999"/>
    <x v="1"/>
    <s v="gillhell@uk.com"/>
    <x v="2"/>
    <n v="180"/>
    <n v="450"/>
    <n v="977"/>
    <n v="439650"/>
    <n v="263790"/>
    <x v="3"/>
    <s v="northeast"/>
    <s v="November"/>
    <n v="2017"/>
    <s v="Francophone"/>
    <x v="0"/>
  </r>
  <r>
    <n v="11000"/>
    <x v="2"/>
    <s v="sorvi2000@gmail.com"/>
    <x v="3"/>
    <n v="170"/>
    <n v="250"/>
    <n v="977"/>
    <n v="244250"/>
    <n v="78160"/>
    <x v="4"/>
    <s v="northcentral"/>
    <s v="December"/>
    <n v="2017"/>
    <s v="Francophone"/>
    <x v="0"/>
  </r>
  <r>
    <n v="11001"/>
    <x v="3"/>
    <s v="jone.ai@yahoo.com"/>
    <x v="4"/>
    <n v="150"/>
    <n v="200"/>
    <n v="952"/>
    <n v="190400"/>
    <n v="47600"/>
    <x v="0"/>
    <s v="Southeast"/>
    <s v="January"/>
    <n v="2019"/>
    <s v="Anglophone"/>
    <x v="0"/>
  </r>
  <r>
    <n v="11002"/>
    <x v="4"/>
    <s v="andy@gmail.com"/>
    <x v="5"/>
    <n v="80"/>
    <n v="150"/>
    <n v="750"/>
    <n v="112500"/>
    <n v="52500"/>
    <x v="1"/>
    <s v="west"/>
    <s v="February"/>
    <n v="2018"/>
    <s v="Anglophone"/>
    <x v="1"/>
  </r>
  <r>
    <n v="11003"/>
    <x v="0"/>
    <s v="jard@gmail.com"/>
    <x v="6"/>
    <n v="90"/>
    <n v="150"/>
    <n v="961"/>
    <n v="144150"/>
    <n v="57660"/>
    <x v="2"/>
    <s v="southsouth"/>
    <s v="March"/>
    <n v="2017"/>
    <s v="Francophone"/>
    <x v="1"/>
  </r>
  <r>
    <n v="11004"/>
    <x v="5"/>
    <s v="thomp@uk.com"/>
    <x v="0"/>
    <n v="150"/>
    <n v="200"/>
    <n v="702"/>
    <n v="140400"/>
    <n v="35100"/>
    <x v="3"/>
    <s v="northwest"/>
    <s v="April"/>
    <n v="2018"/>
    <s v="Francophone"/>
    <x v="0"/>
  </r>
  <r>
    <n v="11005"/>
    <x v="3"/>
    <s v="jone.ai@yahoo.com"/>
    <x v="1"/>
    <n v="250"/>
    <n v="500"/>
    <n v="984"/>
    <n v="492000"/>
    <n v="246000"/>
    <x v="4"/>
    <s v="northeast"/>
    <s v="May"/>
    <n v="2017"/>
    <s v="Francophone"/>
    <x v="0"/>
  </r>
  <r>
    <n v="11006"/>
    <x v="6"/>
    <s v="morganny@gmail.com"/>
    <x v="2"/>
    <n v="180"/>
    <n v="450"/>
    <n v="861"/>
    <n v="387450"/>
    <n v="232470"/>
    <x v="0"/>
    <s v="northcentral"/>
    <s v="June"/>
    <n v="2017"/>
    <s v="Anglophone"/>
    <x v="0"/>
  </r>
  <r>
    <n v="11007"/>
    <x v="7"/>
    <s v="howard_freeman@yahoo.com"/>
    <x v="3"/>
    <n v="170"/>
    <n v="250"/>
    <n v="984"/>
    <n v="246000"/>
    <n v="78720"/>
    <x v="1"/>
    <s v="Southeast"/>
    <s v="July"/>
    <n v="2019"/>
    <s v="Anglophone"/>
    <x v="0"/>
  </r>
  <r>
    <n v="11008"/>
    <x v="8"/>
    <s v="parentty@uk.com"/>
    <x v="4"/>
    <n v="150"/>
    <n v="200"/>
    <n v="760"/>
    <n v="152000"/>
    <n v="38000"/>
    <x v="2"/>
    <s v="west"/>
    <s v="August"/>
    <n v="2018"/>
    <s v="Francophone"/>
    <x v="0"/>
  </r>
  <r>
    <n v="11009"/>
    <x v="3"/>
    <s v="jone.ai@yahoo.com"/>
    <x v="5"/>
    <n v="80"/>
    <n v="150"/>
    <n v="849"/>
    <n v="127350"/>
    <n v="59430"/>
    <x v="3"/>
    <s v="southsouth"/>
    <s v="September"/>
    <n v="2019"/>
    <s v="Francophone"/>
    <x v="1"/>
  </r>
  <r>
    <n v="11010"/>
    <x v="9"/>
    <s v="smithMan@yahoo.com"/>
    <x v="6"/>
    <n v="90"/>
    <n v="150"/>
    <n v="728"/>
    <n v="109200"/>
    <n v="43680"/>
    <x v="4"/>
    <s v="northwest"/>
    <s v="October"/>
    <n v="2017"/>
    <s v="Francophone"/>
    <x v="1"/>
  </r>
  <r>
    <n v="11011"/>
    <x v="3"/>
    <s v="jone.ai@yahoo.com"/>
    <x v="0"/>
    <n v="150"/>
    <n v="200"/>
    <n v="842"/>
    <n v="168400"/>
    <n v="42100"/>
    <x v="0"/>
    <s v="northeast"/>
    <s v="November"/>
    <n v="2019"/>
    <s v="Anglophone"/>
    <x v="0"/>
  </r>
  <r>
    <n v="11012"/>
    <x v="6"/>
    <s v="morganny@gmail.com"/>
    <x v="1"/>
    <n v="250"/>
    <n v="500"/>
    <n v="966"/>
    <n v="483000"/>
    <n v="241500"/>
    <x v="1"/>
    <s v="northcentral"/>
    <s v="December"/>
    <n v="2017"/>
    <s v="Anglophone"/>
    <x v="0"/>
  </r>
  <r>
    <n v="11013"/>
    <x v="3"/>
    <s v="jone.ai@yahoo.com"/>
    <x v="2"/>
    <n v="180"/>
    <n v="450"/>
    <n v="732"/>
    <n v="329400"/>
    <n v="197640"/>
    <x v="2"/>
    <s v="Southeast"/>
    <s v="January"/>
    <n v="2017"/>
    <s v="Francophone"/>
    <x v="0"/>
  </r>
  <r>
    <n v="11014"/>
    <x v="8"/>
    <s v="parentty@uk.com"/>
    <x v="3"/>
    <n v="170"/>
    <n v="250"/>
    <n v="996"/>
    <n v="249000"/>
    <n v="79680"/>
    <x v="3"/>
    <s v="west"/>
    <s v="February"/>
    <n v="2018"/>
    <s v="Francophone"/>
    <x v="0"/>
  </r>
  <r>
    <n v="11015"/>
    <x v="10"/>
    <s v="kivel_go@yahoo.com"/>
    <x v="4"/>
    <n v="150"/>
    <n v="200"/>
    <n v="770"/>
    <n v="154000"/>
    <n v="38500"/>
    <x v="4"/>
    <s v="southsouth"/>
    <s v="March"/>
    <n v="2019"/>
    <s v="Francophone"/>
    <x v="0"/>
  </r>
  <r>
    <n v="11016"/>
    <x v="9"/>
    <s v="smithMan@yahoo.com"/>
    <x v="5"/>
    <n v="80"/>
    <n v="150"/>
    <n v="785"/>
    <n v="117750"/>
    <n v="54950"/>
    <x v="0"/>
    <s v="northwest"/>
    <s v="April"/>
    <n v="2017"/>
    <s v="Anglophone"/>
    <x v="1"/>
  </r>
  <r>
    <n v="11017"/>
    <x v="8"/>
    <s v="parentty@uk.com"/>
    <x v="6"/>
    <n v="90"/>
    <n v="150"/>
    <n v="891"/>
    <n v="133650"/>
    <n v="53460"/>
    <x v="1"/>
    <s v="northeast"/>
    <s v="May"/>
    <n v="2017"/>
    <s v="Anglophone"/>
    <x v="1"/>
  </r>
  <r>
    <n v="11018"/>
    <x v="1"/>
    <s v="gillhell@uk.com"/>
    <x v="0"/>
    <n v="150"/>
    <n v="200"/>
    <n v="793"/>
    <n v="158600"/>
    <n v="39650"/>
    <x v="2"/>
    <s v="northcentral"/>
    <s v="June"/>
    <n v="2019"/>
    <s v="Francophone"/>
    <x v="0"/>
  </r>
  <r>
    <n v="11019"/>
    <x v="9"/>
    <s v="smithMan@yahoo.com"/>
    <x v="1"/>
    <n v="250"/>
    <n v="500"/>
    <n v="893"/>
    <n v="446500"/>
    <n v="223250"/>
    <x v="3"/>
    <s v="Southeast"/>
    <s v="July"/>
    <n v="2019"/>
    <s v="Francophone"/>
    <x v="0"/>
  </r>
  <r>
    <n v="11020"/>
    <x v="3"/>
    <s v="jone.ai@yahoo.com"/>
    <x v="2"/>
    <n v="180"/>
    <n v="450"/>
    <n v="880"/>
    <n v="396000"/>
    <n v="237600"/>
    <x v="4"/>
    <s v="west"/>
    <s v="August"/>
    <n v="2017"/>
    <s v="Francophone"/>
    <x v="0"/>
  </r>
  <r>
    <n v="11021"/>
    <x v="2"/>
    <s v="sorvi2000@gmail.com"/>
    <x v="3"/>
    <n v="170"/>
    <n v="250"/>
    <n v="921"/>
    <n v="230250"/>
    <n v="73680"/>
    <x v="0"/>
    <s v="southsouth"/>
    <s v="September"/>
    <n v="2017"/>
    <s v="Anglophone"/>
    <x v="0"/>
  </r>
  <r>
    <n v="11022"/>
    <x v="0"/>
    <s v="jard@gmail.com"/>
    <x v="4"/>
    <n v="150"/>
    <n v="200"/>
    <n v="851"/>
    <n v="170200"/>
    <n v="42550"/>
    <x v="1"/>
    <s v="northwest"/>
    <s v="October"/>
    <n v="2019"/>
    <s v="Anglophone"/>
    <x v="0"/>
  </r>
  <r>
    <n v="11023"/>
    <x v="4"/>
    <s v="andy@gmail.com"/>
    <x v="5"/>
    <n v="80"/>
    <n v="150"/>
    <n v="860"/>
    <n v="129000"/>
    <n v="60200"/>
    <x v="2"/>
    <s v="northeast"/>
    <s v="November"/>
    <n v="2018"/>
    <s v="Francophone"/>
    <x v="1"/>
  </r>
  <r>
    <n v="11024"/>
    <x v="7"/>
    <s v="howard_freeman@yahoo.com"/>
    <x v="6"/>
    <n v="90"/>
    <n v="150"/>
    <n v="818"/>
    <n v="122700"/>
    <n v="49080"/>
    <x v="3"/>
    <s v="northcentral"/>
    <s v="December"/>
    <n v="2018"/>
    <s v="Francophone"/>
    <x v="1"/>
  </r>
  <r>
    <n v="11025"/>
    <x v="1"/>
    <s v="gillhell@uk.com"/>
    <x v="0"/>
    <n v="150"/>
    <n v="200"/>
    <n v="906"/>
    <n v="181200"/>
    <n v="45300"/>
    <x v="4"/>
    <s v="Southeast"/>
    <s v="January"/>
    <n v="2017"/>
    <s v="Francophone"/>
    <x v="0"/>
  </r>
  <r>
    <n v="11026"/>
    <x v="1"/>
    <s v="gillhell@uk.com"/>
    <x v="1"/>
    <n v="250"/>
    <n v="500"/>
    <n v="810"/>
    <n v="405000"/>
    <n v="202500"/>
    <x v="0"/>
    <s v="west"/>
    <s v="February"/>
    <n v="2017"/>
    <s v="Anglophone"/>
    <x v="0"/>
  </r>
  <r>
    <n v="11027"/>
    <x v="10"/>
    <s v="kivel_go@yahoo.com"/>
    <x v="2"/>
    <n v="180"/>
    <n v="450"/>
    <n v="847"/>
    <n v="381150"/>
    <n v="228690"/>
    <x v="1"/>
    <s v="southsouth"/>
    <s v="March"/>
    <n v="2019"/>
    <s v="Anglophone"/>
    <x v="0"/>
  </r>
  <r>
    <n v="11028"/>
    <x v="3"/>
    <s v="jone.ai@yahoo.com"/>
    <x v="3"/>
    <n v="170"/>
    <n v="250"/>
    <n v="703"/>
    <n v="175750"/>
    <n v="56240"/>
    <x v="2"/>
    <s v="northwest"/>
    <s v="April"/>
    <n v="2017"/>
    <s v="Francophone"/>
    <x v="0"/>
  </r>
  <r>
    <n v="11029"/>
    <x v="6"/>
    <s v="morganny@gmail.com"/>
    <x v="4"/>
    <n v="150"/>
    <n v="200"/>
    <n v="716"/>
    <n v="143200"/>
    <n v="35800"/>
    <x v="3"/>
    <s v="northeast"/>
    <s v="May"/>
    <n v="2018"/>
    <s v="Francophone"/>
    <x v="0"/>
  </r>
  <r>
    <n v="11030"/>
    <x v="10"/>
    <s v="kivel_go@yahoo.com"/>
    <x v="5"/>
    <n v="80"/>
    <n v="150"/>
    <n v="895"/>
    <n v="134250"/>
    <n v="62650"/>
    <x v="4"/>
    <s v="northcentral"/>
    <s v="June"/>
    <n v="2019"/>
    <s v="Francophone"/>
    <x v="1"/>
  </r>
  <r>
    <n v="11031"/>
    <x v="2"/>
    <s v="sorvi2000@gmail.com"/>
    <x v="6"/>
    <n v="90"/>
    <n v="150"/>
    <n v="981"/>
    <n v="147150"/>
    <n v="58860"/>
    <x v="0"/>
    <s v="Southeast"/>
    <s v="July"/>
    <n v="2019"/>
    <s v="Anglophone"/>
    <x v="1"/>
  </r>
  <r>
    <n v="11032"/>
    <x v="1"/>
    <s v="gillhell@uk.com"/>
    <x v="0"/>
    <n v="150"/>
    <n v="200"/>
    <n v="799"/>
    <n v="159800"/>
    <n v="39950"/>
    <x v="1"/>
    <s v="west"/>
    <s v="August"/>
    <n v="2018"/>
    <s v="Anglophone"/>
    <x v="0"/>
  </r>
  <r>
    <n v="11033"/>
    <x v="2"/>
    <s v="sorvi2000@gmail.com"/>
    <x v="1"/>
    <n v="250"/>
    <n v="500"/>
    <n v="774"/>
    <n v="387000"/>
    <n v="193500"/>
    <x v="2"/>
    <s v="southsouth"/>
    <s v="September"/>
    <n v="2018"/>
    <s v="Francophone"/>
    <x v="0"/>
  </r>
  <r>
    <n v="11034"/>
    <x v="5"/>
    <s v="thomp@uk.com"/>
    <x v="2"/>
    <n v="180"/>
    <n v="450"/>
    <n v="861"/>
    <n v="387450"/>
    <n v="232470"/>
    <x v="3"/>
    <s v="northwest"/>
    <s v="October"/>
    <n v="2019"/>
    <s v="Francophone"/>
    <x v="0"/>
  </r>
  <r>
    <n v="11035"/>
    <x v="4"/>
    <s v="andy@gmail.com"/>
    <x v="3"/>
    <n v="170"/>
    <n v="250"/>
    <n v="928"/>
    <n v="232000"/>
    <n v="74240"/>
    <x v="4"/>
    <s v="northeast"/>
    <s v="November"/>
    <n v="2017"/>
    <s v="Francophone"/>
    <x v="0"/>
  </r>
  <r>
    <n v="11036"/>
    <x v="0"/>
    <s v="jard@gmail.com"/>
    <x v="4"/>
    <n v="150"/>
    <n v="200"/>
    <n v="706"/>
    <n v="141200"/>
    <n v="35300"/>
    <x v="0"/>
    <s v="northcentral"/>
    <s v="December"/>
    <n v="2019"/>
    <s v="Anglophone"/>
    <x v="0"/>
  </r>
  <r>
    <n v="11037"/>
    <x v="0"/>
    <s v="jard@gmail.com"/>
    <x v="5"/>
    <n v="80"/>
    <n v="150"/>
    <n v="761"/>
    <n v="114150"/>
    <n v="53270"/>
    <x v="1"/>
    <s v="Southeast"/>
    <s v="January"/>
    <n v="2019"/>
    <s v="Anglophone"/>
    <x v="1"/>
  </r>
  <r>
    <n v="11038"/>
    <x v="4"/>
    <s v="andy@gmail.com"/>
    <x v="6"/>
    <n v="90"/>
    <n v="150"/>
    <n v="849"/>
    <n v="127350"/>
    <n v="50940"/>
    <x v="2"/>
    <s v="west"/>
    <s v="February"/>
    <n v="2017"/>
    <s v="Francophone"/>
    <x v="1"/>
  </r>
  <r>
    <n v="11039"/>
    <x v="3"/>
    <s v="jone.ai@yahoo.com"/>
    <x v="0"/>
    <n v="150"/>
    <n v="200"/>
    <n v="914"/>
    <n v="182800"/>
    <n v="45700"/>
    <x v="3"/>
    <s v="southsouth"/>
    <s v="March"/>
    <n v="2019"/>
    <s v="Francophone"/>
    <x v="0"/>
  </r>
  <r>
    <n v="11040"/>
    <x v="6"/>
    <s v="morganny@gmail.com"/>
    <x v="1"/>
    <n v="250"/>
    <n v="500"/>
    <n v="942"/>
    <n v="471000"/>
    <n v="235500"/>
    <x v="4"/>
    <s v="northwest"/>
    <s v="April"/>
    <n v="2018"/>
    <s v="Francophone"/>
    <x v="0"/>
  </r>
  <r>
    <n v="11041"/>
    <x v="10"/>
    <s v="kivel_go@yahoo.com"/>
    <x v="2"/>
    <n v="180"/>
    <n v="450"/>
    <n v="930"/>
    <n v="418500"/>
    <n v="251100"/>
    <x v="0"/>
    <s v="northeast"/>
    <s v="May"/>
    <n v="2017"/>
    <s v="Anglophone"/>
    <x v="0"/>
  </r>
  <r>
    <n v="11042"/>
    <x v="2"/>
    <s v="sorvi2000@gmail.com"/>
    <x v="3"/>
    <n v="170"/>
    <n v="250"/>
    <n v="945"/>
    <n v="236250"/>
    <n v="75600"/>
    <x v="1"/>
    <s v="northcentral"/>
    <s v="June"/>
    <n v="2018"/>
    <s v="Anglophone"/>
    <x v="0"/>
  </r>
  <r>
    <n v="11043"/>
    <x v="1"/>
    <s v="gillhell@uk.com"/>
    <x v="4"/>
    <n v="150"/>
    <n v="200"/>
    <n v="775"/>
    <n v="155000"/>
    <n v="38750"/>
    <x v="2"/>
    <s v="Southeast"/>
    <s v="July"/>
    <n v="2017"/>
    <s v="Francophone"/>
    <x v="0"/>
  </r>
  <r>
    <n v="11044"/>
    <x v="2"/>
    <s v="sorvi2000@gmail.com"/>
    <x v="5"/>
    <n v="80"/>
    <n v="150"/>
    <n v="729"/>
    <n v="109350"/>
    <n v="51030"/>
    <x v="3"/>
    <s v="west"/>
    <s v="August"/>
    <n v="2017"/>
    <s v="Francophone"/>
    <x v="1"/>
  </r>
  <r>
    <n v="11045"/>
    <x v="5"/>
    <s v="thomp@uk.com"/>
    <x v="6"/>
    <n v="90"/>
    <n v="150"/>
    <n v="941"/>
    <n v="141150"/>
    <n v="56460"/>
    <x v="4"/>
    <s v="southsouth"/>
    <s v="September"/>
    <n v="2019"/>
    <s v="Francophone"/>
    <x v="1"/>
  </r>
  <r>
    <n v="11046"/>
    <x v="4"/>
    <s v="andy@gmail.com"/>
    <x v="0"/>
    <n v="150"/>
    <n v="200"/>
    <n v="735"/>
    <n v="147000"/>
    <n v="36750"/>
    <x v="0"/>
    <s v="northwest"/>
    <s v="October"/>
    <n v="2017"/>
    <s v="Anglophone"/>
    <x v="0"/>
  </r>
  <r>
    <n v="11047"/>
    <x v="0"/>
    <s v="jard@gmail.com"/>
    <x v="1"/>
    <n v="250"/>
    <n v="500"/>
    <n v="727"/>
    <n v="363500"/>
    <n v="181750"/>
    <x v="1"/>
    <s v="northeast"/>
    <s v="November"/>
    <n v="2018"/>
    <s v="Anglophone"/>
    <x v="0"/>
  </r>
  <r>
    <n v="11048"/>
    <x v="0"/>
    <s v="jard@gmail.com"/>
    <x v="2"/>
    <n v="180"/>
    <n v="450"/>
    <n v="859"/>
    <n v="386550"/>
    <n v="231930"/>
    <x v="2"/>
    <s v="northcentral"/>
    <s v="December"/>
    <n v="2018"/>
    <s v="Francophone"/>
    <x v="0"/>
  </r>
  <r>
    <n v="11049"/>
    <x v="4"/>
    <s v="andy@gmail.com"/>
    <x v="3"/>
    <n v="170"/>
    <n v="250"/>
    <n v="792"/>
    <n v="198000"/>
    <n v="63360"/>
    <x v="3"/>
    <s v="Southeast"/>
    <s v="January"/>
    <n v="2017"/>
    <s v="Francophone"/>
    <x v="0"/>
  </r>
  <r>
    <n v="11050"/>
    <x v="0"/>
    <s v="jard@gmail.com"/>
    <x v="4"/>
    <n v="150"/>
    <n v="200"/>
    <n v="874"/>
    <n v="174800"/>
    <n v="43700"/>
    <x v="4"/>
    <s v="west"/>
    <s v="February"/>
    <n v="2017"/>
    <s v="Francophone"/>
    <x v="0"/>
  </r>
  <r>
    <n v="11051"/>
    <x v="1"/>
    <s v="gillhell@uk.com"/>
    <x v="5"/>
    <n v="80"/>
    <n v="150"/>
    <n v="792"/>
    <n v="118800"/>
    <n v="55440"/>
    <x v="0"/>
    <s v="southsouth"/>
    <s v="March"/>
    <n v="2019"/>
    <s v="Anglophone"/>
    <x v="1"/>
  </r>
  <r>
    <n v="11052"/>
    <x v="2"/>
    <s v="sorvi2000@gmail.com"/>
    <x v="6"/>
    <n v="90"/>
    <n v="150"/>
    <n v="822"/>
    <n v="123300"/>
    <n v="49320"/>
    <x v="1"/>
    <s v="northwest"/>
    <s v="April"/>
    <n v="2018"/>
    <s v="Anglophone"/>
    <x v="1"/>
  </r>
  <r>
    <n v="11053"/>
    <x v="3"/>
    <s v="jone.ai@yahoo.com"/>
    <x v="0"/>
    <n v="150"/>
    <n v="200"/>
    <n v="912"/>
    <n v="182400"/>
    <n v="45600"/>
    <x v="2"/>
    <s v="northeast"/>
    <s v="May"/>
    <n v="2017"/>
    <s v="Francophone"/>
    <x v="0"/>
  </r>
  <r>
    <n v="11054"/>
    <x v="4"/>
    <s v="andy@gmail.com"/>
    <x v="1"/>
    <n v="250"/>
    <n v="500"/>
    <n v="759"/>
    <n v="379500"/>
    <n v="189750"/>
    <x v="3"/>
    <s v="northcentral"/>
    <s v="June"/>
    <n v="2017"/>
    <s v="Francophone"/>
    <x v="0"/>
  </r>
  <r>
    <n v="11055"/>
    <x v="0"/>
    <s v="jard@gmail.com"/>
    <x v="2"/>
    <n v="180"/>
    <n v="450"/>
    <n v="858"/>
    <n v="386100"/>
    <n v="231660"/>
    <x v="4"/>
    <s v="Southeast"/>
    <s v="July"/>
    <n v="2017"/>
    <s v="Francophone"/>
    <x v="0"/>
  </r>
  <r>
    <n v="11056"/>
    <x v="5"/>
    <s v="thomp@uk.com"/>
    <x v="3"/>
    <n v="170"/>
    <n v="250"/>
    <n v="921"/>
    <n v="230250"/>
    <n v="73680"/>
    <x v="0"/>
    <s v="west"/>
    <s v="August"/>
    <n v="2018"/>
    <s v="Anglophone"/>
    <x v="0"/>
  </r>
  <r>
    <n v="11057"/>
    <x v="3"/>
    <s v="jone.ai@yahoo.com"/>
    <x v="4"/>
    <n v="150"/>
    <n v="200"/>
    <n v="871"/>
    <n v="174200"/>
    <n v="43550"/>
    <x v="1"/>
    <s v="southsouth"/>
    <s v="September"/>
    <n v="2019"/>
    <s v="Anglophone"/>
    <x v="0"/>
  </r>
  <r>
    <n v="11058"/>
    <x v="6"/>
    <s v="morganny@gmail.com"/>
    <x v="5"/>
    <n v="80"/>
    <n v="150"/>
    <n v="836"/>
    <n v="125400"/>
    <n v="58520"/>
    <x v="2"/>
    <s v="northwest"/>
    <s v="October"/>
    <n v="2018"/>
    <s v="Francophone"/>
    <x v="1"/>
  </r>
  <r>
    <n v="11059"/>
    <x v="7"/>
    <s v="howard_freeman@yahoo.com"/>
    <x v="6"/>
    <n v="90"/>
    <n v="150"/>
    <n v="861"/>
    <n v="129150"/>
    <n v="51660"/>
    <x v="3"/>
    <s v="northeast"/>
    <s v="November"/>
    <n v="2019"/>
    <s v="Francophone"/>
    <x v="1"/>
  </r>
  <r>
    <n v="11060"/>
    <x v="8"/>
    <s v="parentty@uk.com"/>
    <x v="0"/>
    <n v="150"/>
    <n v="200"/>
    <n v="711"/>
    <n v="142200"/>
    <n v="35550"/>
    <x v="4"/>
    <s v="northcentral"/>
    <s v="December"/>
    <n v="2019"/>
    <s v="Francophone"/>
    <x v="0"/>
  </r>
  <r>
    <n v="11061"/>
    <x v="3"/>
    <s v="jone.ai@yahoo.com"/>
    <x v="1"/>
    <n v="250"/>
    <n v="500"/>
    <n v="834"/>
    <n v="417000"/>
    <n v="208500"/>
    <x v="0"/>
    <s v="Southeast"/>
    <s v="January"/>
    <n v="2019"/>
    <s v="Anglophone"/>
    <x v="0"/>
  </r>
  <r>
    <n v="11062"/>
    <x v="9"/>
    <s v="smithMan@yahoo.com"/>
    <x v="2"/>
    <n v="180"/>
    <n v="450"/>
    <n v="979"/>
    <n v="440550"/>
    <n v="264330"/>
    <x v="1"/>
    <s v="west"/>
    <s v="February"/>
    <n v="2018"/>
    <s v="Anglophone"/>
    <x v="0"/>
  </r>
  <r>
    <n v="11063"/>
    <x v="3"/>
    <s v="jone.ai@yahoo.com"/>
    <x v="3"/>
    <n v="170"/>
    <n v="250"/>
    <n v="858"/>
    <n v="214500"/>
    <n v="68640"/>
    <x v="2"/>
    <s v="southsouth"/>
    <s v="March"/>
    <n v="2019"/>
    <s v="Francophone"/>
    <x v="0"/>
  </r>
  <r>
    <n v="11064"/>
    <x v="0"/>
    <s v="jard@gmail.com"/>
    <x v="4"/>
    <n v="150"/>
    <n v="200"/>
    <n v="737"/>
    <n v="147400"/>
    <n v="36850"/>
    <x v="3"/>
    <s v="northwest"/>
    <s v="April"/>
    <n v="2017"/>
    <s v="Francophone"/>
    <x v="0"/>
  </r>
  <r>
    <n v="11065"/>
    <x v="1"/>
    <s v="gillhell@uk.com"/>
    <x v="5"/>
    <n v="80"/>
    <n v="150"/>
    <n v="800"/>
    <n v="120000"/>
    <n v="56000"/>
    <x v="4"/>
    <s v="northeast"/>
    <s v="May"/>
    <n v="2018"/>
    <s v="Francophone"/>
    <x v="1"/>
  </r>
  <r>
    <n v="11066"/>
    <x v="2"/>
    <s v="sorvi2000@gmail.com"/>
    <x v="6"/>
    <n v="90"/>
    <n v="150"/>
    <n v="892"/>
    <n v="133800"/>
    <n v="53520"/>
    <x v="0"/>
    <s v="northcentral"/>
    <s v="June"/>
    <n v="2018"/>
    <s v="Anglophone"/>
    <x v="1"/>
  </r>
  <r>
    <n v="11067"/>
    <x v="3"/>
    <s v="jone.ai@yahoo.com"/>
    <x v="0"/>
    <n v="150"/>
    <n v="200"/>
    <n v="758"/>
    <n v="151600"/>
    <n v="37900"/>
    <x v="1"/>
    <s v="Southeast"/>
    <s v="July"/>
    <n v="2018"/>
    <s v="Anglophone"/>
    <x v="0"/>
  </r>
  <r>
    <n v="11068"/>
    <x v="4"/>
    <s v="andy@gmail.com"/>
    <x v="1"/>
    <n v="250"/>
    <n v="500"/>
    <n v="725"/>
    <n v="362500"/>
    <n v="181250"/>
    <x v="2"/>
    <s v="west"/>
    <s v="August"/>
    <n v="2017"/>
    <s v="Francophone"/>
    <x v="0"/>
  </r>
  <r>
    <n v="11069"/>
    <x v="0"/>
    <s v="jard@gmail.com"/>
    <x v="2"/>
    <n v="180"/>
    <n v="450"/>
    <n v="939"/>
    <n v="422550"/>
    <n v="253530"/>
    <x v="3"/>
    <s v="southsouth"/>
    <s v="September"/>
    <n v="2018"/>
    <s v="Francophone"/>
    <x v="0"/>
  </r>
  <r>
    <n v="11070"/>
    <x v="5"/>
    <s v="thomp@uk.com"/>
    <x v="3"/>
    <n v="170"/>
    <n v="250"/>
    <n v="851"/>
    <n v="212750"/>
    <n v="68080"/>
    <x v="4"/>
    <s v="northwest"/>
    <s v="October"/>
    <n v="2017"/>
    <s v="Francophone"/>
    <x v="0"/>
  </r>
  <r>
    <n v="11071"/>
    <x v="3"/>
    <s v="jone.ai@yahoo.com"/>
    <x v="4"/>
    <n v="150"/>
    <n v="200"/>
    <n v="814"/>
    <n v="162800"/>
    <n v="40700"/>
    <x v="0"/>
    <s v="northeast"/>
    <s v="November"/>
    <n v="2018"/>
    <s v="Anglophone"/>
    <x v="0"/>
  </r>
  <r>
    <n v="11072"/>
    <x v="6"/>
    <s v="morganny@gmail.com"/>
    <x v="5"/>
    <n v="80"/>
    <n v="150"/>
    <n v="832"/>
    <n v="124800"/>
    <n v="58240"/>
    <x v="1"/>
    <s v="northcentral"/>
    <s v="December"/>
    <n v="2018"/>
    <s v="Anglophone"/>
    <x v="1"/>
  </r>
  <r>
    <n v="11073"/>
    <x v="7"/>
    <s v="howard_freeman@yahoo.com"/>
    <x v="6"/>
    <n v="90"/>
    <n v="150"/>
    <n v="927"/>
    <n v="139050"/>
    <n v="55620"/>
    <x v="2"/>
    <s v="Southeast"/>
    <s v="January"/>
    <n v="2017"/>
    <s v="Francophone"/>
    <x v="1"/>
  </r>
  <r>
    <n v="11074"/>
    <x v="8"/>
    <s v="parentty@uk.com"/>
    <x v="0"/>
    <n v="150"/>
    <n v="200"/>
    <n v="825"/>
    <n v="165000"/>
    <n v="41250"/>
    <x v="3"/>
    <s v="west"/>
    <s v="February"/>
    <n v="2018"/>
    <s v="Francophone"/>
    <x v="0"/>
  </r>
  <r>
    <n v="11075"/>
    <x v="3"/>
    <s v="jone.ai@yahoo.com"/>
    <x v="1"/>
    <n v="250"/>
    <n v="500"/>
    <n v="934"/>
    <n v="467000"/>
    <n v="233500"/>
    <x v="4"/>
    <s v="southsouth"/>
    <s v="March"/>
    <n v="2018"/>
    <s v="Francophone"/>
    <x v="0"/>
  </r>
  <r>
    <n v="11076"/>
    <x v="9"/>
    <s v="smithMan@yahoo.com"/>
    <x v="2"/>
    <n v="180"/>
    <n v="450"/>
    <n v="779"/>
    <n v="350550"/>
    <n v="210330"/>
    <x v="0"/>
    <s v="northwest"/>
    <s v="April"/>
    <n v="2019"/>
    <s v="Anglophone"/>
    <x v="0"/>
  </r>
  <r>
    <n v="11077"/>
    <x v="3"/>
    <s v="jone.ai@yahoo.com"/>
    <x v="3"/>
    <n v="170"/>
    <n v="250"/>
    <n v="706"/>
    <n v="176500"/>
    <n v="56480"/>
    <x v="1"/>
    <s v="northeast"/>
    <s v="May"/>
    <n v="2019"/>
    <s v="Anglophone"/>
    <x v="0"/>
  </r>
  <r>
    <n v="11078"/>
    <x v="6"/>
    <s v="morganny@gmail.com"/>
    <x v="4"/>
    <n v="150"/>
    <n v="200"/>
    <n v="743"/>
    <n v="148600"/>
    <n v="37150"/>
    <x v="2"/>
    <s v="northcentral"/>
    <s v="June"/>
    <n v="2017"/>
    <s v="Francophone"/>
    <x v="0"/>
  </r>
  <r>
    <n v="11079"/>
    <x v="3"/>
    <s v="jone.ai@yahoo.com"/>
    <x v="5"/>
    <n v="80"/>
    <n v="150"/>
    <n v="919"/>
    <n v="137850"/>
    <n v="64330"/>
    <x v="3"/>
    <s v="Southeast"/>
    <s v="July"/>
    <n v="2017"/>
    <s v="Francophone"/>
    <x v="1"/>
  </r>
  <r>
    <n v="11080"/>
    <x v="8"/>
    <s v="parentty@uk.com"/>
    <x v="6"/>
    <n v="90"/>
    <n v="150"/>
    <n v="991"/>
    <n v="148650"/>
    <n v="59460"/>
    <x v="4"/>
    <s v="west"/>
    <s v="August"/>
    <n v="2019"/>
    <s v="Francophone"/>
    <x v="1"/>
  </r>
  <r>
    <n v="11081"/>
    <x v="10"/>
    <s v="kivel_go@yahoo.com"/>
    <x v="0"/>
    <n v="150"/>
    <n v="200"/>
    <n v="836"/>
    <n v="167200"/>
    <n v="41800"/>
    <x v="0"/>
    <s v="southsouth"/>
    <s v="September"/>
    <n v="2018"/>
    <s v="Anglophone"/>
    <x v="0"/>
  </r>
  <r>
    <n v="11082"/>
    <x v="9"/>
    <s v="smithMan@yahoo.com"/>
    <x v="1"/>
    <n v="250"/>
    <n v="500"/>
    <n v="793"/>
    <n v="396500"/>
    <n v="198250"/>
    <x v="1"/>
    <s v="northwest"/>
    <s v="October"/>
    <n v="2017"/>
    <s v="Anglophone"/>
    <x v="0"/>
  </r>
  <r>
    <n v="11083"/>
    <x v="8"/>
    <s v="parentty@uk.com"/>
    <x v="2"/>
    <n v="180"/>
    <n v="450"/>
    <n v="831"/>
    <n v="373950"/>
    <n v="224370"/>
    <x v="2"/>
    <s v="northeast"/>
    <s v="November"/>
    <n v="2019"/>
    <s v="Francophone"/>
    <x v="0"/>
  </r>
  <r>
    <n v="11084"/>
    <x v="1"/>
    <s v="gillhell@uk.com"/>
    <x v="3"/>
    <n v="170"/>
    <n v="250"/>
    <n v="847"/>
    <n v="211750"/>
    <n v="67760"/>
    <x v="3"/>
    <s v="northcentral"/>
    <s v="December"/>
    <n v="2017"/>
    <s v="Francophone"/>
    <x v="0"/>
  </r>
  <r>
    <n v="11085"/>
    <x v="9"/>
    <s v="smithMan@yahoo.com"/>
    <x v="4"/>
    <n v="150"/>
    <n v="200"/>
    <n v="993"/>
    <n v="198600"/>
    <n v="49650"/>
    <x v="4"/>
    <s v="Southeast"/>
    <s v="January"/>
    <n v="2017"/>
    <s v="Francophone"/>
    <x v="0"/>
  </r>
  <r>
    <n v="11086"/>
    <x v="3"/>
    <s v="jone.ai@yahoo.com"/>
    <x v="5"/>
    <n v="80"/>
    <n v="150"/>
    <n v="904"/>
    <n v="135600"/>
    <n v="63280"/>
    <x v="0"/>
    <s v="west"/>
    <s v="February"/>
    <n v="2019"/>
    <s v="Anglophone"/>
    <x v="1"/>
  </r>
  <r>
    <n v="11087"/>
    <x v="2"/>
    <s v="sorvi2000@gmail.com"/>
    <x v="6"/>
    <n v="90"/>
    <n v="150"/>
    <n v="832"/>
    <n v="124800"/>
    <n v="49920"/>
    <x v="1"/>
    <s v="southsouth"/>
    <s v="March"/>
    <n v="2018"/>
    <s v="Anglophone"/>
    <x v="1"/>
  </r>
  <r>
    <n v="11088"/>
    <x v="0"/>
    <s v="jard@gmail.com"/>
    <x v="0"/>
    <n v="150"/>
    <n v="200"/>
    <n v="763"/>
    <n v="152600"/>
    <n v="38150"/>
    <x v="2"/>
    <s v="northwest"/>
    <s v="April"/>
    <n v="2017"/>
    <s v="Francophone"/>
    <x v="0"/>
  </r>
  <r>
    <n v="11089"/>
    <x v="4"/>
    <s v="andy@gmail.com"/>
    <x v="1"/>
    <n v="250"/>
    <n v="500"/>
    <n v="912"/>
    <n v="456000"/>
    <n v="228000"/>
    <x v="3"/>
    <s v="northeast"/>
    <s v="May"/>
    <n v="2019"/>
    <s v="Francophone"/>
    <x v="0"/>
  </r>
  <r>
    <n v="11090"/>
    <x v="7"/>
    <s v="howard_freeman@yahoo.com"/>
    <x v="2"/>
    <n v="180"/>
    <n v="450"/>
    <n v="834"/>
    <n v="375300"/>
    <n v="225180"/>
    <x v="4"/>
    <s v="northcentral"/>
    <s v="June"/>
    <n v="2018"/>
    <s v="Francophone"/>
    <x v="0"/>
  </r>
  <r>
    <n v="11091"/>
    <x v="1"/>
    <s v="gillhell@uk.com"/>
    <x v="3"/>
    <n v="170"/>
    <n v="250"/>
    <n v="914"/>
    <n v="228500"/>
    <n v="73120"/>
    <x v="0"/>
    <s v="Southeast"/>
    <s v="July"/>
    <n v="2019"/>
    <s v="Anglophone"/>
    <x v="0"/>
  </r>
  <r>
    <n v="11092"/>
    <x v="1"/>
    <s v="gillhell@uk.com"/>
    <x v="4"/>
    <n v="150"/>
    <n v="200"/>
    <n v="863"/>
    <n v="172600"/>
    <n v="43150"/>
    <x v="1"/>
    <s v="west"/>
    <s v="August"/>
    <n v="2019"/>
    <s v="Anglophone"/>
    <x v="0"/>
  </r>
  <r>
    <n v="11093"/>
    <x v="10"/>
    <s v="kivel_go@yahoo.com"/>
    <x v="5"/>
    <n v="80"/>
    <n v="150"/>
    <n v="835"/>
    <n v="125250"/>
    <n v="58450"/>
    <x v="2"/>
    <s v="southsouth"/>
    <s v="September"/>
    <n v="2017"/>
    <s v="Francophone"/>
    <x v="1"/>
  </r>
  <r>
    <n v="11094"/>
    <x v="3"/>
    <s v="jone.ai@yahoo.com"/>
    <x v="6"/>
    <n v="90"/>
    <n v="150"/>
    <n v="859"/>
    <n v="128850"/>
    <n v="51540"/>
    <x v="3"/>
    <s v="northwest"/>
    <s v="October"/>
    <n v="2019"/>
    <s v="Francophone"/>
    <x v="1"/>
  </r>
  <r>
    <n v="11095"/>
    <x v="6"/>
    <s v="morganny@gmail.com"/>
    <x v="0"/>
    <n v="150"/>
    <n v="200"/>
    <n v="995"/>
    <n v="199000"/>
    <n v="49750"/>
    <x v="4"/>
    <s v="northeast"/>
    <s v="November"/>
    <n v="2017"/>
    <s v="Francophone"/>
    <x v="0"/>
  </r>
  <r>
    <n v="11096"/>
    <x v="10"/>
    <s v="kivel_go@yahoo.com"/>
    <x v="1"/>
    <n v="250"/>
    <n v="500"/>
    <n v="995"/>
    <n v="497500"/>
    <n v="248750"/>
    <x v="0"/>
    <s v="northcentral"/>
    <s v="December"/>
    <n v="2018"/>
    <s v="Anglophone"/>
    <x v="0"/>
  </r>
  <r>
    <n v="11097"/>
    <x v="2"/>
    <s v="sorvi2000@gmail.com"/>
    <x v="2"/>
    <n v="180"/>
    <n v="450"/>
    <n v="736"/>
    <n v="331200"/>
    <n v="198720"/>
    <x v="1"/>
    <s v="Southeast"/>
    <s v="January"/>
    <n v="2019"/>
    <s v="Anglophone"/>
    <x v="0"/>
  </r>
  <r>
    <n v="11098"/>
    <x v="1"/>
    <s v="gillhell@uk.com"/>
    <x v="3"/>
    <n v="170"/>
    <n v="250"/>
    <n v="857"/>
    <n v="214250"/>
    <n v="68560"/>
    <x v="2"/>
    <s v="west"/>
    <s v="February"/>
    <n v="2018"/>
    <s v="Francophone"/>
    <x v="0"/>
  </r>
  <r>
    <n v="11099"/>
    <x v="2"/>
    <s v="sorvi2000@gmail.com"/>
    <x v="4"/>
    <n v="150"/>
    <n v="200"/>
    <n v="938"/>
    <n v="187600"/>
    <n v="46900"/>
    <x v="3"/>
    <s v="southsouth"/>
    <s v="March"/>
    <n v="2018"/>
    <s v="Francophone"/>
    <x v="0"/>
  </r>
  <r>
    <n v="11100"/>
    <x v="5"/>
    <s v="thomp@uk.com"/>
    <x v="5"/>
    <n v="80"/>
    <n v="150"/>
    <n v="785"/>
    <n v="117750"/>
    <n v="54950"/>
    <x v="4"/>
    <s v="northwest"/>
    <s v="April"/>
    <n v="2018"/>
    <s v="Francophone"/>
    <x v="1"/>
  </r>
  <r>
    <n v="11101"/>
    <x v="4"/>
    <s v="andy@gmail.com"/>
    <x v="6"/>
    <n v="90"/>
    <n v="150"/>
    <n v="910"/>
    <n v="136500"/>
    <n v="54600"/>
    <x v="0"/>
    <s v="northeast"/>
    <s v="May"/>
    <n v="2018"/>
    <s v="Anglophone"/>
    <x v="1"/>
  </r>
  <r>
    <n v="11102"/>
    <x v="0"/>
    <s v="jard@gmail.com"/>
    <x v="0"/>
    <n v="150"/>
    <n v="200"/>
    <n v="838"/>
    <n v="167600"/>
    <n v="41900"/>
    <x v="1"/>
    <s v="northcentral"/>
    <s v="June"/>
    <n v="2019"/>
    <s v="Anglophone"/>
    <x v="0"/>
  </r>
  <r>
    <n v="11103"/>
    <x v="0"/>
    <s v="jard@gmail.com"/>
    <x v="1"/>
    <n v="250"/>
    <n v="500"/>
    <n v="943"/>
    <n v="471500"/>
    <n v="235750"/>
    <x v="2"/>
    <s v="Southeast"/>
    <s v="July"/>
    <n v="2019"/>
    <s v="Francophone"/>
    <x v="0"/>
  </r>
  <r>
    <n v="11104"/>
    <x v="4"/>
    <s v="andy@gmail.com"/>
    <x v="2"/>
    <n v="180"/>
    <n v="450"/>
    <n v="771"/>
    <n v="346950"/>
    <n v="208170"/>
    <x v="3"/>
    <s v="west"/>
    <s v="August"/>
    <n v="2019"/>
    <s v="Francophone"/>
    <x v="0"/>
  </r>
  <r>
    <n v="11105"/>
    <x v="0"/>
    <s v="jard@gmail.com"/>
    <x v="3"/>
    <n v="170"/>
    <n v="250"/>
    <n v="881"/>
    <n v="220250"/>
    <n v="70480"/>
    <x v="4"/>
    <s v="southsouth"/>
    <s v="September"/>
    <n v="2017"/>
    <s v="Francophone"/>
    <x v="0"/>
  </r>
  <r>
    <n v="11106"/>
    <x v="1"/>
    <s v="gillhell@uk.com"/>
    <x v="4"/>
    <n v="150"/>
    <n v="200"/>
    <n v="973"/>
    <n v="194600"/>
    <n v="48650"/>
    <x v="0"/>
    <s v="northwest"/>
    <s v="October"/>
    <n v="2017"/>
    <s v="Anglophone"/>
    <x v="0"/>
  </r>
  <r>
    <n v="11107"/>
    <x v="2"/>
    <s v="sorvi2000@gmail.com"/>
    <x v="5"/>
    <n v="80"/>
    <n v="150"/>
    <n v="786"/>
    <n v="117900"/>
    <n v="55020"/>
    <x v="1"/>
    <s v="northeast"/>
    <s v="November"/>
    <n v="2017"/>
    <s v="Anglophone"/>
    <x v="1"/>
  </r>
  <r>
    <n v="11108"/>
    <x v="3"/>
    <s v="jone.ai@yahoo.com"/>
    <x v="6"/>
    <n v="90"/>
    <n v="150"/>
    <n v="904"/>
    <n v="135600"/>
    <n v="54240"/>
    <x v="2"/>
    <s v="northcentral"/>
    <s v="December"/>
    <n v="2018"/>
    <s v="Francophone"/>
    <x v="1"/>
  </r>
  <r>
    <n v="11109"/>
    <x v="4"/>
    <s v="andy@gmail.com"/>
    <x v="0"/>
    <n v="150"/>
    <n v="200"/>
    <n v="912"/>
    <n v="182400"/>
    <n v="45600"/>
    <x v="3"/>
    <s v="Southeast"/>
    <s v="January"/>
    <n v="2018"/>
    <s v="Francophone"/>
    <x v="0"/>
  </r>
  <r>
    <n v="11110"/>
    <x v="0"/>
    <s v="jard@gmail.com"/>
    <x v="1"/>
    <n v="250"/>
    <n v="500"/>
    <n v="734"/>
    <n v="367000"/>
    <n v="183500"/>
    <x v="4"/>
    <s v="west"/>
    <s v="February"/>
    <n v="2018"/>
    <s v="Francophone"/>
    <x v="0"/>
  </r>
  <r>
    <n v="11111"/>
    <x v="5"/>
    <s v="thomp@uk.com"/>
    <x v="2"/>
    <n v="180"/>
    <n v="450"/>
    <n v="977"/>
    <n v="439650"/>
    <n v="263790"/>
    <x v="0"/>
    <s v="southsouth"/>
    <s v="March"/>
    <n v="2017"/>
    <s v="Anglophone"/>
    <x v="0"/>
  </r>
  <r>
    <n v="11112"/>
    <x v="3"/>
    <s v="jone.ai@yahoo.com"/>
    <x v="3"/>
    <n v="170"/>
    <n v="250"/>
    <n v="711"/>
    <n v="177750"/>
    <n v="56880"/>
    <x v="1"/>
    <s v="northwest"/>
    <s v="April"/>
    <n v="2017"/>
    <s v="Anglophone"/>
    <x v="0"/>
  </r>
  <r>
    <n v="11113"/>
    <x v="6"/>
    <s v="morganny@gmail.com"/>
    <x v="4"/>
    <n v="150"/>
    <n v="200"/>
    <n v="727"/>
    <n v="145400"/>
    <n v="36350"/>
    <x v="2"/>
    <s v="northeast"/>
    <s v="May"/>
    <n v="2017"/>
    <s v="Francophone"/>
    <x v="0"/>
  </r>
  <r>
    <n v="11114"/>
    <x v="7"/>
    <s v="howard_freeman@yahoo.com"/>
    <x v="5"/>
    <n v="80"/>
    <n v="150"/>
    <n v="732"/>
    <n v="109800"/>
    <n v="51240"/>
    <x v="3"/>
    <s v="northcentral"/>
    <s v="June"/>
    <n v="2017"/>
    <s v="Francophone"/>
    <x v="1"/>
  </r>
  <r>
    <n v="11115"/>
    <x v="8"/>
    <s v="parentty@uk.com"/>
    <x v="6"/>
    <n v="90"/>
    <n v="150"/>
    <n v="908"/>
    <n v="136200"/>
    <n v="54480"/>
    <x v="4"/>
    <s v="Southeast"/>
    <s v="July"/>
    <n v="2018"/>
    <s v="Francophone"/>
    <x v="1"/>
  </r>
  <r>
    <n v="11116"/>
    <x v="3"/>
    <s v="jone.ai@yahoo.com"/>
    <x v="0"/>
    <n v="150"/>
    <n v="200"/>
    <n v="767"/>
    <n v="153400"/>
    <n v="38350"/>
    <x v="0"/>
    <s v="west"/>
    <s v="August"/>
    <n v="2017"/>
    <s v="Anglophone"/>
    <x v="0"/>
  </r>
  <r>
    <n v="11117"/>
    <x v="9"/>
    <s v="smithMan@yahoo.com"/>
    <x v="1"/>
    <n v="250"/>
    <n v="500"/>
    <n v="847"/>
    <n v="423500"/>
    <n v="211750"/>
    <x v="1"/>
    <s v="southsouth"/>
    <s v="September"/>
    <n v="2019"/>
    <s v="Anglophone"/>
    <x v="0"/>
  </r>
  <r>
    <n v="11118"/>
    <x v="3"/>
    <s v="jone.ai@yahoo.com"/>
    <x v="2"/>
    <n v="180"/>
    <n v="450"/>
    <n v="968"/>
    <n v="435600"/>
    <n v="261360"/>
    <x v="2"/>
    <s v="northwest"/>
    <s v="October"/>
    <n v="2019"/>
    <s v="Francophone"/>
    <x v="0"/>
  </r>
  <r>
    <n v="11119"/>
    <x v="6"/>
    <s v="morganny@gmail.com"/>
    <x v="3"/>
    <n v="170"/>
    <n v="250"/>
    <n v="832"/>
    <n v="208000"/>
    <n v="66560"/>
    <x v="3"/>
    <s v="northeast"/>
    <s v="November"/>
    <n v="2018"/>
    <s v="Francophone"/>
    <x v="0"/>
  </r>
  <r>
    <n v="11120"/>
    <x v="3"/>
    <s v="jone.ai@yahoo.com"/>
    <x v="4"/>
    <n v="150"/>
    <n v="200"/>
    <n v="763"/>
    <n v="152600"/>
    <n v="38150"/>
    <x v="4"/>
    <s v="northcentral"/>
    <s v="December"/>
    <n v="2018"/>
    <s v="Francophone"/>
    <x v="0"/>
  </r>
  <r>
    <n v="11121"/>
    <x v="8"/>
    <s v="parentty@uk.com"/>
    <x v="5"/>
    <n v="80"/>
    <n v="150"/>
    <n v="842"/>
    <n v="126300"/>
    <n v="58940"/>
    <x v="0"/>
    <s v="Southeast"/>
    <s v="January"/>
    <n v="2017"/>
    <s v="Anglophone"/>
    <x v="1"/>
  </r>
  <r>
    <n v="11122"/>
    <x v="10"/>
    <s v="kivel_go@yahoo.com"/>
    <x v="6"/>
    <n v="90"/>
    <n v="150"/>
    <n v="848"/>
    <n v="127200"/>
    <n v="50880"/>
    <x v="1"/>
    <s v="west"/>
    <s v="February"/>
    <n v="2018"/>
    <s v="Anglophone"/>
    <x v="1"/>
  </r>
  <r>
    <n v="11123"/>
    <x v="9"/>
    <s v="smithMan@yahoo.com"/>
    <x v="0"/>
    <n v="150"/>
    <n v="200"/>
    <n v="988"/>
    <n v="197600"/>
    <n v="49400"/>
    <x v="2"/>
    <s v="southsouth"/>
    <s v="March"/>
    <n v="2018"/>
    <s v="Francophone"/>
    <x v="0"/>
  </r>
  <r>
    <n v="11124"/>
    <x v="8"/>
    <s v="parentty@uk.com"/>
    <x v="1"/>
    <n v="250"/>
    <n v="500"/>
    <n v="876"/>
    <n v="438000"/>
    <n v="219000"/>
    <x v="3"/>
    <s v="northwest"/>
    <s v="April"/>
    <n v="2018"/>
    <s v="Francophone"/>
    <x v="0"/>
  </r>
  <r>
    <n v="11125"/>
    <x v="1"/>
    <s v="gillhell@uk.com"/>
    <x v="2"/>
    <n v="180"/>
    <n v="450"/>
    <n v="900"/>
    <n v="405000"/>
    <n v="243000"/>
    <x v="4"/>
    <s v="northeast"/>
    <s v="May"/>
    <n v="2019"/>
    <s v="Francophone"/>
    <x v="0"/>
  </r>
  <r>
    <n v="11126"/>
    <x v="9"/>
    <s v="smithMan@yahoo.com"/>
    <x v="3"/>
    <n v="170"/>
    <n v="250"/>
    <n v="938"/>
    <n v="234500"/>
    <n v="75040"/>
    <x v="0"/>
    <s v="northcentral"/>
    <s v="June"/>
    <n v="2019"/>
    <s v="Anglophone"/>
    <x v="0"/>
  </r>
  <r>
    <n v="11127"/>
    <x v="3"/>
    <s v="jone.ai@yahoo.com"/>
    <x v="4"/>
    <n v="150"/>
    <n v="200"/>
    <n v="731"/>
    <n v="146200"/>
    <n v="36550"/>
    <x v="1"/>
    <s v="Southeast"/>
    <s v="July"/>
    <n v="2018"/>
    <s v="Anglophone"/>
    <x v="0"/>
  </r>
  <r>
    <n v="11128"/>
    <x v="2"/>
    <s v="sorvi2000@gmail.com"/>
    <x v="5"/>
    <n v="80"/>
    <n v="150"/>
    <n v="779"/>
    <n v="116850"/>
    <n v="54530"/>
    <x v="2"/>
    <s v="west"/>
    <s v="August"/>
    <n v="2017"/>
    <s v="Francophone"/>
    <x v="1"/>
  </r>
  <r>
    <n v="11129"/>
    <x v="0"/>
    <s v="jard@gmail.com"/>
    <x v="6"/>
    <n v="90"/>
    <n v="150"/>
    <n v="900"/>
    <n v="135000"/>
    <n v="54000"/>
    <x v="3"/>
    <s v="southsouth"/>
    <s v="September"/>
    <n v="2019"/>
    <s v="Francophone"/>
    <x v="1"/>
  </r>
  <r>
    <n v="11130"/>
    <x v="4"/>
    <s v="andy@gmail.com"/>
    <x v="0"/>
    <n v="150"/>
    <n v="200"/>
    <n v="953"/>
    <n v="190600"/>
    <n v="47650"/>
    <x v="4"/>
    <s v="northwest"/>
    <s v="October"/>
    <n v="2017"/>
    <s v="Francophone"/>
    <x v="0"/>
  </r>
  <r>
    <n v="11131"/>
    <x v="7"/>
    <s v="howard_freeman@yahoo.com"/>
    <x v="1"/>
    <n v="250"/>
    <n v="500"/>
    <n v="700"/>
    <n v="350000"/>
    <n v="175000"/>
    <x v="0"/>
    <s v="northeast"/>
    <s v="November"/>
    <n v="2019"/>
    <s v="Anglophone"/>
    <x v="0"/>
  </r>
  <r>
    <n v="11132"/>
    <x v="1"/>
    <s v="gillhell@uk.com"/>
    <x v="2"/>
    <n v="180"/>
    <n v="450"/>
    <n v="721"/>
    <n v="324450"/>
    <n v="194670"/>
    <x v="1"/>
    <s v="northcentral"/>
    <s v="December"/>
    <n v="2018"/>
    <s v="Anglophone"/>
    <x v="0"/>
  </r>
  <r>
    <n v="11133"/>
    <x v="1"/>
    <s v="gillhell@uk.com"/>
    <x v="3"/>
    <n v="170"/>
    <n v="250"/>
    <n v="972"/>
    <n v="243000"/>
    <n v="77760"/>
    <x v="2"/>
    <s v="Southeast"/>
    <s v="January"/>
    <n v="2019"/>
    <s v="Francophone"/>
    <x v="0"/>
  </r>
  <r>
    <n v="11134"/>
    <x v="10"/>
    <s v="kivel_go@yahoo.com"/>
    <x v="4"/>
    <n v="150"/>
    <n v="200"/>
    <n v="860"/>
    <n v="172000"/>
    <n v="43000"/>
    <x v="3"/>
    <s v="west"/>
    <s v="February"/>
    <n v="2018"/>
    <s v="Francophone"/>
    <x v="0"/>
  </r>
  <r>
    <n v="11135"/>
    <x v="3"/>
    <s v="jone.ai@yahoo.com"/>
    <x v="5"/>
    <n v="80"/>
    <n v="150"/>
    <n v="811"/>
    <n v="121650"/>
    <n v="56770"/>
    <x v="4"/>
    <s v="southsouth"/>
    <s v="March"/>
    <n v="2019"/>
    <s v="Francophone"/>
    <x v="1"/>
  </r>
  <r>
    <n v="11136"/>
    <x v="6"/>
    <s v="morganny@gmail.com"/>
    <x v="6"/>
    <n v="90"/>
    <n v="150"/>
    <n v="963"/>
    <n v="144450"/>
    <n v="57780"/>
    <x v="0"/>
    <s v="northwest"/>
    <s v="April"/>
    <n v="2019"/>
    <s v="Anglophone"/>
    <x v="1"/>
  </r>
  <r>
    <n v="11137"/>
    <x v="10"/>
    <s v="kivel_go@yahoo.com"/>
    <x v="0"/>
    <n v="150"/>
    <n v="200"/>
    <n v="974"/>
    <n v="194800"/>
    <n v="48700"/>
    <x v="1"/>
    <s v="northeast"/>
    <s v="May"/>
    <n v="2017"/>
    <s v="Anglophone"/>
    <x v="0"/>
  </r>
  <r>
    <n v="11138"/>
    <x v="2"/>
    <s v="sorvi2000@gmail.com"/>
    <x v="1"/>
    <n v="250"/>
    <n v="500"/>
    <n v="839"/>
    <n v="419500"/>
    <n v="209750"/>
    <x v="2"/>
    <s v="northcentral"/>
    <s v="June"/>
    <n v="2019"/>
    <s v="Francophone"/>
    <x v="0"/>
  </r>
  <r>
    <n v="11139"/>
    <x v="1"/>
    <s v="gillhell@uk.com"/>
    <x v="2"/>
    <n v="180"/>
    <n v="450"/>
    <n v="907"/>
    <n v="408150"/>
    <n v="244890"/>
    <x v="3"/>
    <s v="Southeast"/>
    <s v="July"/>
    <n v="2017"/>
    <s v="Francophone"/>
    <x v="0"/>
  </r>
  <r>
    <n v="11140"/>
    <x v="2"/>
    <s v="sorvi2000@gmail.com"/>
    <x v="3"/>
    <n v="170"/>
    <n v="250"/>
    <n v="949"/>
    <n v="237250"/>
    <n v="75920"/>
    <x v="4"/>
    <s v="west"/>
    <s v="August"/>
    <n v="2017"/>
    <s v="Francophone"/>
    <x v="0"/>
  </r>
  <r>
    <n v="11141"/>
    <x v="5"/>
    <s v="thomp@uk.com"/>
    <x v="4"/>
    <n v="150"/>
    <n v="200"/>
    <n v="903"/>
    <n v="180600"/>
    <n v="45150"/>
    <x v="0"/>
    <s v="southsouth"/>
    <s v="September"/>
    <n v="2019"/>
    <s v="Anglophone"/>
    <x v="0"/>
  </r>
  <r>
    <n v="11142"/>
    <x v="4"/>
    <s v="andy@gmail.com"/>
    <x v="5"/>
    <n v="80"/>
    <n v="150"/>
    <n v="740"/>
    <n v="111000"/>
    <n v="51800"/>
    <x v="1"/>
    <s v="northwest"/>
    <s v="October"/>
    <n v="2018"/>
    <s v="Anglophone"/>
    <x v="1"/>
  </r>
  <r>
    <n v="11143"/>
    <x v="0"/>
    <s v="jard@gmail.com"/>
    <x v="6"/>
    <n v="90"/>
    <n v="150"/>
    <n v="962"/>
    <n v="144300"/>
    <n v="57720"/>
    <x v="2"/>
    <s v="northeast"/>
    <s v="November"/>
    <n v="2017"/>
    <s v="Francophone"/>
    <x v="1"/>
  </r>
  <r>
    <n v="11144"/>
    <x v="0"/>
    <s v="jard@gmail.com"/>
    <x v="0"/>
    <n v="150"/>
    <n v="200"/>
    <n v="892"/>
    <n v="178400"/>
    <n v="44600"/>
    <x v="3"/>
    <s v="northcentral"/>
    <s v="December"/>
    <n v="2017"/>
    <s v="Francophone"/>
    <x v="0"/>
  </r>
  <r>
    <n v="11145"/>
    <x v="4"/>
    <s v="andy@gmail.com"/>
    <x v="1"/>
    <n v="250"/>
    <n v="500"/>
    <n v="816"/>
    <n v="408000"/>
    <n v="204000"/>
    <x v="4"/>
    <s v="Southeast"/>
    <s v="January"/>
    <n v="2019"/>
    <s v="Francophone"/>
    <x v="0"/>
  </r>
  <r>
    <n v="11146"/>
    <x v="3"/>
    <s v="jone.ai@yahoo.com"/>
    <x v="2"/>
    <n v="180"/>
    <n v="450"/>
    <n v="939"/>
    <n v="422550"/>
    <n v="253530"/>
    <x v="0"/>
    <s v="west"/>
    <s v="February"/>
    <n v="2017"/>
    <s v="Anglophone"/>
    <x v="0"/>
  </r>
  <r>
    <n v="11147"/>
    <x v="6"/>
    <s v="morganny@gmail.com"/>
    <x v="3"/>
    <n v="170"/>
    <n v="250"/>
    <n v="935"/>
    <n v="233750"/>
    <n v="74800"/>
    <x v="1"/>
    <s v="southsouth"/>
    <s v="March"/>
    <n v="2019"/>
    <s v="Anglophone"/>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7">
  <r>
    <n v="10101"/>
    <s v="Jardine"/>
    <s v="jard@gmail.com"/>
    <x v="0"/>
    <n v="150"/>
    <n v="200"/>
    <x v="0"/>
    <n v="145000"/>
    <x v="0"/>
    <x v="0"/>
    <x v="0"/>
    <x v="0"/>
    <x v="0"/>
    <x v="0"/>
    <s v="Beer"/>
    <x v="0"/>
  </r>
  <r>
    <n v="10102"/>
    <s v="Gill"/>
    <s v="gillhell@uk.com"/>
    <x v="1"/>
    <n v="250"/>
    <n v="500"/>
    <x v="1"/>
    <n v="407500"/>
    <x v="1"/>
    <x v="1"/>
    <x v="1"/>
    <x v="1"/>
    <x v="1"/>
    <x v="0"/>
    <s v="Beer"/>
    <x v="0"/>
  </r>
  <r>
    <n v="10103"/>
    <s v="Sorvino"/>
    <s v="sorvi2000@gmail.com"/>
    <x v="2"/>
    <n v="180"/>
    <n v="450"/>
    <x v="2"/>
    <n v="421650"/>
    <x v="2"/>
    <x v="2"/>
    <x v="2"/>
    <x v="2"/>
    <x v="1"/>
    <x v="1"/>
    <s v="Beer"/>
    <x v="0"/>
  </r>
  <r>
    <n v="10104"/>
    <s v="Jones"/>
    <s v="jone.ai@yahoo.com"/>
    <x v="3"/>
    <n v="170"/>
    <n v="250"/>
    <x v="3"/>
    <n v="191250"/>
    <x v="3"/>
    <x v="3"/>
    <x v="3"/>
    <x v="3"/>
    <x v="1"/>
    <x v="1"/>
    <s v="Beer"/>
    <x v="1"/>
  </r>
  <r>
    <n v="10105"/>
    <s v="Andrews"/>
    <s v="andy@gmail.com"/>
    <x v="4"/>
    <n v="150"/>
    <n v="200"/>
    <x v="4"/>
    <n v="167200"/>
    <x v="4"/>
    <x v="4"/>
    <x v="4"/>
    <x v="4"/>
    <x v="2"/>
    <x v="1"/>
    <s v="Beer"/>
    <x v="1"/>
  </r>
  <r>
    <n v="10106"/>
    <s v="Jardine"/>
    <s v="jard@gmail.com"/>
    <x v="5"/>
    <n v="80"/>
    <n v="150"/>
    <x v="5"/>
    <n v="119700"/>
    <x v="5"/>
    <x v="0"/>
    <x v="5"/>
    <x v="5"/>
    <x v="0"/>
    <x v="0"/>
    <s v="Malt"/>
    <x v="1"/>
  </r>
  <r>
    <n v="10107"/>
    <s v="Thompson"/>
    <s v="thomp@uk.com"/>
    <x v="6"/>
    <n v="90"/>
    <n v="150"/>
    <x v="6"/>
    <n v="143100"/>
    <x v="6"/>
    <x v="1"/>
    <x v="0"/>
    <x v="6"/>
    <x v="2"/>
    <x v="0"/>
    <s v="Malt"/>
    <x v="2"/>
  </r>
  <r>
    <n v="10108"/>
    <s v="Jones"/>
    <s v="jone.ai@yahoo.com"/>
    <x v="0"/>
    <n v="150"/>
    <n v="200"/>
    <x v="7"/>
    <n v="162400"/>
    <x v="7"/>
    <x v="2"/>
    <x v="1"/>
    <x v="7"/>
    <x v="1"/>
    <x v="1"/>
    <s v="Beer"/>
    <x v="2"/>
  </r>
  <r>
    <n v="10109"/>
    <s v="Morgan"/>
    <s v="morganny@gmail.com"/>
    <x v="1"/>
    <n v="250"/>
    <n v="500"/>
    <x v="8"/>
    <n v="350000"/>
    <x v="8"/>
    <x v="3"/>
    <x v="2"/>
    <x v="8"/>
    <x v="0"/>
    <x v="1"/>
    <s v="Beer"/>
    <x v="2"/>
  </r>
  <r>
    <n v="10110"/>
    <s v="Howard"/>
    <s v="howard_freeman@yahoo.com"/>
    <x v="2"/>
    <n v="180"/>
    <n v="450"/>
    <x v="9"/>
    <n v="335250"/>
    <x v="9"/>
    <x v="4"/>
    <x v="3"/>
    <x v="9"/>
    <x v="2"/>
    <x v="1"/>
    <s v="Beer"/>
    <x v="3"/>
  </r>
  <r>
    <n v="10111"/>
    <s v="Parent"/>
    <s v="parentty@uk.com"/>
    <x v="3"/>
    <n v="170"/>
    <n v="250"/>
    <x v="10"/>
    <n v="215250"/>
    <x v="10"/>
    <x v="0"/>
    <x v="4"/>
    <x v="10"/>
    <x v="2"/>
    <x v="0"/>
    <s v="Beer"/>
    <x v="3"/>
  </r>
  <r>
    <n v="10112"/>
    <s v="Jones"/>
    <s v="jone.ai@yahoo.com"/>
    <x v="4"/>
    <n v="150"/>
    <n v="200"/>
    <x v="11"/>
    <n v="180400"/>
    <x v="11"/>
    <x v="1"/>
    <x v="5"/>
    <x v="11"/>
    <x v="0"/>
    <x v="0"/>
    <s v="Beer"/>
    <x v="3"/>
  </r>
  <r>
    <n v="10113"/>
    <s v="Smith"/>
    <s v="smithMan@yahoo.com"/>
    <x v="5"/>
    <n v="80"/>
    <n v="150"/>
    <x v="12"/>
    <n v="109650"/>
    <x v="12"/>
    <x v="2"/>
    <x v="0"/>
    <x v="0"/>
    <x v="1"/>
    <x v="1"/>
    <s v="Malt"/>
    <x v="0"/>
  </r>
  <r>
    <n v="10114"/>
    <s v="Jones"/>
    <s v="jone.ai@yahoo.com"/>
    <x v="6"/>
    <n v="90"/>
    <n v="150"/>
    <x v="13"/>
    <n v="126450"/>
    <x v="13"/>
    <x v="3"/>
    <x v="1"/>
    <x v="1"/>
    <x v="2"/>
    <x v="1"/>
    <s v="Malt"/>
    <x v="0"/>
  </r>
  <r>
    <n v="10115"/>
    <s v="Morgan"/>
    <s v="morganny@gmail.com"/>
    <x v="0"/>
    <n v="150"/>
    <n v="200"/>
    <x v="14"/>
    <n v="187800"/>
    <x v="14"/>
    <x v="4"/>
    <x v="2"/>
    <x v="2"/>
    <x v="1"/>
    <x v="1"/>
    <s v="Beer"/>
    <x v="0"/>
  </r>
  <r>
    <n v="10116"/>
    <s v="Jones"/>
    <s v="jone.ai@yahoo.com"/>
    <x v="1"/>
    <n v="250"/>
    <n v="500"/>
    <x v="15"/>
    <n v="354500"/>
    <x v="15"/>
    <x v="0"/>
    <x v="3"/>
    <x v="3"/>
    <x v="0"/>
    <x v="0"/>
    <s v="Beer"/>
    <x v="1"/>
  </r>
  <r>
    <n v="10117"/>
    <s v="Parent"/>
    <s v="parentty@uk.com"/>
    <x v="2"/>
    <n v="180"/>
    <n v="450"/>
    <x v="16"/>
    <n v="376650"/>
    <x v="16"/>
    <x v="1"/>
    <x v="4"/>
    <x v="4"/>
    <x v="2"/>
    <x v="0"/>
    <s v="Beer"/>
    <x v="1"/>
  </r>
  <r>
    <n v="10118"/>
    <s v="Kivell"/>
    <s v="kivel_go@yahoo.com"/>
    <x v="3"/>
    <n v="170"/>
    <n v="250"/>
    <x v="17"/>
    <n v="227500"/>
    <x v="17"/>
    <x v="2"/>
    <x v="5"/>
    <x v="5"/>
    <x v="1"/>
    <x v="1"/>
    <s v="Beer"/>
    <x v="1"/>
  </r>
  <r>
    <n v="10119"/>
    <s v="Smith"/>
    <s v="smithMan@yahoo.com"/>
    <x v="4"/>
    <n v="150"/>
    <n v="200"/>
    <x v="18"/>
    <n v="199200"/>
    <x v="18"/>
    <x v="3"/>
    <x v="0"/>
    <x v="6"/>
    <x v="0"/>
    <x v="1"/>
    <s v="Beer"/>
    <x v="2"/>
  </r>
  <r>
    <n v="10120"/>
    <s v="Parent"/>
    <s v="parentty@uk.com"/>
    <x v="5"/>
    <n v="80"/>
    <n v="150"/>
    <x v="12"/>
    <n v="109650"/>
    <x v="12"/>
    <x v="4"/>
    <x v="1"/>
    <x v="7"/>
    <x v="2"/>
    <x v="1"/>
    <s v="Malt"/>
    <x v="2"/>
  </r>
  <r>
    <n v="10121"/>
    <s v="Gill"/>
    <s v="gillhell@uk.com"/>
    <x v="6"/>
    <n v="90"/>
    <n v="150"/>
    <x v="19"/>
    <n v="134700"/>
    <x v="19"/>
    <x v="0"/>
    <x v="2"/>
    <x v="8"/>
    <x v="2"/>
    <x v="0"/>
    <s v="Malt"/>
    <x v="2"/>
  </r>
  <r>
    <n v="10122"/>
    <s v="Smith"/>
    <s v="smithMan@yahoo.com"/>
    <x v="0"/>
    <n v="150"/>
    <n v="200"/>
    <x v="20"/>
    <n v="172000"/>
    <x v="20"/>
    <x v="1"/>
    <x v="3"/>
    <x v="9"/>
    <x v="1"/>
    <x v="0"/>
    <s v="Beer"/>
    <x v="3"/>
  </r>
  <r>
    <n v="10123"/>
    <s v="Jones"/>
    <s v="jone.ai@yahoo.com"/>
    <x v="1"/>
    <n v="250"/>
    <n v="500"/>
    <x v="21"/>
    <n v="429500"/>
    <x v="21"/>
    <x v="2"/>
    <x v="4"/>
    <x v="10"/>
    <x v="2"/>
    <x v="1"/>
    <s v="Beer"/>
    <x v="3"/>
  </r>
  <r>
    <n v="10124"/>
    <s v="Sorvino"/>
    <s v="sorvi2000@gmail.com"/>
    <x v="2"/>
    <n v="180"/>
    <n v="450"/>
    <x v="22"/>
    <n v="385650"/>
    <x v="22"/>
    <x v="3"/>
    <x v="5"/>
    <x v="11"/>
    <x v="2"/>
    <x v="1"/>
    <s v="Beer"/>
    <x v="3"/>
  </r>
  <r>
    <n v="10125"/>
    <s v="Jardine"/>
    <s v="jard@gmail.com"/>
    <x v="3"/>
    <n v="170"/>
    <n v="250"/>
    <x v="23"/>
    <n v="178750"/>
    <x v="23"/>
    <x v="4"/>
    <x v="0"/>
    <x v="0"/>
    <x v="1"/>
    <x v="1"/>
    <s v="Beer"/>
    <x v="0"/>
  </r>
  <r>
    <n v="10126"/>
    <s v="Andrews"/>
    <s v="andy@gmail.com"/>
    <x v="4"/>
    <n v="150"/>
    <n v="200"/>
    <x v="24"/>
    <n v="199800"/>
    <x v="24"/>
    <x v="0"/>
    <x v="1"/>
    <x v="1"/>
    <x v="1"/>
    <x v="0"/>
    <s v="Beer"/>
    <x v="0"/>
  </r>
  <r>
    <n v="10127"/>
    <s v="Howard"/>
    <s v="howard_freeman@yahoo.com"/>
    <x v="5"/>
    <n v="80"/>
    <n v="150"/>
    <x v="25"/>
    <n v="147300"/>
    <x v="25"/>
    <x v="1"/>
    <x v="2"/>
    <x v="2"/>
    <x v="2"/>
    <x v="0"/>
    <s v="Malt"/>
    <x v="0"/>
  </r>
  <r>
    <n v="10128"/>
    <s v="Gill"/>
    <s v="gillhell@uk.com"/>
    <x v="6"/>
    <n v="90"/>
    <n v="150"/>
    <x v="26"/>
    <n v="138000"/>
    <x v="26"/>
    <x v="2"/>
    <x v="3"/>
    <x v="3"/>
    <x v="1"/>
    <x v="1"/>
    <s v="Malt"/>
    <x v="1"/>
  </r>
  <r>
    <n v="10129"/>
    <s v="Gill"/>
    <s v="gillhell@uk.com"/>
    <x v="0"/>
    <n v="150"/>
    <n v="200"/>
    <x v="27"/>
    <n v="175000"/>
    <x v="27"/>
    <x v="3"/>
    <x v="4"/>
    <x v="4"/>
    <x v="2"/>
    <x v="1"/>
    <s v="Beer"/>
    <x v="1"/>
  </r>
  <r>
    <n v="10130"/>
    <s v="Kivell"/>
    <s v="kivel_go@yahoo.com"/>
    <x v="1"/>
    <n v="250"/>
    <n v="500"/>
    <x v="28"/>
    <n v="472500"/>
    <x v="28"/>
    <x v="4"/>
    <x v="5"/>
    <x v="5"/>
    <x v="0"/>
    <x v="1"/>
    <s v="Beer"/>
    <x v="1"/>
  </r>
  <r>
    <n v="10131"/>
    <s v="Jones"/>
    <s v="jone.ai@yahoo.com"/>
    <x v="2"/>
    <n v="180"/>
    <n v="450"/>
    <x v="29"/>
    <n v="357300"/>
    <x v="29"/>
    <x v="0"/>
    <x v="0"/>
    <x v="6"/>
    <x v="0"/>
    <x v="0"/>
    <s v="Beer"/>
    <x v="2"/>
  </r>
  <r>
    <n v="10132"/>
    <s v="Morgan"/>
    <s v="morganny@gmail.com"/>
    <x v="3"/>
    <n v="170"/>
    <n v="250"/>
    <x v="30"/>
    <n v="206500"/>
    <x v="30"/>
    <x v="1"/>
    <x v="1"/>
    <x v="7"/>
    <x v="2"/>
    <x v="0"/>
    <s v="Beer"/>
    <x v="2"/>
  </r>
  <r>
    <n v="10133"/>
    <s v="Kivell"/>
    <s v="kivel_go@yahoo.com"/>
    <x v="4"/>
    <n v="150"/>
    <n v="200"/>
    <x v="31"/>
    <n v="200000"/>
    <x v="31"/>
    <x v="2"/>
    <x v="2"/>
    <x v="8"/>
    <x v="0"/>
    <x v="1"/>
    <s v="Beer"/>
    <x v="2"/>
  </r>
  <r>
    <n v="10134"/>
    <s v="Sorvino"/>
    <s v="sorvi2000@gmail.com"/>
    <x v="5"/>
    <n v="80"/>
    <n v="150"/>
    <x v="32"/>
    <n v="120600"/>
    <x v="32"/>
    <x v="3"/>
    <x v="3"/>
    <x v="9"/>
    <x v="1"/>
    <x v="1"/>
    <s v="Malt"/>
    <x v="3"/>
  </r>
  <r>
    <n v="10135"/>
    <s v="Gill"/>
    <s v="gillhell@uk.com"/>
    <x v="6"/>
    <n v="90"/>
    <n v="150"/>
    <x v="33"/>
    <n v="133500"/>
    <x v="33"/>
    <x v="4"/>
    <x v="4"/>
    <x v="10"/>
    <x v="2"/>
    <x v="1"/>
    <s v="Malt"/>
    <x v="3"/>
  </r>
  <r>
    <n v="10136"/>
    <s v="Sorvino"/>
    <s v="sorvi2000@gmail.com"/>
    <x v="0"/>
    <n v="150"/>
    <n v="200"/>
    <x v="34"/>
    <n v="174000"/>
    <x v="34"/>
    <x v="0"/>
    <x v="5"/>
    <x v="11"/>
    <x v="2"/>
    <x v="0"/>
    <s v="Beer"/>
    <x v="3"/>
  </r>
  <r>
    <n v="10137"/>
    <s v="Thompson"/>
    <s v="thomp@uk.com"/>
    <x v="1"/>
    <n v="250"/>
    <n v="500"/>
    <x v="35"/>
    <n v="410500"/>
    <x v="35"/>
    <x v="1"/>
    <x v="0"/>
    <x v="0"/>
    <x v="2"/>
    <x v="0"/>
    <s v="Beer"/>
    <x v="0"/>
  </r>
  <r>
    <n v="10138"/>
    <s v="Andrews"/>
    <s v="andy@gmail.com"/>
    <x v="2"/>
    <n v="180"/>
    <n v="450"/>
    <x v="36"/>
    <n v="427500"/>
    <x v="36"/>
    <x v="2"/>
    <x v="1"/>
    <x v="1"/>
    <x v="1"/>
    <x v="1"/>
    <s v="Beer"/>
    <x v="0"/>
  </r>
  <r>
    <n v="10139"/>
    <s v="Jardine"/>
    <s v="jard@gmail.com"/>
    <x v="3"/>
    <n v="170"/>
    <n v="250"/>
    <x v="37"/>
    <n v="196000"/>
    <x v="37"/>
    <x v="3"/>
    <x v="2"/>
    <x v="2"/>
    <x v="0"/>
    <x v="1"/>
    <s v="Beer"/>
    <x v="0"/>
  </r>
  <r>
    <n v="10140"/>
    <s v="Jardine"/>
    <s v="jard@gmail.com"/>
    <x v="4"/>
    <n v="150"/>
    <n v="200"/>
    <x v="24"/>
    <n v="199800"/>
    <x v="24"/>
    <x v="4"/>
    <x v="3"/>
    <x v="3"/>
    <x v="0"/>
    <x v="1"/>
    <s v="Beer"/>
    <x v="1"/>
  </r>
  <r>
    <n v="10141"/>
    <s v="Andrews"/>
    <s v="andy@gmail.com"/>
    <x v="5"/>
    <n v="80"/>
    <n v="150"/>
    <x v="38"/>
    <n v="134100"/>
    <x v="38"/>
    <x v="0"/>
    <x v="4"/>
    <x v="4"/>
    <x v="0"/>
    <x v="0"/>
    <s v="Malt"/>
    <x v="1"/>
  </r>
  <r>
    <n v="10142"/>
    <s v="Jardine"/>
    <s v="jard@gmail.com"/>
    <x v="6"/>
    <n v="90"/>
    <n v="150"/>
    <x v="39"/>
    <n v="124050"/>
    <x v="39"/>
    <x v="1"/>
    <x v="5"/>
    <x v="5"/>
    <x v="2"/>
    <x v="0"/>
    <s v="Malt"/>
    <x v="1"/>
  </r>
  <r>
    <n v="10143"/>
    <s v="Gill"/>
    <s v="gillhell@uk.com"/>
    <x v="0"/>
    <n v="150"/>
    <n v="200"/>
    <x v="40"/>
    <n v="155800"/>
    <x v="40"/>
    <x v="2"/>
    <x v="0"/>
    <x v="6"/>
    <x v="1"/>
    <x v="1"/>
    <s v="Beer"/>
    <x v="2"/>
  </r>
  <r>
    <n v="10144"/>
    <s v="Sorvino"/>
    <s v="sorvi2000@gmail.com"/>
    <x v="1"/>
    <n v="250"/>
    <n v="500"/>
    <x v="41"/>
    <n v="417500"/>
    <x v="41"/>
    <x v="3"/>
    <x v="1"/>
    <x v="7"/>
    <x v="2"/>
    <x v="1"/>
    <s v="Beer"/>
    <x v="2"/>
  </r>
  <r>
    <n v="10145"/>
    <s v="Jones"/>
    <s v="jone.ai@yahoo.com"/>
    <x v="2"/>
    <n v="180"/>
    <n v="450"/>
    <x v="42"/>
    <n v="360450"/>
    <x v="42"/>
    <x v="4"/>
    <x v="2"/>
    <x v="8"/>
    <x v="1"/>
    <x v="1"/>
    <s v="Beer"/>
    <x v="2"/>
  </r>
  <r>
    <n v="10146"/>
    <s v="Andrews"/>
    <s v="andy@gmail.com"/>
    <x v="3"/>
    <n v="170"/>
    <n v="250"/>
    <x v="43"/>
    <n v="177500"/>
    <x v="43"/>
    <x v="0"/>
    <x v="3"/>
    <x v="9"/>
    <x v="2"/>
    <x v="0"/>
    <s v="Beer"/>
    <x v="3"/>
  </r>
  <r>
    <n v="10147"/>
    <s v="Jardine"/>
    <s v="jard@gmail.com"/>
    <x v="4"/>
    <n v="150"/>
    <n v="200"/>
    <x v="44"/>
    <n v="190400"/>
    <x v="44"/>
    <x v="1"/>
    <x v="4"/>
    <x v="10"/>
    <x v="2"/>
    <x v="0"/>
    <s v="Beer"/>
    <x v="3"/>
  </r>
  <r>
    <n v="10148"/>
    <s v="Thompson"/>
    <s v="thomp@uk.com"/>
    <x v="5"/>
    <n v="80"/>
    <n v="150"/>
    <x v="45"/>
    <n v="133650"/>
    <x v="45"/>
    <x v="2"/>
    <x v="5"/>
    <x v="11"/>
    <x v="2"/>
    <x v="1"/>
    <s v="Malt"/>
    <x v="3"/>
  </r>
  <r>
    <n v="10149"/>
    <s v="Jones"/>
    <s v="jone.ai@yahoo.com"/>
    <x v="6"/>
    <n v="90"/>
    <n v="150"/>
    <x v="46"/>
    <n v="117150"/>
    <x v="46"/>
    <x v="3"/>
    <x v="0"/>
    <x v="0"/>
    <x v="1"/>
    <x v="1"/>
    <s v="Malt"/>
    <x v="0"/>
  </r>
  <r>
    <n v="10150"/>
    <s v="Morgan"/>
    <s v="morganny@gmail.com"/>
    <x v="0"/>
    <n v="150"/>
    <n v="200"/>
    <x v="47"/>
    <n v="169000"/>
    <x v="47"/>
    <x v="4"/>
    <x v="1"/>
    <x v="1"/>
    <x v="0"/>
    <x v="1"/>
    <s v="Beer"/>
    <x v="0"/>
  </r>
  <r>
    <n v="10151"/>
    <s v="Howard"/>
    <s v="howard_freeman@yahoo.com"/>
    <x v="1"/>
    <n v="250"/>
    <n v="500"/>
    <x v="48"/>
    <n v="359500"/>
    <x v="48"/>
    <x v="0"/>
    <x v="2"/>
    <x v="2"/>
    <x v="1"/>
    <x v="0"/>
    <s v="Beer"/>
    <x v="0"/>
  </r>
  <r>
    <n v="10152"/>
    <s v="Parent"/>
    <s v="parentty@uk.com"/>
    <x v="2"/>
    <n v="180"/>
    <n v="450"/>
    <x v="49"/>
    <n v="395100"/>
    <x v="49"/>
    <x v="1"/>
    <x v="3"/>
    <x v="3"/>
    <x v="0"/>
    <x v="0"/>
    <s v="Beer"/>
    <x v="1"/>
  </r>
  <r>
    <n v="10153"/>
    <s v="Jones"/>
    <s v="jone.ai@yahoo.com"/>
    <x v="3"/>
    <n v="170"/>
    <n v="250"/>
    <x v="50"/>
    <n v="208000"/>
    <x v="50"/>
    <x v="2"/>
    <x v="4"/>
    <x v="4"/>
    <x v="1"/>
    <x v="1"/>
    <s v="Beer"/>
    <x v="1"/>
  </r>
  <r>
    <n v="10154"/>
    <s v="Smith"/>
    <s v="smithMan@yahoo.com"/>
    <x v="4"/>
    <n v="150"/>
    <n v="200"/>
    <x v="51"/>
    <n v="153200"/>
    <x v="51"/>
    <x v="3"/>
    <x v="5"/>
    <x v="5"/>
    <x v="2"/>
    <x v="1"/>
    <s v="Beer"/>
    <x v="1"/>
  </r>
  <r>
    <n v="10155"/>
    <s v="Jones"/>
    <s v="jone.ai@yahoo.com"/>
    <x v="5"/>
    <n v="80"/>
    <n v="150"/>
    <x v="52"/>
    <n v="108900"/>
    <x v="52"/>
    <x v="4"/>
    <x v="0"/>
    <x v="6"/>
    <x v="1"/>
    <x v="1"/>
    <s v="Malt"/>
    <x v="2"/>
  </r>
  <r>
    <n v="10156"/>
    <s v="Morgan"/>
    <s v="morganny@gmail.com"/>
    <x v="6"/>
    <n v="90"/>
    <n v="150"/>
    <x v="53"/>
    <n v="144300"/>
    <x v="53"/>
    <x v="0"/>
    <x v="1"/>
    <x v="7"/>
    <x v="2"/>
    <x v="0"/>
    <s v="Malt"/>
    <x v="2"/>
  </r>
  <r>
    <n v="10157"/>
    <s v="Jones"/>
    <s v="jone.ai@yahoo.com"/>
    <x v="0"/>
    <n v="150"/>
    <n v="200"/>
    <x v="26"/>
    <n v="184000"/>
    <x v="54"/>
    <x v="1"/>
    <x v="2"/>
    <x v="8"/>
    <x v="1"/>
    <x v="0"/>
    <s v="Beer"/>
    <x v="2"/>
  </r>
  <r>
    <n v="10158"/>
    <s v="Parent"/>
    <s v="parentty@uk.com"/>
    <x v="1"/>
    <n v="250"/>
    <n v="500"/>
    <x v="54"/>
    <n v="388000"/>
    <x v="55"/>
    <x v="2"/>
    <x v="3"/>
    <x v="9"/>
    <x v="2"/>
    <x v="1"/>
    <s v="Beer"/>
    <x v="3"/>
  </r>
  <r>
    <n v="10159"/>
    <s v="Kivell"/>
    <s v="kivel_go@yahoo.com"/>
    <x v="2"/>
    <n v="180"/>
    <n v="450"/>
    <x v="55"/>
    <n v="392400"/>
    <x v="56"/>
    <x v="3"/>
    <x v="4"/>
    <x v="10"/>
    <x v="1"/>
    <x v="1"/>
    <s v="Beer"/>
    <x v="3"/>
  </r>
  <r>
    <n v="10160"/>
    <s v="Smith"/>
    <s v="smithMan@yahoo.com"/>
    <x v="3"/>
    <n v="170"/>
    <n v="250"/>
    <x v="56"/>
    <n v="207750"/>
    <x v="57"/>
    <x v="4"/>
    <x v="5"/>
    <x v="11"/>
    <x v="2"/>
    <x v="1"/>
    <s v="Beer"/>
    <x v="3"/>
  </r>
  <r>
    <n v="10161"/>
    <s v="Parent"/>
    <s v="parentty@uk.com"/>
    <x v="4"/>
    <n v="150"/>
    <n v="200"/>
    <x v="57"/>
    <n v="169400"/>
    <x v="58"/>
    <x v="0"/>
    <x v="0"/>
    <x v="0"/>
    <x v="0"/>
    <x v="0"/>
    <s v="Beer"/>
    <x v="0"/>
  </r>
  <r>
    <n v="10162"/>
    <s v="Gill"/>
    <s v="gillhell@uk.com"/>
    <x v="5"/>
    <n v="80"/>
    <n v="150"/>
    <x v="58"/>
    <n v="139650"/>
    <x v="59"/>
    <x v="1"/>
    <x v="1"/>
    <x v="1"/>
    <x v="1"/>
    <x v="0"/>
    <s v="Malt"/>
    <x v="0"/>
  </r>
  <r>
    <n v="10163"/>
    <s v="Smith"/>
    <s v="smithMan@yahoo.com"/>
    <x v="6"/>
    <n v="90"/>
    <n v="150"/>
    <x v="59"/>
    <n v="115200"/>
    <x v="60"/>
    <x v="2"/>
    <x v="2"/>
    <x v="2"/>
    <x v="2"/>
    <x v="1"/>
    <s v="Malt"/>
    <x v="0"/>
  </r>
  <r>
    <n v="10164"/>
    <s v="Jones"/>
    <s v="jone.ai@yahoo.com"/>
    <x v="0"/>
    <n v="150"/>
    <n v="200"/>
    <x v="60"/>
    <n v="147200"/>
    <x v="61"/>
    <x v="3"/>
    <x v="3"/>
    <x v="3"/>
    <x v="2"/>
    <x v="1"/>
    <s v="Beer"/>
    <x v="1"/>
  </r>
  <r>
    <n v="10165"/>
    <s v="Sorvino"/>
    <s v="sorvi2000@gmail.com"/>
    <x v="1"/>
    <n v="250"/>
    <n v="500"/>
    <x v="61"/>
    <n v="390000"/>
    <x v="62"/>
    <x v="4"/>
    <x v="4"/>
    <x v="4"/>
    <x v="0"/>
    <x v="1"/>
    <s v="Beer"/>
    <x v="1"/>
  </r>
  <r>
    <n v="10166"/>
    <s v="Jardine"/>
    <s v="jard@gmail.com"/>
    <x v="2"/>
    <n v="180"/>
    <n v="450"/>
    <x v="62"/>
    <n v="413100"/>
    <x v="63"/>
    <x v="0"/>
    <x v="5"/>
    <x v="5"/>
    <x v="2"/>
    <x v="0"/>
    <s v="Beer"/>
    <x v="1"/>
  </r>
  <r>
    <n v="10167"/>
    <s v="Andrews"/>
    <s v="andy@gmail.com"/>
    <x v="3"/>
    <n v="170"/>
    <n v="250"/>
    <x v="63"/>
    <n v="192250"/>
    <x v="64"/>
    <x v="1"/>
    <x v="0"/>
    <x v="6"/>
    <x v="0"/>
    <x v="0"/>
    <s v="Beer"/>
    <x v="2"/>
  </r>
  <r>
    <n v="10168"/>
    <s v="Howard"/>
    <s v="howard_freeman@yahoo.com"/>
    <x v="4"/>
    <n v="150"/>
    <n v="200"/>
    <x v="64"/>
    <n v="142400"/>
    <x v="65"/>
    <x v="2"/>
    <x v="1"/>
    <x v="7"/>
    <x v="0"/>
    <x v="1"/>
    <s v="Beer"/>
    <x v="2"/>
  </r>
  <r>
    <n v="10169"/>
    <s v="Gill"/>
    <s v="gillhell@uk.com"/>
    <x v="5"/>
    <n v="80"/>
    <n v="150"/>
    <x v="59"/>
    <n v="115200"/>
    <x v="66"/>
    <x v="3"/>
    <x v="2"/>
    <x v="8"/>
    <x v="2"/>
    <x v="1"/>
    <s v="Malt"/>
    <x v="2"/>
  </r>
  <r>
    <n v="10170"/>
    <s v="Gill"/>
    <s v="gillhell@uk.com"/>
    <x v="6"/>
    <n v="90"/>
    <n v="150"/>
    <x v="65"/>
    <n v="141000"/>
    <x v="67"/>
    <x v="4"/>
    <x v="3"/>
    <x v="9"/>
    <x v="1"/>
    <x v="1"/>
    <s v="Malt"/>
    <x v="3"/>
  </r>
  <r>
    <n v="10171"/>
    <s v="Kivell"/>
    <s v="kivel_go@yahoo.com"/>
    <x v="0"/>
    <n v="150"/>
    <n v="200"/>
    <x v="66"/>
    <n v="189600"/>
    <x v="68"/>
    <x v="0"/>
    <x v="4"/>
    <x v="10"/>
    <x v="1"/>
    <x v="0"/>
    <s v="Beer"/>
    <x v="3"/>
  </r>
  <r>
    <n v="10172"/>
    <s v="Jones"/>
    <s v="jone.ai@yahoo.com"/>
    <x v="1"/>
    <n v="250"/>
    <n v="500"/>
    <x v="67"/>
    <n v="434500"/>
    <x v="69"/>
    <x v="1"/>
    <x v="5"/>
    <x v="11"/>
    <x v="1"/>
    <x v="0"/>
    <s v="Beer"/>
    <x v="3"/>
  </r>
  <r>
    <n v="10173"/>
    <s v="Morgan"/>
    <s v="morganny@gmail.com"/>
    <x v="2"/>
    <n v="180"/>
    <n v="450"/>
    <x v="68"/>
    <n v="327150"/>
    <x v="70"/>
    <x v="2"/>
    <x v="0"/>
    <x v="0"/>
    <x v="0"/>
    <x v="1"/>
    <s v="Beer"/>
    <x v="0"/>
  </r>
  <r>
    <n v="10174"/>
    <s v="Kivell"/>
    <s v="kivel_go@yahoo.com"/>
    <x v="3"/>
    <n v="170"/>
    <n v="250"/>
    <x v="69"/>
    <n v="208250"/>
    <x v="71"/>
    <x v="3"/>
    <x v="1"/>
    <x v="1"/>
    <x v="1"/>
    <x v="1"/>
    <s v="Beer"/>
    <x v="0"/>
  </r>
  <r>
    <n v="10175"/>
    <s v="Sorvino"/>
    <s v="sorvi2000@gmail.com"/>
    <x v="4"/>
    <n v="150"/>
    <n v="200"/>
    <x v="70"/>
    <n v="194800"/>
    <x v="72"/>
    <x v="4"/>
    <x v="2"/>
    <x v="2"/>
    <x v="1"/>
    <x v="1"/>
    <s v="Beer"/>
    <x v="0"/>
  </r>
  <r>
    <n v="10176"/>
    <s v="Gill"/>
    <s v="gillhell@uk.com"/>
    <x v="5"/>
    <n v="80"/>
    <n v="150"/>
    <x v="71"/>
    <n v="106950"/>
    <x v="73"/>
    <x v="0"/>
    <x v="3"/>
    <x v="3"/>
    <x v="2"/>
    <x v="0"/>
    <s v="Malt"/>
    <x v="1"/>
  </r>
  <r>
    <n v="10177"/>
    <s v="Sorvino"/>
    <s v="sorvi2000@gmail.com"/>
    <x v="6"/>
    <n v="90"/>
    <n v="150"/>
    <x v="72"/>
    <n v="109350"/>
    <x v="74"/>
    <x v="1"/>
    <x v="4"/>
    <x v="4"/>
    <x v="2"/>
    <x v="0"/>
    <s v="Malt"/>
    <x v="1"/>
  </r>
  <r>
    <n v="10178"/>
    <s v="Thompson"/>
    <s v="thomp@uk.com"/>
    <x v="0"/>
    <n v="150"/>
    <n v="200"/>
    <x v="73"/>
    <n v="189200"/>
    <x v="75"/>
    <x v="2"/>
    <x v="5"/>
    <x v="5"/>
    <x v="0"/>
    <x v="1"/>
    <s v="Beer"/>
    <x v="1"/>
  </r>
  <r>
    <n v="10179"/>
    <s v="Andrews"/>
    <s v="andy@gmail.com"/>
    <x v="1"/>
    <n v="250"/>
    <n v="500"/>
    <x v="74"/>
    <n v="369500"/>
    <x v="76"/>
    <x v="3"/>
    <x v="0"/>
    <x v="6"/>
    <x v="2"/>
    <x v="1"/>
    <s v="Beer"/>
    <x v="2"/>
  </r>
  <r>
    <n v="10180"/>
    <s v="Jardine"/>
    <s v="jard@gmail.com"/>
    <x v="2"/>
    <n v="180"/>
    <n v="450"/>
    <x v="75"/>
    <n v="357750"/>
    <x v="77"/>
    <x v="4"/>
    <x v="1"/>
    <x v="7"/>
    <x v="0"/>
    <x v="1"/>
    <s v="Beer"/>
    <x v="2"/>
  </r>
  <r>
    <n v="10181"/>
    <s v="Jardine"/>
    <s v="jard@gmail.com"/>
    <x v="3"/>
    <n v="170"/>
    <n v="250"/>
    <x v="76"/>
    <n v="175250"/>
    <x v="78"/>
    <x v="0"/>
    <x v="2"/>
    <x v="8"/>
    <x v="1"/>
    <x v="0"/>
    <s v="Beer"/>
    <x v="2"/>
  </r>
  <r>
    <n v="10182"/>
    <s v="Andrews"/>
    <s v="andy@gmail.com"/>
    <x v="4"/>
    <n v="150"/>
    <n v="200"/>
    <x v="77"/>
    <n v="154600"/>
    <x v="79"/>
    <x v="1"/>
    <x v="3"/>
    <x v="9"/>
    <x v="0"/>
    <x v="0"/>
    <s v="Beer"/>
    <x v="3"/>
  </r>
  <r>
    <n v="10183"/>
    <s v="Jones"/>
    <s v="jone.ai@yahoo.com"/>
    <x v="5"/>
    <n v="80"/>
    <n v="150"/>
    <x v="42"/>
    <n v="120150"/>
    <x v="80"/>
    <x v="2"/>
    <x v="4"/>
    <x v="10"/>
    <x v="1"/>
    <x v="1"/>
    <s v="Malt"/>
    <x v="3"/>
  </r>
  <r>
    <n v="10184"/>
    <s v="Morgan"/>
    <s v="morganny@gmail.com"/>
    <x v="6"/>
    <n v="90"/>
    <n v="150"/>
    <x v="78"/>
    <n v="133800"/>
    <x v="81"/>
    <x v="3"/>
    <x v="5"/>
    <x v="11"/>
    <x v="2"/>
    <x v="1"/>
    <s v="Malt"/>
    <x v="3"/>
  </r>
  <r>
    <n v="10185"/>
    <s v="Kivell"/>
    <s v="kivel_go@yahoo.com"/>
    <x v="0"/>
    <n v="150"/>
    <n v="200"/>
    <x v="74"/>
    <n v="147800"/>
    <x v="82"/>
    <x v="4"/>
    <x v="0"/>
    <x v="0"/>
    <x v="1"/>
    <x v="1"/>
    <s v="Beer"/>
    <x v="0"/>
  </r>
  <r>
    <n v="10186"/>
    <s v="Sorvino"/>
    <s v="sorvi2000@gmail.com"/>
    <x v="1"/>
    <n v="250"/>
    <n v="500"/>
    <x v="79"/>
    <n v="352000"/>
    <x v="83"/>
    <x v="0"/>
    <x v="1"/>
    <x v="1"/>
    <x v="1"/>
    <x v="0"/>
    <s v="Beer"/>
    <x v="0"/>
  </r>
  <r>
    <n v="10187"/>
    <s v="Gill"/>
    <s v="gillhell@uk.com"/>
    <x v="2"/>
    <n v="180"/>
    <n v="450"/>
    <x v="80"/>
    <n v="395550"/>
    <x v="84"/>
    <x v="1"/>
    <x v="2"/>
    <x v="2"/>
    <x v="1"/>
    <x v="0"/>
    <s v="Beer"/>
    <x v="0"/>
  </r>
  <r>
    <n v="10188"/>
    <s v="Sorvino"/>
    <s v="sorvi2000@gmail.com"/>
    <x v="3"/>
    <n v="170"/>
    <n v="250"/>
    <x v="81"/>
    <n v="248250"/>
    <x v="85"/>
    <x v="2"/>
    <x v="3"/>
    <x v="3"/>
    <x v="2"/>
    <x v="1"/>
    <s v="Beer"/>
    <x v="1"/>
  </r>
  <r>
    <n v="10189"/>
    <s v="Thompson"/>
    <s v="thomp@uk.com"/>
    <x v="4"/>
    <n v="150"/>
    <n v="200"/>
    <x v="82"/>
    <n v="164000"/>
    <x v="86"/>
    <x v="3"/>
    <x v="4"/>
    <x v="4"/>
    <x v="1"/>
    <x v="1"/>
    <s v="Beer"/>
    <x v="1"/>
  </r>
  <r>
    <n v="10190"/>
    <s v="Andrews"/>
    <s v="andy@gmail.com"/>
    <x v="5"/>
    <n v="80"/>
    <n v="150"/>
    <x v="67"/>
    <n v="130350"/>
    <x v="87"/>
    <x v="4"/>
    <x v="5"/>
    <x v="5"/>
    <x v="1"/>
    <x v="1"/>
    <s v="Malt"/>
    <x v="1"/>
  </r>
  <r>
    <n v="10191"/>
    <s v="Jardine"/>
    <s v="jard@gmail.com"/>
    <x v="6"/>
    <n v="90"/>
    <n v="150"/>
    <x v="11"/>
    <n v="135300"/>
    <x v="88"/>
    <x v="0"/>
    <x v="0"/>
    <x v="6"/>
    <x v="0"/>
    <x v="0"/>
    <s v="Malt"/>
    <x v="2"/>
  </r>
  <r>
    <n v="10192"/>
    <s v="Jardine"/>
    <s v="jard@gmail.com"/>
    <x v="0"/>
    <n v="150"/>
    <n v="200"/>
    <x v="83"/>
    <n v="196200"/>
    <x v="89"/>
    <x v="1"/>
    <x v="1"/>
    <x v="7"/>
    <x v="0"/>
    <x v="0"/>
    <s v="Beer"/>
    <x v="2"/>
  </r>
  <r>
    <n v="10193"/>
    <s v="Andrews"/>
    <s v="andy@gmail.com"/>
    <x v="1"/>
    <n v="250"/>
    <n v="500"/>
    <x v="84"/>
    <n v="361000"/>
    <x v="90"/>
    <x v="2"/>
    <x v="2"/>
    <x v="8"/>
    <x v="2"/>
    <x v="1"/>
    <s v="Beer"/>
    <x v="2"/>
  </r>
  <r>
    <n v="10194"/>
    <s v="Jardine"/>
    <s v="jard@gmail.com"/>
    <x v="2"/>
    <n v="180"/>
    <n v="450"/>
    <x v="85"/>
    <n v="382050"/>
    <x v="91"/>
    <x v="3"/>
    <x v="3"/>
    <x v="9"/>
    <x v="2"/>
    <x v="1"/>
    <s v="Beer"/>
    <x v="3"/>
  </r>
  <r>
    <n v="10195"/>
    <s v="Gill"/>
    <s v="gillhell@uk.com"/>
    <x v="3"/>
    <n v="170"/>
    <n v="250"/>
    <x v="17"/>
    <n v="227500"/>
    <x v="17"/>
    <x v="4"/>
    <x v="4"/>
    <x v="10"/>
    <x v="0"/>
    <x v="1"/>
    <s v="Beer"/>
    <x v="3"/>
  </r>
  <r>
    <n v="10196"/>
    <s v="Sorvino"/>
    <s v="sorvi2000@gmail.com"/>
    <x v="4"/>
    <n v="150"/>
    <n v="200"/>
    <x v="86"/>
    <n v="191800"/>
    <x v="92"/>
    <x v="0"/>
    <x v="5"/>
    <x v="11"/>
    <x v="1"/>
    <x v="0"/>
    <s v="Beer"/>
    <x v="3"/>
  </r>
  <r>
    <n v="10197"/>
    <s v="Jones"/>
    <s v="jone.ai@yahoo.com"/>
    <x v="5"/>
    <n v="80"/>
    <n v="150"/>
    <x v="87"/>
    <n v="134400"/>
    <x v="37"/>
    <x v="1"/>
    <x v="0"/>
    <x v="0"/>
    <x v="0"/>
    <x v="0"/>
    <s v="Malt"/>
    <x v="0"/>
  </r>
  <r>
    <n v="10198"/>
    <s v="Andrews"/>
    <s v="andy@gmail.com"/>
    <x v="6"/>
    <n v="90"/>
    <n v="150"/>
    <x v="88"/>
    <n v="128400"/>
    <x v="93"/>
    <x v="2"/>
    <x v="1"/>
    <x v="1"/>
    <x v="2"/>
    <x v="1"/>
    <s v="Malt"/>
    <x v="0"/>
  </r>
  <r>
    <n v="10199"/>
    <s v="Jardine"/>
    <s v="jard@gmail.com"/>
    <x v="0"/>
    <n v="150"/>
    <n v="200"/>
    <x v="89"/>
    <n v="163400"/>
    <x v="94"/>
    <x v="3"/>
    <x v="2"/>
    <x v="2"/>
    <x v="2"/>
    <x v="1"/>
    <s v="Beer"/>
    <x v="0"/>
  </r>
  <r>
    <n v="10200"/>
    <s v="Thompson"/>
    <s v="thomp@uk.com"/>
    <x v="1"/>
    <n v="250"/>
    <n v="500"/>
    <x v="72"/>
    <n v="364500"/>
    <x v="95"/>
    <x v="4"/>
    <x v="3"/>
    <x v="3"/>
    <x v="2"/>
    <x v="1"/>
    <s v="Beer"/>
    <x v="1"/>
  </r>
  <r>
    <n v="10201"/>
    <s v="Jones"/>
    <s v="jone.ai@yahoo.com"/>
    <x v="2"/>
    <n v="180"/>
    <n v="450"/>
    <x v="90"/>
    <n v="362250"/>
    <x v="96"/>
    <x v="0"/>
    <x v="4"/>
    <x v="4"/>
    <x v="2"/>
    <x v="0"/>
    <s v="Beer"/>
    <x v="1"/>
  </r>
  <r>
    <n v="10202"/>
    <s v="Morgan"/>
    <s v="morganny@gmail.com"/>
    <x v="3"/>
    <n v="170"/>
    <n v="250"/>
    <x v="91"/>
    <n v="207000"/>
    <x v="97"/>
    <x v="1"/>
    <x v="5"/>
    <x v="5"/>
    <x v="0"/>
    <x v="0"/>
    <s v="Beer"/>
    <x v="1"/>
  </r>
  <r>
    <n v="10203"/>
    <s v="Howard"/>
    <s v="howard_freeman@yahoo.com"/>
    <x v="4"/>
    <n v="150"/>
    <n v="200"/>
    <x v="92"/>
    <n v="198000"/>
    <x v="98"/>
    <x v="2"/>
    <x v="0"/>
    <x v="6"/>
    <x v="0"/>
    <x v="1"/>
    <s v="Beer"/>
    <x v="2"/>
  </r>
  <r>
    <n v="10204"/>
    <s v="Parent"/>
    <s v="parentty@uk.com"/>
    <x v="5"/>
    <n v="80"/>
    <n v="150"/>
    <x v="56"/>
    <n v="124650"/>
    <x v="99"/>
    <x v="3"/>
    <x v="1"/>
    <x v="7"/>
    <x v="2"/>
    <x v="1"/>
    <s v="Malt"/>
    <x v="2"/>
  </r>
  <r>
    <n v="10205"/>
    <s v="Jones"/>
    <s v="jone.ai@yahoo.com"/>
    <x v="6"/>
    <n v="90"/>
    <n v="150"/>
    <x v="93"/>
    <n v="135450"/>
    <x v="100"/>
    <x v="4"/>
    <x v="2"/>
    <x v="8"/>
    <x v="0"/>
    <x v="1"/>
    <s v="Malt"/>
    <x v="2"/>
  </r>
  <r>
    <n v="10206"/>
    <s v="Smith"/>
    <s v="smithMan@yahoo.com"/>
    <x v="0"/>
    <n v="150"/>
    <n v="200"/>
    <x v="94"/>
    <n v="150200"/>
    <x v="101"/>
    <x v="0"/>
    <x v="3"/>
    <x v="9"/>
    <x v="2"/>
    <x v="0"/>
    <s v="Beer"/>
    <x v="3"/>
  </r>
  <r>
    <n v="10207"/>
    <s v="Jones"/>
    <s v="jone.ai@yahoo.com"/>
    <x v="1"/>
    <n v="250"/>
    <n v="500"/>
    <x v="92"/>
    <n v="495000"/>
    <x v="102"/>
    <x v="1"/>
    <x v="4"/>
    <x v="10"/>
    <x v="0"/>
    <x v="0"/>
    <s v="Beer"/>
    <x v="3"/>
  </r>
  <r>
    <n v="10208"/>
    <s v="Jardine"/>
    <s v="jard@gmail.com"/>
    <x v="2"/>
    <n v="180"/>
    <n v="450"/>
    <x v="49"/>
    <n v="395100"/>
    <x v="49"/>
    <x v="2"/>
    <x v="5"/>
    <x v="11"/>
    <x v="1"/>
    <x v="1"/>
    <s v="Beer"/>
    <x v="3"/>
  </r>
  <r>
    <n v="10209"/>
    <s v="Gill"/>
    <s v="gillhell@uk.com"/>
    <x v="3"/>
    <n v="170"/>
    <n v="250"/>
    <x v="95"/>
    <n v="180000"/>
    <x v="103"/>
    <x v="3"/>
    <x v="0"/>
    <x v="0"/>
    <x v="2"/>
    <x v="1"/>
    <s v="Beer"/>
    <x v="0"/>
  </r>
  <r>
    <n v="10210"/>
    <s v="Sorvino"/>
    <s v="sorvi2000@gmail.com"/>
    <x v="4"/>
    <n v="150"/>
    <n v="200"/>
    <x v="96"/>
    <n v="155400"/>
    <x v="104"/>
    <x v="4"/>
    <x v="1"/>
    <x v="1"/>
    <x v="2"/>
    <x v="1"/>
    <s v="Beer"/>
    <x v="0"/>
  </r>
  <r>
    <n v="10211"/>
    <s v="Jones"/>
    <s v="jone.ai@yahoo.com"/>
    <x v="5"/>
    <n v="80"/>
    <n v="150"/>
    <x v="97"/>
    <n v="127200"/>
    <x v="105"/>
    <x v="0"/>
    <x v="2"/>
    <x v="2"/>
    <x v="0"/>
    <x v="0"/>
    <s v="Malt"/>
    <x v="0"/>
  </r>
  <r>
    <n v="10212"/>
    <s v="Andrews"/>
    <s v="andy@gmail.com"/>
    <x v="6"/>
    <n v="90"/>
    <n v="150"/>
    <x v="98"/>
    <n v="131100"/>
    <x v="106"/>
    <x v="1"/>
    <x v="3"/>
    <x v="3"/>
    <x v="2"/>
    <x v="0"/>
    <s v="Malt"/>
    <x v="1"/>
  </r>
  <r>
    <n v="10213"/>
    <s v="Jardine"/>
    <s v="jard@gmail.com"/>
    <x v="0"/>
    <n v="150"/>
    <n v="200"/>
    <x v="74"/>
    <n v="147800"/>
    <x v="82"/>
    <x v="2"/>
    <x v="4"/>
    <x v="4"/>
    <x v="2"/>
    <x v="1"/>
    <s v="Beer"/>
    <x v="1"/>
  </r>
  <r>
    <n v="10214"/>
    <s v="Thompson"/>
    <s v="thomp@uk.com"/>
    <x v="1"/>
    <n v="250"/>
    <n v="500"/>
    <x v="79"/>
    <n v="352000"/>
    <x v="83"/>
    <x v="3"/>
    <x v="5"/>
    <x v="5"/>
    <x v="1"/>
    <x v="1"/>
    <s v="Beer"/>
    <x v="1"/>
  </r>
  <r>
    <n v="10215"/>
    <s v="Jones"/>
    <s v="jone.ai@yahoo.com"/>
    <x v="2"/>
    <n v="180"/>
    <n v="450"/>
    <x v="99"/>
    <n v="384750"/>
    <x v="107"/>
    <x v="4"/>
    <x v="0"/>
    <x v="6"/>
    <x v="0"/>
    <x v="1"/>
    <s v="Beer"/>
    <x v="2"/>
  </r>
  <r>
    <n v="10216"/>
    <s v="Morgan"/>
    <s v="morganny@gmail.com"/>
    <x v="3"/>
    <n v="170"/>
    <n v="250"/>
    <x v="100"/>
    <n v="242750"/>
    <x v="108"/>
    <x v="0"/>
    <x v="1"/>
    <x v="7"/>
    <x v="1"/>
    <x v="0"/>
    <s v="Beer"/>
    <x v="2"/>
  </r>
  <r>
    <n v="10217"/>
    <s v="Howard"/>
    <s v="howard_freeman@yahoo.com"/>
    <x v="4"/>
    <n v="150"/>
    <n v="200"/>
    <x v="101"/>
    <n v="191400"/>
    <x v="109"/>
    <x v="1"/>
    <x v="2"/>
    <x v="8"/>
    <x v="0"/>
    <x v="0"/>
    <s v="Beer"/>
    <x v="2"/>
  </r>
  <r>
    <n v="10218"/>
    <s v="Parent"/>
    <s v="parentty@uk.com"/>
    <x v="5"/>
    <n v="80"/>
    <n v="150"/>
    <x v="63"/>
    <n v="115350"/>
    <x v="110"/>
    <x v="2"/>
    <x v="3"/>
    <x v="9"/>
    <x v="2"/>
    <x v="1"/>
    <s v="Malt"/>
    <x v="3"/>
  </r>
  <r>
    <n v="10219"/>
    <s v="Jones"/>
    <s v="jone.ai@yahoo.com"/>
    <x v="6"/>
    <n v="90"/>
    <n v="150"/>
    <x v="43"/>
    <n v="106500"/>
    <x v="111"/>
    <x v="3"/>
    <x v="4"/>
    <x v="10"/>
    <x v="0"/>
    <x v="1"/>
    <s v="Malt"/>
    <x v="3"/>
  </r>
  <r>
    <n v="10220"/>
    <s v="Smith"/>
    <s v="smithMan@yahoo.com"/>
    <x v="0"/>
    <n v="150"/>
    <n v="200"/>
    <x v="102"/>
    <n v="183400"/>
    <x v="112"/>
    <x v="4"/>
    <x v="5"/>
    <x v="11"/>
    <x v="0"/>
    <x v="1"/>
    <s v="Beer"/>
    <x v="3"/>
  </r>
  <r>
    <n v="10221"/>
    <s v="Jones"/>
    <s v="jone.ai@yahoo.com"/>
    <x v="1"/>
    <n v="250"/>
    <n v="500"/>
    <x v="68"/>
    <n v="363500"/>
    <x v="113"/>
    <x v="0"/>
    <x v="0"/>
    <x v="0"/>
    <x v="2"/>
    <x v="0"/>
    <s v="Beer"/>
    <x v="0"/>
  </r>
  <r>
    <n v="10222"/>
    <s v="Morgan"/>
    <s v="morganny@gmail.com"/>
    <x v="2"/>
    <n v="180"/>
    <n v="450"/>
    <x v="59"/>
    <n v="345600"/>
    <x v="114"/>
    <x v="1"/>
    <x v="1"/>
    <x v="1"/>
    <x v="1"/>
    <x v="0"/>
    <s v="Beer"/>
    <x v="0"/>
  </r>
  <r>
    <n v="10223"/>
    <s v="Jones"/>
    <s v="jone.ai@yahoo.com"/>
    <x v="3"/>
    <n v="170"/>
    <n v="250"/>
    <x v="34"/>
    <n v="217500"/>
    <x v="115"/>
    <x v="2"/>
    <x v="2"/>
    <x v="2"/>
    <x v="0"/>
    <x v="1"/>
    <s v="Beer"/>
    <x v="0"/>
  </r>
  <r>
    <n v="10224"/>
    <s v="Parent"/>
    <s v="parentty@uk.com"/>
    <x v="4"/>
    <n v="150"/>
    <n v="200"/>
    <x v="103"/>
    <n v="182800"/>
    <x v="116"/>
    <x v="3"/>
    <x v="3"/>
    <x v="3"/>
    <x v="0"/>
    <x v="1"/>
    <s v="Beer"/>
    <x v="1"/>
  </r>
  <r>
    <n v="10225"/>
    <s v="Kivell"/>
    <s v="kivel_go@yahoo.com"/>
    <x v="5"/>
    <n v="80"/>
    <n v="150"/>
    <x v="104"/>
    <n v="114450"/>
    <x v="117"/>
    <x v="4"/>
    <x v="4"/>
    <x v="4"/>
    <x v="0"/>
    <x v="1"/>
    <s v="Malt"/>
    <x v="1"/>
  </r>
  <r>
    <n v="10226"/>
    <s v="Smith"/>
    <s v="smithMan@yahoo.com"/>
    <x v="6"/>
    <n v="90"/>
    <n v="150"/>
    <x v="105"/>
    <n v="142650"/>
    <x v="118"/>
    <x v="0"/>
    <x v="5"/>
    <x v="5"/>
    <x v="2"/>
    <x v="0"/>
    <s v="Malt"/>
    <x v="1"/>
  </r>
  <r>
    <n v="10227"/>
    <s v="Parent"/>
    <s v="parentty@uk.com"/>
    <x v="0"/>
    <n v="150"/>
    <n v="200"/>
    <x v="106"/>
    <n v="162000"/>
    <x v="119"/>
    <x v="1"/>
    <x v="0"/>
    <x v="6"/>
    <x v="1"/>
    <x v="0"/>
    <s v="Beer"/>
    <x v="2"/>
  </r>
  <r>
    <n v="10228"/>
    <s v="Gill"/>
    <s v="gillhell@uk.com"/>
    <x v="1"/>
    <n v="250"/>
    <n v="500"/>
    <x v="107"/>
    <n v="443000"/>
    <x v="120"/>
    <x v="2"/>
    <x v="1"/>
    <x v="7"/>
    <x v="0"/>
    <x v="1"/>
    <s v="Beer"/>
    <x v="2"/>
  </r>
  <r>
    <n v="10229"/>
    <s v="Smith"/>
    <s v="smithMan@yahoo.com"/>
    <x v="2"/>
    <n v="180"/>
    <n v="450"/>
    <x v="108"/>
    <n v="442800"/>
    <x v="121"/>
    <x v="3"/>
    <x v="2"/>
    <x v="8"/>
    <x v="1"/>
    <x v="1"/>
    <s v="Beer"/>
    <x v="2"/>
  </r>
  <r>
    <n v="10230"/>
    <s v="Jones"/>
    <s v="jone.ai@yahoo.com"/>
    <x v="3"/>
    <n v="170"/>
    <n v="250"/>
    <x v="70"/>
    <n v="243500"/>
    <x v="122"/>
    <x v="4"/>
    <x v="3"/>
    <x v="9"/>
    <x v="2"/>
    <x v="1"/>
    <s v="Beer"/>
    <x v="3"/>
  </r>
  <r>
    <n v="10231"/>
    <s v="Sorvino"/>
    <s v="sorvi2000@gmail.com"/>
    <x v="4"/>
    <n v="150"/>
    <n v="200"/>
    <x v="109"/>
    <n v="180200"/>
    <x v="123"/>
    <x v="0"/>
    <x v="4"/>
    <x v="10"/>
    <x v="0"/>
    <x v="0"/>
    <s v="Beer"/>
    <x v="3"/>
  </r>
  <r>
    <n v="10232"/>
    <s v="Jardine"/>
    <s v="jard@gmail.com"/>
    <x v="5"/>
    <n v="80"/>
    <n v="150"/>
    <x v="110"/>
    <n v="140100"/>
    <x v="124"/>
    <x v="1"/>
    <x v="5"/>
    <x v="11"/>
    <x v="0"/>
    <x v="0"/>
    <s v="Malt"/>
    <x v="3"/>
  </r>
  <r>
    <n v="10233"/>
    <s v="Andrews"/>
    <s v="andy@gmail.com"/>
    <x v="6"/>
    <n v="90"/>
    <n v="150"/>
    <x v="50"/>
    <n v="124800"/>
    <x v="125"/>
    <x v="2"/>
    <x v="0"/>
    <x v="0"/>
    <x v="2"/>
    <x v="1"/>
    <s v="Malt"/>
    <x v="0"/>
  </r>
  <r>
    <n v="10234"/>
    <s v="Howard"/>
    <s v="howard_freeman@yahoo.com"/>
    <x v="0"/>
    <n v="150"/>
    <n v="200"/>
    <x v="111"/>
    <n v="168000"/>
    <x v="126"/>
    <x v="3"/>
    <x v="1"/>
    <x v="1"/>
    <x v="1"/>
    <x v="1"/>
    <s v="Beer"/>
    <x v="0"/>
  </r>
  <r>
    <n v="10235"/>
    <s v="Gill"/>
    <s v="gillhell@uk.com"/>
    <x v="1"/>
    <n v="250"/>
    <n v="500"/>
    <x v="112"/>
    <n v="483000"/>
    <x v="127"/>
    <x v="4"/>
    <x v="2"/>
    <x v="2"/>
    <x v="2"/>
    <x v="1"/>
    <s v="Beer"/>
    <x v="0"/>
  </r>
  <r>
    <n v="10236"/>
    <s v="Gill"/>
    <s v="gillhell@uk.com"/>
    <x v="2"/>
    <n v="180"/>
    <n v="450"/>
    <x v="50"/>
    <n v="374400"/>
    <x v="128"/>
    <x v="0"/>
    <x v="3"/>
    <x v="3"/>
    <x v="1"/>
    <x v="0"/>
    <s v="Beer"/>
    <x v="1"/>
  </r>
  <r>
    <n v="10237"/>
    <s v="Kivell"/>
    <s v="kivel_go@yahoo.com"/>
    <x v="3"/>
    <n v="170"/>
    <n v="250"/>
    <x v="113"/>
    <n v="242000"/>
    <x v="129"/>
    <x v="1"/>
    <x v="4"/>
    <x v="4"/>
    <x v="0"/>
    <x v="0"/>
    <s v="Beer"/>
    <x v="1"/>
  </r>
  <r>
    <n v="10238"/>
    <s v="Jones"/>
    <s v="jone.ai@yahoo.com"/>
    <x v="4"/>
    <n v="150"/>
    <n v="200"/>
    <x v="114"/>
    <n v="158200"/>
    <x v="130"/>
    <x v="2"/>
    <x v="5"/>
    <x v="5"/>
    <x v="0"/>
    <x v="1"/>
    <s v="Beer"/>
    <x v="1"/>
  </r>
  <r>
    <n v="10239"/>
    <s v="Morgan"/>
    <s v="morganny@gmail.com"/>
    <x v="5"/>
    <n v="80"/>
    <n v="150"/>
    <x v="115"/>
    <n v="116100"/>
    <x v="100"/>
    <x v="3"/>
    <x v="0"/>
    <x v="6"/>
    <x v="1"/>
    <x v="1"/>
    <s v="Malt"/>
    <x v="2"/>
  </r>
  <r>
    <n v="10240"/>
    <s v="Kivell"/>
    <s v="kivel_go@yahoo.com"/>
    <x v="6"/>
    <n v="90"/>
    <n v="150"/>
    <x v="116"/>
    <n v="148800"/>
    <x v="131"/>
    <x v="4"/>
    <x v="1"/>
    <x v="7"/>
    <x v="2"/>
    <x v="1"/>
    <s v="Malt"/>
    <x v="2"/>
  </r>
  <r>
    <n v="10241"/>
    <s v="Sorvino"/>
    <s v="sorvi2000@gmail.com"/>
    <x v="0"/>
    <n v="150"/>
    <n v="200"/>
    <x v="117"/>
    <n v="176200"/>
    <x v="132"/>
    <x v="0"/>
    <x v="2"/>
    <x v="8"/>
    <x v="1"/>
    <x v="0"/>
    <s v="Beer"/>
    <x v="2"/>
  </r>
  <r>
    <n v="10242"/>
    <s v="Gill"/>
    <s v="gillhell@uk.com"/>
    <x v="1"/>
    <n v="250"/>
    <n v="500"/>
    <x v="118"/>
    <n v="487500"/>
    <x v="133"/>
    <x v="1"/>
    <x v="3"/>
    <x v="9"/>
    <x v="2"/>
    <x v="0"/>
    <s v="Beer"/>
    <x v="3"/>
  </r>
  <r>
    <n v="10243"/>
    <s v="Sorvino"/>
    <s v="sorvi2000@gmail.com"/>
    <x v="2"/>
    <n v="180"/>
    <n v="450"/>
    <x v="119"/>
    <n v="329850"/>
    <x v="134"/>
    <x v="2"/>
    <x v="4"/>
    <x v="10"/>
    <x v="1"/>
    <x v="1"/>
    <s v="Beer"/>
    <x v="3"/>
  </r>
  <r>
    <n v="10244"/>
    <s v="Thompson"/>
    <s v="thomp@uk.com"/>
    <x v="3"/>
    <n v="170"/>
    <n v="250"/>
    <x v="54"/>
    <n v="194000"/>
    <x v="135"/>
    <x v="3"/>
    <x v="5"/>
    <x v="11"/>
    <x v="2"/>
    <x v="1"/>
    <s v="Beer"/>
    <x v="3"/>
  </r>
  <r>
    <n v="10245"/>
    <s v="Andrews"/>
    <s v="andy@gmail.com"/>
    <x v="4"/>
    <n v="150"/>
    <n v="200"/>
    <x v="120"/>
    <n v="184800"/>
    <x v="136"/>
    <x v="4"/>
    <x v="0"/>
    <x v="0"/>
    <x v="0"/>
    <x v="1"/>
    <s v="Beer"/>
    <x v="0"/>
  </r>
  <r>
    <n v="10246"/>
    <s v="Jardine"/>
    <s v="jard@gmail.com"/>
    <x v="5"/>
    <n v="80"/>
    <n v="150"/>
    <x v="121"/>
    <n v="111600"/>
    <x v="137"/>
    <x v="0"/>
    <x v="1"/>
    <x v="1"/>
    <x v="0"/>
    <x v="0"/>
    <s v="Malt"/>
    <x v="0"/>
  </r>
  <r>
    <n v="10247"/>
    <s v="Jardine"/>
    <s v="jard@gmail.com"/>
    <x v="6"/>
    <n v="90"/>
    <n v="150"/>
    <x v="122"/>
    <n v="113100"/>
    <x v="138"/>
    <x v="1"/>
    <x v="2"/>
    <x v="2"/>
    <x v="0"/>
    <x v="0"/>
    <s v="Malt"/>
    <x v="0"/>
  </r>
  <r>
    <n v="10248"/>
    <s v="Andrews"/>
    <s v="andy@gmail.com"/>
    <x v="0"/>
    <n v="150"/>
    <n v="200"/>
    <x v="123"/>
    <n v="158400"/>
    <x v="139"/>
    <x v="2"/>
    <x v="3"/>
    <x v="3"/>
    <x v="0"/>
    <x v="1"/>
    <s v="Beer"/>
    <x v="1"/>
  </r>
  <r>
    <n v="10249"/>
    <s v="Jardine"/>
    <s v="jard@gmail.com"/>
    <x v="1"/>
    <n v="250"/>
    <n v="500"/>
    <x v="124"/>
    <n v="419000"/>
    <x v="140"/>
    <x v="3"/>
    <x v="4"/>
    <x v="4"/>
    <x v="2"/>
    <x v="1"/>
    <s v="Beer"/>
    <x v="1"/>
  </r>
  <r>
    <n v="10250"/>
    <s v="Gill"/>
    <s v="gillhell@uk.com"/>
    <x v="2"/>
    <n v="180"/>
    <n v="450"/>
    <x v="125"/>
    <n v="433350"/>
    <x v="141"/>
    <x v="4"/>
    <x v="5"/>
    <x v="5"/>
    <x v="2"/>
    <x v="1"/>
    <s v="Beer"/>
    <x v="1"/>
  </r>
  <r>
    <n v="10251"/>
    <s v="Sorvino"/>
    <s v="sorvi2000@gmail.com"/>
    <x v="3"/>
    <n v="170"/>
    <n v="250"/>
    <x v="126"/>
    <n v="248750"/>
    <x v="142"/>
    <x v="0"/>
    <x v="0"/>
    <x v="6"/>
    <x v="2"/>
    <x v="0"/>
    <s v="Beer"/>
    <x v="2"/>
  </r>
  <r>
    <n v="10252"/>
    <s v="Jones"/>
    <s v="jone.ai@yahoo.com"/>
    <x v="4"/>
    <n v="150"/>
    <n v="200"/>
    <x v="127"/>
    <n v="188200"/>
    <x v="143"/>
    <x v="1"/>
    <x v="1"/>
    <x v="7"/>
    <x v="2"/>
    <x v="0"/>
    <s v="Beer"/>
    <x v="2"/>
  </r>
  <r>
    <n v="10253"/>
    <s v="Andrews"/>
    <s v="andy@gmail.com"/>
    <x v="5"/>
    <n v="80"/>
    <n v="150"/>
    <x v="128"/>
    <n v="139500"/>
    <x v="144"/>
    <x v="2"/>
    <x v="2"/>
    <x v="8"/>
    <x v="1"/>
    <x v="1"/>
    <s v="Malt"/>
    <x v="2"/>
  </r>
  <r>
    <n v="10254"/>
    <s v="Jardine"/>
    <s v="jard@gmail.com"/>
    <x v="6"/>
    <n v="90"/>
    <n v="150"/>
    <x v="61"/>
    <n v="117000"/>
    <x v="145"/>
    <x v="3"/>
    <x v="3"/>
    <x v="9"/>
    <x v="0"/>
    <x v="1"/>
    <s v="Malt"/>
    <x v="3"/>
  </r>
  <r>
    <n v="10255"/>
    <s v="Thompson"/>
    <s v="thomp@uk.com"/>
    <x v="0"/>
    <n v="150"/>
    <n v="200"/>
    <x v="72"/>
    <n v="145800"/>
    <x v="146"/>
    <x v="4"/>
    <x v="4"/>
    <x v="10"/>
    <x v="0"/>
    <x v="1"/>
    <s v="Beer"/>
    <x v="3"/>
  </r>
  <r>
    <n v="10256"/>
    <s v="Jones"/>
    <s v="jone.ai@yahoo.com"/>
    <x v="1"/>
    <n v="250"/>
    <n v="500"/>
    <x v="129"/>
    <n v="454500"/>
    <x v="147"/>
    <x v="0"/>
    <x v="5"/>
    <x v="11"/>
    <x v="0"/>
    <x v="0"/>
    <s v="Beer"/>
    <x v="3"/>
  </r>
  <r>
    <n v="10257"/>
    <s v="Morgan"/>
    <s v="morganny@gmail.com"/>
    <x v="2"/>
    <n v="180"/>
    <n v="450"/>
    <x v="130"/>
    <n v="432450"/>
    <x v="148"/>
    <x v="1"/>
    <x v="0"/>
    <x v="0"/>
    <x v="1"/>
    <x v="0"/>
    <s v="Beer"/>
    <x v="0"/>
  </r>
  <r>
    <n v="10258"/>
    <s v="Howard"/>
    <s v="howard_freeman@yahoo.com"/>
    <x v="3"/>
    <n v="170"/>
    <n v="250"/>
    <x v="72"/>
    <n v="182250"/>
    <x v="149"/>
    <x v="2"/>
    <x v="1"/>
    <x v="1"/>
    <x v="1"/>
    <x v="1"/>
    <s v="Beer"/>
    <x v="0"/>
  </r>
  <r>
    <n v="10259"/>
    <s v="Parent"/>
    <s v="parentty@uk.com"/>
    <x v="4"/>
    <n v="150"/>
    <n v="200"/>
    <x v="131"/>
    <n v="188800"/>
    <x v="150"/>
    <x v="3"/>
    <x v="2"/>
    <x v="2"/>
    <x v="0"/>
    <x v="1"/>
    <s v="Beer"/>
    <x v="0"/>
  </r>
  <r>
    <n v="10260"/>
    <s v="Jones"/>
    <s v="jone.ai@yahoo.com"/>
    <x v="5"/>
    <n v="80"/>
    <n v="150"/>
    <x v="83"/>
    <n v="147150"/>
    <x v="151"/>
    <x v="4"/>
    <x v="3"/>
    <x v="3"/>
    <x v="2"/>
    <x v="1"/>
    <s v="Malt"/>
    <x v="1"/>
  </r>
  <r>
    <n v="10261"/>
    <s v="Smith"/>
    <s v="smithMan@yahoo.com"/>
    <x v="6"/>
    <n v="90"/>
    <n v="150"/>
    <x v="104"/>
    <n v="114450"/>
    <x v="152"/>
    <x v="0"/>
    <x v="4"/>
    <x v="4"/>
    <x v="1"/>
    <x v="0"/>
    <s v="Malt"/>
    <x v="1"/>
  </r>
  <r>
    <n v="10262"/>
    <s v="Jones"/>
    <s v="jone.ai@yahoo.com"/>
    <x v="0"/>
    <n v="150"/>
    <n v="200"/>
    <x v="132"/>
    <n v="177000"/>
    <x v="153"/>
    <x v="1"/>
    <x v="5"/>
    <x v="5"/>
    <x v="2"/>
    <x v="0"/>
    <s v="Beer"/>
    <x v="1"/>
  </r>
  <r>
    <n v="10263"/>
    <s v="Morgan"/>
    <s v="morganny@gmail.com"/>
    <x v="1"/>
    <n v="250"/>
    <n v="500"/>
    <x v="133"/>
    <n v="427000"/>
    <x v="154"/>
    <x v="2"/>
    <x v="0"/>
    <x v="6"/>
    <x v="1"/>
    <x v="1"/>
    <s v="Beer"/>
    <x v="2"/>
  </r>
  <r>
    <n v="10264"/>
    <s v="Jones"/>
    <s v="jone.ai@yahoo.com"/>
    <x v="2"/>
    <n v="180"/>
    <n v="450"/>
    <x v="68"/>
    <n v="327150"/>
    <x v="70"/>
    <x v="3"/>
    <x v="1"/>
    <x v="7"/>
    <x v="1"/>
    <x v="1"/>
    <s v="Beer"/>
    <x v="2"/>
  </r>
  <r>
    <n v="10265"/>
    <s v="Parent"/>
    <s v="parentty@uk.com"/>
    <x v="3"/>
    <n v="170"/>
    <n v="250"/>
    <x v="134"/>
    <n v="247750"/>
    <x v="155"/>
    <x v="4"/>
    <x v="2"/>
    <x v="8"/>
    <x v="1"/>
    <x v="1"/>
    <s v="Beer"/>
    <x v="2"/>
  </r>
  <r>
    <n v="10266"/>
    <s v="Kivell"/>
    <s v="kivel_go@yahoo.com"/>
    <x v="4"/>
    <n v="150"/>
    <n v="200"/>
    <x v="123"/>
    <n v="158400"/>
    <x v="139"/>
    <x v="0"/>
    <x v="3"/>
    <x v="9"/>
    <x v="0"/>
    <x v="0"/>
    <s v="Beer"/>
    <x v="3"/>
  </r>
  <r>
    <n v="10267"/>
    <s v="Smith"/>
    <s v="smithMan@yahoo.com"/>
    <x v="5"/>
    <n v="80"/>
    <n v="150"/>
    <x v="19"/>
    <n v="134700"/>
    <x v="156"/>
    <x v="1"/>
    <x v="4"/>
    <x v="10"/>
    <x v="0"/>
    <x v="0"/>
    <s v="Malt"/>
    <x v="3"/>
  </r>
  <r>
    <n v="10268"/>
    <s v="Parent"/>
    <s v="parentty@uk.com"/>
    <x v="6"/>
    <n v="90"/>
    <n v="150"/>
    <x v="28"/>
    <n v="141750"/>
    <x v="157"/>
    <x v="2"/>
    <x v="5"/>
    <x v="11"/>
    <x v="0"/>
    <x v="1"/>
    <s v="Malt"/>
    <x v="3"/>
  </r>
  <r>
    <n v="10269"/>
    <s v="Gill"/>
    <s v="gillhell@uk.com"/>
    <x v="0"/>
    <n v="150"/>
    <n v="200"/>
    <x v="135"/>
    <n v="162800"/>
    <x v="158"/>
    <x v="3"/>
    <x v="0"/>
    <x v="0"/>
    <x v="0"/>
    <x v="1"/>
    <s v="Beer"/>
    <x v="0"/>
  </r>
  <r>
    <n v="10270"/>
    <s v="Smith"/>
    <s v="smithMan@yahoo.com"/>
    <x v="1"/>
    <n v="250"/>
    <n v="500"/>
    <x v="136"/>
    <n v="431500"/>
    <x v="159"/>
    <x v="4"/>
    <x v="1"/>
    <x v="1"/>
    <x v="1"/>
    <x v="1"/>
    <s v="Beer"/>
    <x v="0"/>
  </r>
  <r>
    <n v="10271"/>
    <s v="Jones"/>
    <s v="jone.ai@yahoo.com"/>
    <x v="2"/>
    <n v="180"/>
    <n v="450"/>
    <x v="137"/>
    <n v="373050"/>
    <x v="160"/>
    <x v="0"/>
    <x v="2"/>
    <x v="2"/>
    <x v="0"/>
    <x v="0"/>
    <s v="Beer"/>
    <x v="0"/>
  </r>
  <r>
    <n v="10272"/>
    <s v="Sorvino"/>
    <s v="sorvi2000@gmail.com"/>
    <x v="3"/>
    <n v="170"/>
    <n v="250"/>
    <x v="138"/>
    <n v="186750"/>
    <x v="161"/>
    <x v="1"/>
    <x v="3"/>
    <x v="3"/>
    <x v="2"/>
    <x v="0"/>
    <s v="Beer"/>
    <x v="1"/>
  </r>
  <r>
    <n v="10273"/>
    <s v="Jardine"/>
    <s v="jard@gmail.com"/>
    <x v="4"/>
    <n v="150"/>
    <n v="200"/>
    <x v="130"/>
    <n v="192200"/>
    <x v="162"/>
    <x v="2"/>
    <x v="4"/>
    <x v="4"/>
    <x v="1"/>
    <x v="1"/>
    <s v="Beer"/>
    <x v="1"/>
  </r>
  <r>
    <n v="10274"/>
    <s v="Andrews"/>
    <s v="andy@gmail.com"/>
    <x v="5"/>
    <n v="80"/>
    <n v="150"/>
    <x v="139"/>
    <n v="120450"/>
    <x v="163"/>
    <x v="3"/>
    <x v="5"/>
    <x v="5"/>
    <x v="0"/>
    <x v="1"/>
    <s v="Malt"/>
    <x v="1"/>
  </r>
  <r>
    <n v="10275"/>
    <s v="Howard"/>
    <s v="howard_freeman@yahoo.com"/>
    <x v="6"/>
    <n v="90"/>
    <n v="150"/>
    <x v="27"/>
    <n v="131250"/>
    <x v="164"/>
    <x v="4"/>
    <x v="0"/>
    <x v="6"/>
    <x v="2"/>
    <x v="1"/>
    <s v="Malt"/>
    <x v="2"/>
  </r>
  <r>
    <n v="10276"/>
    <s v="Gill"/>
    <s v="gillhell@uk.com"/>
    <x v="0"/>
    <n v="150"/>
    <n v="200"/>
    <x v="140"/>
    <n v="150000"/>
    <x v="165"/>
    <x v="0"/>
    <x v="1"/>
    <x v="7"/>
    <x v="1"/>
    <x v="0"/>
    <s v="Beer"/>
    <x v="2"/>
  </r>
  <r>
    <n v="10277"/>
    <s v="Gill"/>
    <s v="gillhell@uk.com"/>
    <x v="1"/>
    <n v="250"/>
    <n v="500"/>
    <x v="141"/>
    <n v="425000"/>
    <x v="166"/>
    <x v="1"/>
    <x v="2"/>
    <x v="8"/>
    <x v="2"/>
    <x v="0"/>
    <s v="Beer"/>
    <x v="2"/>
  </r>
  <r>
    <n v="10278"/>
    <s v="Kivell"/>
    <s v="kivel_go@yahoo.com"/>
    <x v="2"/>
    <n v="180"/>
    <n v="450"/>
    <x v="43"/>
    <n v="319500"/>
    <x v="167"/>
    <x v="2"/>
    <x v="3"/>
    <x v="9"/>
    <x v="1"/>
    <x v="1"/>
    <s v="Beer"/>
    <x v="3"/>
  </r>
  <r>
    <n v="10279"/>
    <s v="Jones"/>
    <s v="jone.ai@yahoo.com"/>
    <x v="3"/>
    <n v="170"/>
    <n v="250"/>
    <x v="117"/>
    <n v="220250"/>
    <x v="168"/>
    <x v="3"/>
    <x v="4"/>
    <x v="10"/>
    <x v="2"/>
    <x v="1"/>
    <s v="Beer"/>
    <x v="3"/>
  </r>
  <r>
    <n v="10280"/>
    <s v="Morgan"/>
    <s v="morganny@gmail.com"/>
    <x v="4"/>
    <n v="150"/>
    <n v="200"/>
    <x v="96"/>
    <n v="155400"/>
    <x v="104"/>
    <x v="4"/>
    <x v="5"/>
    <x v="11"/>
    <x v="1"/>
    <x v="1"/>
    <s v="Beer"/>
    <x v="3"/>
  </r>
  <r>
    <n v="10281"/>
    <s v="Kivell"/>
    <s v="kivel_go@yahoo.com"/>
    <x v="5"/>
    <n v="80"/>
    <n v="150"/>
    <x v="142"/>
    <n v="106200"/>
    <x v="169"/>
    <x v="0"/>
    <x v="0"/>
    <x v="0"/>
    <x v="2"/>
    <x v="0"/>
    <s v="Malt"/>
    <x v="0"/>
  </r>
  <r>
    <n v="10282"/>
    <s v="Sorvino"/>
    <s v="sorvi2000@gmail.com"/>
    <x v="6"/>
    <n v="90"/>
    <n v="150"/>
    <x v="18"/>
    <n v="149400"/>
    <x v="161"/>
    <x v="1"/>
    <x v="1"/>
    <x v="1"/>
    <x v="0"/>
    <x v="0"/>
    <s v="Malt"/>
    <x v="0"/>
  </r>
  <r>
    <n v="10283"/>
    <s v="Gill"/>
    <s v="gillhell@uk.com"/>
    <x v="0"/>
    <n v="150"/>
    <n v="200"/>
    <x v="34"/>
    <n v="174000"/>
    <x v="34"/>
    <x v="2"/>
    <x v="2"/>
    <x v="2"/>
    <x v="0"/>
    <x v="1"/>
    <s v="Beer"/>
    <x v="0"/>
  </r>
  <r>
    <n v="10284"/>
    <s v="Sorvino"/>
    <s v="sorvi2000@gmail.com"/>
    <x v="1"/>
    <n v="250"/>
    <n v="500"/>
    <x v="143"/>
    <n v="486000"/>
    <x v="170"/>
    <x v="3"/>
    <x v="3"/>
    <x v="3"/>
    <x v="0"/>
    <x v="1"/>
    <s v="Beer"/>
    <x v="1"/>
  </r>
  <r>
    <n v="10285"/>
    <s v="Thompson"/>
    <s v="thomp@uk.com"/>
    <x v="2"/>
    <n v="180"/>
    <n v="450"/>
    <x v="144"/>
    <n v="445050"/>
    <x v="171"/>
    <x v="4"/>
    <x v="4"/>
    <x v="4"/>
    <x v="1"/>
    <x v="1"/>
    <s v="Beer"/>
    <x v="1"/>
  </r>
  <r>
    <n v="10286"/>
    <s v="Andrews"/>
    <s v="andy@gmail.com"/>
    <x v="3"/>
    <n v="170"/>
    <n v="250"/>
    <x v="145"/>
    <n v="234000"/>
    <x v="172"/>
    <x v="0"/>
    <x v="5"/>
    <x v="5"/>
    <x v="1"/>
    <x v="0"/>
    <s v="Beer"/>
    <x v="1"/>
  </r>
  <r>
    <n v="10287"/>
    <s v="Jardine"/>
    <s v="jard@gmail.com"/>
    <x v="4"/>
    <n v="150"/>
    <n v="200"/>
    <x v="31"/>
    <n v="200000"/>
    <x v="31"/>
    <x v="1"/>
    <x v="0"/>
    <x v="6"/>
    <x v="2"/>
    <x v="0"/>
    <s v="Beer"/>
    <x v="2"/>
  </r>
  <r>
    <n v="10288"/>
    <s v="Jardine"/>
    <s v="jard@gmail.com"/>
    <x v="5"/>
    <n v="80"/>
    <n v="150"/>
    <x v="146"/>
    <n v="142050"/>
    <x v="173"/>
    <x v="2"/>
    <x v="1"/>
    <x v="7"/>
    <x v="1"/>
    <x v="1"/>
    <s v="Malt"/>
    <x v="2"/>
  </r>
  <r>
    <n v="10289"/>
    <s v="Andrews"/>
    <s v="andy@gmail.com"/>
    <x v="6"/>
    <n v="90"/>
    <n v="150"/>
    <x v="147"/>
    <n v="114300"/>
    <x v="174"/>
    <x v="3"/>
    <x v="2"/>
    <x v="8"/>
    <x v="0"/>
    <x v="1"/>
    <s v="Malt"/>
    <x v="2"/>
  </r>
  <r>
    <n v="10290"/>
    <s v="Jones"/>
    <s v="jone.ai@yahoo.com"/>
    <x v="0"/>
    <n v="150"/>
    <n v="200"/>
    <x v="148"/>
    <n v="148400"/>
    <x v="175"/>
    <x v="4"/>
    <x v="3"/>
    <x v="9"/>
    <x v="2"/>
    <x v="1"/>
    <s v="Beer"/>
    <x v="3"/>
  </r>
  <r>
    <n v="10291"/>
    <s v="Morgan"/>
    <s v="morganny@gmail.com"/>
    <x v="1"/>
    <n v="250"/>
    <n v="500"/>
    <x v="11"/>
    <n v="451000"/>
    <x v="176"/>
    <x v="0"/>
    <x v="4"/>
    <x v="10"/>
    <x v="0"/>
    <x v="0"/>
    <s v="Beer"/>
    <x v="3"/>
  </r>
  <r>
    <n v="10292"/>
    <s v="Kivell"/>
    <s v="kivel_go@yahoo.com"/>
    <x v="2"/>
    <n v="180"/>
    <n v="450"/>
    <x v="111"/>
    <n v="378000"/>
    <x v="177"/>
    <x v="1"/>
    <x v="5"/>
    <x v="11"/>
    <x v="1"/>
    <x v="0"/>
    <s v="Beer"/>
    <x v="3"/>
  </r>
  <r>
    <n v="10293"/>
    <s v="Sorvino"/>
    <s v="sorvi2000@gmail.com"/>
    <x v="3"/>
    <n v="170"/>
    <n v="250"/>
    <x v="77"/>
    <n v="193250"/>
    <x v="178"/>
    <x v="2"/>
    <x v="0"/>
    <x v="0"/>
    <x v="2"/>
    <x v="1"/>
    <s v="Beer"/>
    <x v="0"/>
  </r>
  <r>
    <n v="10294"/>
    <s v="Gill"/>
    <s v="gillhell@uk.com"/>
    <x v="4"/>
    <n v="150"/>
    <n v="200"/>
    <x v="110"/>
    <n v="186800"/>
    <x v="179"/>
    <x v="3"/>
    <x v="1"/>
    <x v="1"/>
    <x v="1"/>
    <x v="1"/>
    <s v="Beer"/>
    <x v="0"/>
  </r>
  <r>
    <n v="10295"/>
    <s v="Sorvino"/>
    <s v="sorvi2000@gmail.com"/>
    <x v="5"/>
    <n v="80"/>
    <n v="150"/>
    <x v="149"/>
    <n v="147450"/>
    <x v="180"/>
    <x v="4"/>
    <x v="2"/>
    <x v="2"/>
    <x v="2"/>
    <x v="1"/>
    <s v="Malt"/>
    <x v="0"/>
  </r>
  <r>
    <n v="10296"/>
    <s v="Thompson"/>
    <s v="thomp@uk.com"/>
    <x v="6"/>
    <n v="90"/>
    <n v="150"/>
    <x v="72"/>
    <n v="109350"/>
    <x v="74"/>
    <x v="0"/>
    <x v="3"/>
    <x v="3"/>
    <x v="1"/>
    <x v="0"/>
    <s v="Malt"/>
    <x v="1"/>
  </r>
  <r>
    <n v="10297"/>
    <s v="Andrews"/>
    <s v="andy@gmail.com"/>
    <x v="0"/>
    <n v="150"/>
    <n v="200"/>
    <x v="150"/>
    <n v="157200"/>
    <x v="181"/>
    <x v="1"/>
    <x v="4"/>
    <x v="4"/>
    <x v="2"/>
    <x v="0"/>
    <s v="Beer"/>
    <x v="1"/>
  </r>
  <r>
    <n v="10298"/>
    <s v="Jardine"/>
    <s v="jard@gmail.com"/>
    <x v="1"/>
    <n v="250"/>
    <n v="500"/>
    <x v="13"/>
    <n v="421500"/>
    <x v="182"/>
    <x v="2"/>
    <x v="5"/>
    <x v="5"/>
    <x v="1"/>
    <x v="1"/>
    <s v="Beer"/>
    <x v="1"/>
  </r>
  <r>
    <n v="10299"/>
    <s v="Jardine"/>
    <s v="jard@gmail.com"/>
    <x v="2"/>
    <n v="180"/>
    <n v="450"/>
    <x v="151"/>
    <n v="403650"/>
    <x v="183"/>
    <x v="3"/>
    <x v="0"/>
    <x v="6"/>
    <x v="2"/>
    <x v="1"/>
    <s v="Beer"/>
    <x v="2"/>
  </r>
  <r>
    <n v="10300"/>
    <s v="Andrews"/>
    <s v="andy@gmail.com"/>
    <x v="3"/>
    <n v="170"/>
    <n v="250"/>
    <x v="119"/>
    <n v="183250"/>
    <x v="184"/>
    <x v="4"/>
    <x v="1"/>
    <x v="7"/>
    <x v="1"/>
    <x v="1"/>
    <s v="Beer"/>
    <x v="2"/>
  </r>
  <r>
    <n v="10301"/>
    <s v="Jardine"/>
    <s v="jard@gmail.com"/>
    <x v="4"/>
    <n v="150"/>
    <n v="200"/>
    <x v="14"/>
    <n v="187800"/>
    <x v="14"/>
    <x v="0"/>
    <x v="2"/>
    <x v="8"/>
    <x v="0"/>
    <x v="0"/>
    <s v="Beer"/>
    <x v="2"/>
  </r>
  <r>
    <n v="10302"/>
    <s v="Gill"/>
    <s v="gillhell@uk.com"/>
    <x v="5"/>
    <n v="80"/>
    <n v="150"/>
    <x v="4"/>
    <n v="125400"/>
    <x v="185"/>
    <x v="1"/>
    <x v="3"/>
    <x v="9"/>
    <x v="2"/>
    <x v="0"/>
    <s v="Malt"/>
    <x v="3"/>
  </r>
  <r>
    <n v="10303"/>
    <s v="Sorvino"/>
    <s v="sorvi2000@gmail.com"/>
    <x v="6"/>
    <n v="90"/>
    <n v="150"/>
    <x v="98"/>
    <n v="131100"/>
    <x v="106"/>
    <x v="2"/>
    <x v="4"/>
    <x v="10"/>
    <x v="1"/>
    <x v="1"/>
    <s v="Malt"/>
    <x v="3"/>
  </r>
  <r>
    <n v="10304"/>
    <s v="Jones"/>
    <s v="jone.ai@yahoo.com"/>
    <x v="0"/>
    <n v="150"/>
    <n v="200"/>
    <x v="152"/>
    <n v="152800"/>
    <x v="186"/>
    <x v="3"/>
    <x v="5"/>
    <x v="11"/>
    <x v="1"/>
    <x v="1"/>
    <s v="Beer"/>
    <x v="3"/>
  </r>
  <r>
    <n v="10305"/>
    <s v="Andrews"/>
    <s v="andy@gmail.com"/>
    <x v="1"/>
    <n v="250"/>
    <n v="500"/>
    <x v="26"/>
    <n v="460000"/>
    <x v="187"/>
    <x v="4"/>
    <x v="0"/>
    <x v="0"/>
    <x v="0"/>
    <x v="1"/>
    <s v="Beer"/>
    <x v="0"/>
  </r>
  <r>
    <n v="10306"/>
    <s v="Jardine"/>
    <s v="jard@gmail.com"/>
    <x v="2"/>
    <n v="180"/>
    <n v="450"/>
    <x v="36"/>
    <n v="427500"/>
    <x v="36"/>
    <x v="0"/>
    <x v="1"/>
    <x v="1"/>
    <x v="2"/>
    <x v="0"/>
    <s v="Beer"/>
    <x v="0"/>
  </r>
  <r>
    <n v="10307"/>
    <s v="Thompson"/>
    <s v="thomp@uk.com"/>
    <x v="3"/>
    <n v="170"/>
    <n v="250"/>
    <x v="153"/>
    <n v="210250"/>
    <x v="188"/>
    <x v="1"/>
    <x v="2"/>
    <x v="2"/>
    <x v="2"/>
    <x v="0"/>
    <s v="Beer"/>
    <x v="0"/>
  </r>
  <r>
    <n v="10308"/>
    <s v="Jones"/>
    <s v="jone.ai@yahoo.com"/>
    <x v="4"/>
    <n v="150"/>
    <n v="200"/>
    <x v="42"/>
    <n v="160200"/>
    <x v="189"/>
    <x v="2"/>
    <x v="3"/>
    <x v="3"/>
    <x v="2"/>
    <x v="1"/>
    <s v="Beer"/>
    <x v="1"/>
  </r>
  <r>
    <n v="10309"/>
    <s v="Morgan"/>
    <s v="morganny@gmail.com"/>
    <x v="5"/>
    <n v="80"/>
    <n v="150"/>
    <x v="154"/>
    <n v="130050"/>
    <x v="190"/>
    <x v="3"/>
    <x v="4"/>
    <x v="4"/>
    <x v="1"/>
    <x v="1"/>
    <s v="Malt"/>
    <x v="1"/>
  </r>
  <r>
    <n v="10310"/>
    <s v="Howard"/>
    <s v="howard_freeman@yahoo.com"/>
    <x v="6"/>
    <n v="90"/>
    <n v="150"/>
    <x v="155"/>
    <n v="108150"/>
    <x v="191"/>
    <x v="4"/>
    <x v="5"/>
    <x v="5"/>
    <x v="2"/>
    <x v="1"/>
    <s v="Malt"/>
    <x v="1"/>
  </r>
  <r>
    <n v="10311"/>
    <s v="Parent"/>
    <s v="parentty@uk.com"/>
    <x v="0"/>
    <n v="150"/>
    <n v="200"/>
    <x v="156"/>
    <n v="151000"/>
    <x v="192"/>
    <x v="0"/>
    <x v="0"/>
    <x v="6"/>
    <x v="2"/>
    <x v="0"/>
    <s v="Beer"/>
    <x v="2"/>
  </r>
  <r>
    <n v="10312"/>
    <s v="Jones"/>
    <s v="jone.ai@yahoo.com"/>
    <x v="1"/>
    <n v="250"/>
    <n v="500"/>
    <x v="2"/>
    <n v="468500"/>
    <x v="193"/>
    <x v="1"/>
    <x v="1"/>
    <x v="7"/>
    <x v="1"/>
    <x v="0"/>
    <s v="Beer"/>
    <x v="2"/>
  </r>
  <r>
    <n v="10313"/>
    <s v="Smith"/>
    <s v="smithMan@yahoo.com"/>
    <x v="2"/>
    <n v="180"/>
    <n v="450"/>
    <x v="157"/>
    <n v="389250"/>
    <x v="194"/>
    <x v="2"/>
    <x v="2"/>
    <x v="8"/>
    <x v="2"/>
    <x v="1"/>
    <s v="Beer"/>
    <x v="2"/>
  </r>
  <r>
    <n v="10314"/>
    <s v="Jones"/>
    <s v="jone.ai@yahoo.com"/>
    <x v="3"/>
    <n v="170"/>
    <n v="250"/>
    <x v="60"/>
    <n v="184000"/>
    <x v="195"/>
    <x v="3"/>
    <x v="3"/>
    <x v="9"/>
    <x v="1"/>
    <x v="1"/>
    <s v="Beer"/>
    <x v="3"/>
  </r>
  <r>
    <n v="10315"/>
    <s v="Jardine"/>
    <s v="jard@gmail.com"/>
    <x v="4"/>
    <n v="150"/>
    <n v="200"/>
    <x v="25"/>
    <n v="196400"/>
    <x v="196"/>
    <x v="4"/>
    <x v="4"/>
    <x v="10"/>
    <x v="2"/>
    <x v="1"/>
    <s v="Beer"/>
    <x v="3"/>
  </r>
  <r>
    <n v="10316"/>
    <s v="Gill"/>
    <s v="gillhell@uk.com"/>
    <x v="5"/>
    <n v="80"/>
    <n v="150"/>
    <x v="141"/>
    <n v="127500"/>
    <x v="197"/>
    <x v="0"/>
    <x v="5"/>
    <x v="11"/>
    <x v="2"/>
    <x v="0"/>
    <s v="Malt"/>
    <x v="3"/>
  </r>
  <r>
    <n v="10317"/>
    <s v="Sorvino"/>
    <s v="sorvi2000@gmail.com"/>
    <x v="6"/>
    <n v="90"/>
    <n v="150"/>
    <x v="122"/>
    <n v="113100"/>
    <x v="138"/>
    <x v="1"/>
    <x v="0"/>
    <x v="0"/>
    <x v="2"/>
    <x v="0"/>
    <s v="Malt"/>
    <x v="0"/>
  </r>
  <r>
    <n v="10318"/>
    <s v="Jones"/>
    <s v="jone.ai@yahoo.com"/>
    <x v="0"/>
    <n v="150"/>
    <n v="200"/>
    <x v="158"/>
    <n v="182400"/>
    <x v="198"/>
    <x v="2"/>
    <x v="1"/>
    <x v="1"/>
    <x v="1"/>
    <x v="1"/>
    <s v="Beer"/>
    <x v="0"/>
  </r>
  <r>
    <n v="10319"/>
    <s v="Andrews"/>
    <s v="andy@gmail.com"/>
    <x v="1"/>
    <n v="250"/>
    <n v="500"/>
    <x v="117"/>
    <n v="440500"/>
    <x v="199"/>
    <x v="3"/>
    <x v="2"/>
    <x v="2"/>
    <x v="2"/>
    <x v="1"/>
    <s v="Beer"/>
    <x v="0"/>
  </r>
  <r>
    <n v="10320"/>
    <s v="Jardine"/>
    <s v="jard@gmail.com"/>
    <x v="2"/>
    <n v="180"/>
    <n v="450"/>
    <x v="159"/>
    <n v="368100"/>
    <x v="200"/>
    <x v="4"/>
    <x v="3"/>
    <x v="3"/>
    <x v="2"/>
    <x v="1"/>
    <s v="Beer"/>
    <x v="1"/>
  </r>
  <r>
    <n v="10321"/>
    <s v="Thompson"/>
    <s v="thomp@uk.com"/>
    <x v="3"/>
    <n v="170"/>
    <n v="250"/>
    <x v="46"/>
    <n v="195250"/>
    <x v="201"/>
    <x v="0"/>
    <x v="4"/>
    <x v="4"/>
    <x v="2"/>
    <x v="0"/>
    <s v="Beer"/>
    <x v="1"/>
  </r>
  <r>
    <n v="10322"/>
    <s v="Jones"/>
    <s v="jone.ai@yahoo.com"/>
    <x v="4"/>
    <n v="150"/>
    <n v="200"/>
    <x v="17"/>
    <n v="182000"/>
    <x v="202"/>
    <x v="1"/>
    <x v="5"/>
    <x v="5"/>
    <x v="1"/>
    <x v="0"/>
    <s v="Beer"/>
    <x v="1"/>
  </r>
  <r>
    <n v="10323"/>
    <s v="Morgan"/>
    <s v="morganny@gmail.com"/>
    <x v="5"/>
    <n v="80"/>
    <n v="150"/>
    <x v="79"/>
    <n v="105600"/>
    <x v="203"/>
    <x v="2"/>
    <x v="0"/>
    <x v="6"/>
    <x v="0"/>
    <x v="1"/>
    <s v="Malt"/>
    <x v="2"/>
  </r>
  <r>
    <n v="10324"/>
    <s v="Howard"/>
    <s v="howard_freeman@yahoo.com"/>
    <x v="6"/>
    <n v="90"/>
    <n v="150"/>
    <x v="160"/>
    <n v="123600"/>
    <x v="204"/>
    <x v="3"/>
    <x v="1"/>
    <x v="7"/>
    <x v="1"/>
    <x v="1"/>
    <s v="Malt"/>
    <x v="2"/>
  </r>
  <r>
    <n v="10325"/>
    <s v="Parent"/>
    <s v="parentty@uk.com"/>
    <x v="0"/>
    <n v="150"/>
    <n v="200"/>
    <x v="43"/>
    <n v="142000"/>
    <x v="205"/>
    <x v="4"/>
    <x v="2"/>
    <x v="8"/>
    <x v="0"/>
    <x v="1"/>
    <s v="Beer"/>
    <x v="2"/>
  </r>
  <r>
    <n v="10326"/>
    <s v="Jones"/>
    <s v="jone.ai@yahoo.com"/>
    <x v="1"/>
    <n v="250"/>
    <n v="500"/>
    <x v="161"/>
    <n v="456500"/>
    <x v="206"/>
    <x v="0"/>
    <x v="3"/>
    <x v="9"/>
    <x v="1"/>
    <x v="0"/>
    <s v="Beer"/>
    <x v="3"/>
  </r>
  <r>
    <n v="10327"/>
    <s v="Smith"/>
    <s v="smithMan@yahoo.com"/>
    <x v="2"/>
    <n v="180"/>
    <n v="450"/>
    <x v="149"/>
    <n v="442350"/>
    <x v="207"/>
    <x v="1"/>
    <x v="4"/>
    <x v="10"/>
    <x v="1"/>
    <x v="0"/>
    <s v="Beer"/>
    <x v="3"/>
  </r>
  <r>
    <n v="10328"/>
    <s v="Jones"/>
    <s v="jone.ai@yahoo.com"/>
    <x v="3"/>
    <n v="170"/>
    <n v="250"/>
    <x v="162"/>
    <n v="176500"/>
    <x v="208"/>
    <x v="2"/>
    <x v="5"/>
    <x v="11"/>
    <x v="0"/>
    <x v="1"/>
    <s v="Beer"/>
    <x v="3"/>
  </r>
  <r>
    <n v="10329"/>
    <s v="Morgan"/>
    <s v="morganny@gmail.com"/>
    <x v="4"/>
    <n v="150"/>
    <n v="200"/>
    <x v="163"/>
    <n v="163800"/>
    <x v="209"/>
    <x v="3"/>
    <x v="0"/>
    <x v="0"/>
    <x v="1"/>
    <x v="1"/>
    <s v="Beer"/>
    <x v="0"/>
  </r>
  <r>
    <n v="10330"/>
    <s v="Jones"/>
    <s v="jone.ai@yahoo.com"/>
    <x v="5"/>
    <n v="80"/>
    <n v="150"/>
    <x v="147"/>
    <n v="114300"/>
    <x v="210"/>
    <x v="4"/>
    <x v="1"/>
    <x v="1"/>
    <x v="1"/>
    <x v="1"/>
    <s v="Malt"/>
    <x v="0"/>
  </r>
  <r>
    <n v="10331"/>
    <s v="Parent"/>
    <s v="parentty@uk.com"/>
    <x v="6"/>
    <n v="90"/>
    <n v="150"/>
    <x v="164"/>
    <n v="114000"/>
    <x v="198"/>
    <x v="0"/>
    <x v="2"/>
    <x v="2"/>
    <x v="0"/>
    <x v="0"/>
    <s v="Malt"/>
    <x v="0"/>
  </r>
  <r>
    <n v="10332"/>
    <s v="Kivell"/>
    <s v="kivel_go@yahoo.com"/>
    <x v="0"/>
    <n v="150"/>
    <n v="200"/>
    <x v="55"/>
    <n v="174400"/>
    <x v="211"/>
    <x v="1"/>
    <x v="3"/>
    <x v="3"/>
    <x v="0"/>
    <x v="0"/>
    <s v="Beer"/>
    <x v="1"/>
  </r>
  <r>
    <n v="10333"/>
    <s v="Smith"/>
    <s v="smithMan@yahoo.com"/>
    <x v="1"/>
    <n v="250"/>
    <n v="500"/>
    <x v="165"/>
    <n v="361500"/>
    <x v="212"/>
    <x v="2"/>
    <x v="4"/>
    <x v="4"/>
    <x v="0"/>
    <x v="1"/>
    <s v="Beer"/>
    <x v="1"/>
  </r>
  <r>
    <n v="10334"/>
    <s v="Parent"/>
    <s v="parentty@uk.com"/>
    <x v="2"/>
    <n v="180"/>
    <n v="450"/>
    <x v="161"/>
    <n v="410850"/>
    <x v="213"/>
    <x v="3"/>
    <x v="5"/>
    <x v="5"/>
    <x v="0"/>
    <x v="1"/>
    <s v="Beer"/>
    <x v="1"/>
  </r>
  <r>
    <n v="10335"/>
    <s v="Gill"/>
    <s v="gillhell@uk.com"/>
    <x v="3"/>
    <n v="170"/>
    <n v="250"/>
    <x v="166"/>
    <n v="213000"/>
    <x v="214"/>
    <x v="4"/>
    <x v="0"/>
    <x v="6"/>
    <x v="2"/>
    <x v="1"/>
    <s v="Beer"/>
    <x v="2"/>
  </r>
  <r>
    <n v="10336"/>
    <s v="Smith"/>
    <s v="smithMan@yahoo.com"/>
    <x v="4"/>
    <n v="150"/>
    <n v="200"/>
    <x v="88"/>
    <n v="171200"/>
    <x v="215"/>
    <x v="0"/>
    <x v="1"/>
    <x v="7"/>
    <x v="0"/>
    <x v="0"/>
    <s v="Beer"/>
    <x v="2"/>
  </r>
  <r>
    <n v="10337"/>
    <s v="Jones"/>
    <s v="jone.ai@yahoo.com"/>
    <x v="5"/>
    <n v="80"/>
    <n v="150"/>
    <x v="39"/>
    <n v="124050"/>
    <x v="216"/>
    <x v="1"/>
    <x v="2"/>
    <x v="8"/>
    <x v="0"/>
    <x v="0"/>
    <s v="Malt"/>
    <x v="2"/>
  </r>
  <r>
    <n v="10338"/>
    <s v="Sorvino"/>
    <s v="sorvi2000@gmail.com"/>
    <x v="6"/>
    <n v="90"/>
    <n v="150"/>
    <x v="167"/>
    <n v="110250"/>
    <x v="217"/>
    <x v="2"/>
    <x v="3"/>
    <x v="9"/>
    <x v="2"/>
    <x v="1"/>
    <s v="Malt"/>
    <x v="3"/>
  </r>
  <r>
    <n v="10339"/>
    <s v="Jardine"/>
    <s v="jard@gmail.com"/>
    <x v="0"/>
    <n v="150"/>
    <n v="200"/>
    <x v="163"/>
    <n v="163800"/>
    <x v="209"/>
    <x v="3"/>
    <x v="4"/>
    <x v="10"/>
    <x v="0"/>
    <x v="1"/>
    <s v="Beer"/>
    <x v="3"/>
  </r>
  <r>
    <n v="10340"/>
    <s v="Andrews"/>
    <s v="andy@gmail.com"/>
    <x v="1"/>
    <n v="250"/>
    <n v="500"/>
    <x v="168"/>
    <n v="441000"/>
    <x v="218"/>
    <x v="4"/>
    <x v="5"/>
    <x v="11"/>
    <x v="1"/>
    <x v="1"/>
    <s v="Beer"/>
    <x v="3"/>
  </r>
  <r>
    <n v="10341"/>
    <s v="Howard"/>
    <s v="howard_freeman@yahoo.com"/>
    <x v="2"/>
    <n v="180"/>
    <n v="450"/>
    <x v="151"/>
    <n v="403650"/>
    <x v="183"/>
    <x v="0"/>
    <x v="0"/>
    <x v="0"/>
    <x v="2"/>
    <x v="0"/>
    <s v="Beer"/>
    <x v="0"/>
  </r>
  <r>
    <n v="10342"/>
    <s v="Gill"/>
    <s v="gillhell@uk.com"/>
    <x v="3"/>
    <n v="170"/>
    <n v="250"/>
    <x v="169"/>
    <n v="230500"/>
    <x v="219"/>
    <x v="1"/>
    <x v="1"/>
    <x v="1"/>
    <x v="1"/>
    <x v="0"/>
    <s v="Beer"/>
    <x v="0"/>
  </r>
  <r>
    <n v="10343"/>
    <s v="Gill"/>
    <s v="gillhell@uk.com"/>
    <x v="4"/>
    <n v="150"/>
    <n v="200"/>
    <x v="124"/>
    <n v="167600"/>
    <x v="220"/>
    <x v="2"/>
    <x v="2"/>
    <x v="2"/>
    <x v="2"/>
    <x v="1"/>
    <s v="Beer"/>
    <x v="0"/>
  </r>
  <r>
    <n v="10344"/>
    <s v="Kivell"/>
    <s v="kivel_go@yahoo.com"/>
    <x v="5"/>
    <n v="80"/>
    <n v="150"/>
    <x v="21"/>
    <n v="128850"/>
    <x v="221"/>
    <x v="3"/>
    <x v="3"/>
    <x v="3"/>
    <x v="1"/>
    <x v="1"/>
    <s v="Malt"/>
    <x v="1"/>
  </r>
  <r>
    <n v="10345"/>
    <s v="Jones"/>
    <s v="jone.ai@yahoo.com"/>
    <x v="6"/>
    <n v="90"/>
    <n v="150"/>
    <x v="36"/>
    <n v="142500"/>
    <x v="222"/>
    <x v="4"/>
    <x v="4"/>
    <x v="4"/>
    <x v="2"/>
    <x v="1"/>
    <s v="Malt"/>
    <x v="1"/>
  </r>
  <r>
    <n v="10346"/>
    <s v="Morgan"/>
    <s v="morganny@gmail.com"/>
    <x v="0"/>
    <n v="150"/>
    <n v="200"/>
    <x v="162"/>
    <n v="141200"/>
    <x v="223"/>
    <x v="0"/>
    <x v="5"/>
    <x v="5"/>
    <x v="0"/>
    <x v="0"/>
    <s v="Beer"/>
    <x v="1"/>
  </r>
  <r>
    <n v="10347"/>
    <s v="Kivell"/>
    <s v="kivel_go@yahoo.com"/>
    <x v="1"/>
    <n v="250"/>
    <n v="500"/>
    <x v="170"/>
    <n v="351000"/>
    <x v="224"/>
    <x v="1"/>
    <x v="0"/>
    <x v="6"/>
    <x v="1"/>
    <x v="0"/>
    <s v="Beer"/>
    <x v="2"/>
  </r>
  <r>
    <n v="10348"/>
    <s v="Sorvino"/>
    <s v="sorvi2000@gmail.com"/>
    <x v="2"/>
    <n v="180"/>
    <n v="450"/>
    <x v="171"/>
    <n v="404550"/>
    <x v="225"/>
    <x v="2"/>
    <x v="1"/>
    <x v="7"/>
    <x v="0"/>
    <x v="1"/>
    <s v="Beer"/>
    <x v="2"/>
  </r>
  <r>
    <n v="10349"/>
    <s v="Gill"/>
    <s v="gillhell@uk.com"/>
    <x v="3"/>
    <n v="170"/>
    <n v="250"/>
    <x v="172"/>
    <n v="184500"/>
    <x v="226"/>
    <x v="3"/>
    <x v="2"/>
    <x v="8"/>
    <x v="0"/>
    <x v="1"/>
    <s v="Beer"/>
    <x v="2"/>
  </r>
  <r>
    <n v="10350"/>
    <s v="Sorvino"/>
    <s v="sorvi2000@gmail.com"/>
    <x v="4"/>
    <n v="150"/>
    <n v="200"/>
    <x v="102"/>
    <n v="183400"/>
    <x v="112"/>
    <x v="4"/>
    <x v="3"/>
    <x v="9"/>
    <x v="2"/>
    <x v="1"/>
    <s v="Beer"/>
    <x v="3"/>
  </r>
  <r>
    <n v="10351"/>
    <s v="Thompson"/>
    <s v="thomp@uk.com"/>
    <x v="5"/>
    <n v="80"/>
    <n v="150"/>
    <x v="173"/>
    <n v="117450"/>
    <x v="227"/>
    <x v="0"/>
    <x v="4"/>
    <x v="10"/>
    <x v="0"/>
    <x v="0"/>
    <s v="Malt"/>
    <x v="3"/>
  </r>
  <r>
    <n v="10352"/>
    <s v="Andrews"/>
    <s v="andy@gmail.com"/>
    <x v="6"/>
    <n v="90"/>
    <n v="150"/>
    <x v="56"/>
    <n v="124650"/>
    <x v="228"/>
    <x v="1"/>
    <x v="5"/>
    <x v="11"/>
    <x v="0"/>
    <x v="0"/>
    <s v="Malt"/>
    <x v="3"/>
  </r>
  <r>
    <n v="10353"/>
    <s v="Jardine"/>
    <s v="jard@gmail.com"/>
    <x v="0"/>
    <n v="150"/>
    <n v="200"/>
    <x v="67"/>
    <n v="173800"/>
    <x v="229"/>
    <x v="2"/>
    <x v="0"/>
    <x v="0"/>
    <x v="0"/>
    <x v="1"/>
    <s v="Beer"/>
    <x v="0"/>
  </r>
  <r>
    <n v="10354"/>
    <s v="Jardine"/>
    <s v="jard@gmail.com"/>
    <x v="1"/>
    <n v="250"/>
    <n v="500"/>
    <x v="140"/>
    <n v="375000"/>
    <x v="230"/>
    <x v="3"/>
    <x v="1"/>
    <x v="1"/>
    <x v="2"/>
    <x v="1"/>
    <s v="Beer"/>
    <x v="0"/>
  </r>
  <r>
    <n v="10355"/>
    <s v="Andrews"/>
    <s v="andy@gmail.com"/>
    <x v="2"/>
    <n v="180"/>
    <n v="450"/>
    <x v="58"/>
    <n v="418950"/>
    <x v="231"/>
    <x v="4"/>
    <x v="2"/>
    <x v="2"/>
    <x v="0"/>
    <x v="1"/>
    <s v="Beer"/>
    <x v="0"/>
  </r>
  <r>
    <n v="10356"/>
    <s v="Jardine"/>
    <s v="jard@gmail.com"/>
    <x v="3"/>
    <n v="170"/>
    <n v="250"/>
    <x v="143"/>
    <n v="243000"/>
    <x v="232"/>
    <x v="0"/>
    <x v="3"/>
    <x v="3"/>
    <x v="2"/>
    <x v="0"/>
    <s v="Beer"/>
    <x v="1"/>
  </r>
  <r>
    <n v="10357"/>
    <s v="Gill"/>
    <s v="gillhell@uk.com"/>
    <x v="4"/>
    <n v="150"/>
    <n v="200"/>
    <x v="174"/>
    <n v="197000"/>
    <x v="233"/>
    <x v="1"/>
    <x v="4"/>
    <x v="4"/>
    <x v="2"/>
    <x v="0"/>
    <s v="Beer"/>
    <x v="1"/>
  </r>
  <r>
    <n v="10358"/>
    <s v="Sorvino"/>
    <s v="sorvi2000@gmail.com"/>
    <x v="5"/>
    <n v="80"/>
    <n v="150"/>
    <x v="30"/>
    <n v="123900"/>
    <x v="234"/>
    <x v="2"/>
    <x v="5"/>
    <x v="5"/>
    <x v="1"/>
    <x v="1"/>
    <s v="Malt"/>
    <x v="1"/>
  </r>
  <r>
    <n v="10359"/>
    <s v="Jones"/>
    <s v="jone.ai@yahoo.com"/>
    <x v="6"/>
    <n v="90"/>
    <n v="150"/>
    <x v="175"/>
    <n v="136050"/>
    <x v="235"/>
    <x v="3"/>
    <x v="0"/>
    <x v="6"/>
    <x v="1"/>
    <x v="1"/>
    <s v="Malt"/>
    <x v="2"/>
  </r>
  <r>
    <n v="10360"/>
    <s v="Andrews"/>
    <s v="andy@gmail.com"/>
    <x v="0"/>
    <n v="150"/>
    <n v="200"/>
    <x v="79"/>
    <n v="140800"/>
    <x v="236"/>
    <x v="4"/>
    <x v="1"/>
    <x v="7"/>
    <x v="0"/>
    <x v="1"/>
    <s v="Beer"/>
    <x v="2"/>
  </r>
  <r>
    <n v="10361"/>
    <s v="Jardine"/>
    <s v="jard@gmail.com"/>
    <x v="1"/>
    <n v="250"/>
    <n v="500"/>
    <x v="48"/>
    <n v="359500"/>
    <x v="48"/>
    <x v="0"/>
    <x v="2"/>
    <x v="8"/>
    <x v="0"/>
    <x v="0"/>
    <s v="Beer"/>
    <x v="2"/>
  </r>
  <r>
    <n v="10362"/>
    <s v="Thompson"/>
    <s v="thomp@uk.com"/>
    <x v="2"/>
    <n v="180"/>
    <n v="450"/>
    <x v="176"/>
    <n v="323100"/>
    <x v="237"/>
    <x v="1"/>
    <x v="3"/>
    <x v="9"/>
    <x v="1"/>
    <x v="0"/>
    <s v="Beer"/>
    <x v="3"/>
  </r>
  <r>
    <n v="10363"/>
    <s v="Jones"/>
    <s v="jone.ai@yahoo.com"/>
    <x v="3"/>
    <n v="170"/>
    <n v="250"/>
    <x v="80"/>
    <n v="219750"/>
    <x v="238"/>
    <x v="2"/>
    <x v="4"/>
    <x v="10"/>
    <x v="2"/>
    <x v="1"/>
    <s v="Beer"/>
    <x v="3"/>
  </r>
  <r>
    <n v="10364"/>
    <s v="Morgan"/>
    <s v="morganny@gmail.com"/>
    <x v="4"/>
    <n v="150"/>
    <n v="200"/>
    <x v="177"/>
    <n v="163200"/>
    <x v="239"/>
    <x v="3"/>
    <x v="5"/>
    <x v="11"/>
    <x v="2"/>
    <x v="1"/>
    <s v="Beer"/>
    <x v="3"/>
  </r>
  <r>
    <n v="10365"/>
    <s v="Howard"/>
    <s v="howard_freeman@yahoo.com"/>
    <x v="5"/>
    <n v="80"/>
    <n v="150"/>
    <x v="139"/>
    <n v="120450"/>
    <x v="163"/>
    <x v="4"/>
    <x v="0"/>
    <x v="0"/>
    <x v="2"/>
    <x v="1"/>
    <s v="Malt"/>
    <x v="0"/>
  </r>
  <r>
    <n v="10366"/>
    <s v="Parent"/>
    <s v="parentty@uk.com"/>
    <x v="6"/>
    <n v="90"/>
    <n v="150"/>
    <x v="121"/>
    <n v="111600"/>
    <x v="240"/>
    <x v="0"/>
    <x v="1"/>
    <x v="1"/>
    <x v="1"/>
    <x v="0"/>
    <s v="Malt"/>
    <x v="0"/>
  </r>
  <r>
    <n v="10367"/>
    <s v="Jones"/>
    <s v="jone.ai@yahoo.com"/>
    <x v="0"/>
    <n v="150"/>
    <n v="200"/>
    <x v="158"/>
    <n v="182400"/>
    <x v="198"/>
    <x v="1"/>
    <x v="2"/>
    <x v="2"/>
    <x v="2"/>
    <x v="0"/>
    <s v="Beer"/>
    <x v="0"/>
  </r>
  <r>
    <n v="10368"/>
    <s v="Smith"/>
    <s v="smithMan@yahoo.com"/>
    <x v="1"/>
    <n v="250"/>
    <n v="500"/>
    <x v="42"/>
    <n v="400500"/>
    <x v="241"/>
    <x v="2"/>
    <x v="3"/>
    <x v="3"/>
    <x v="1"/>
    <x v="1"/>
    <s v="Beer"/>
    <x v="1"/>
  </r>
  <r>
    <n v="10369"/>
    <s v="Jones"/>
    <s v="jone.ai@yahoo.com"/>
    <x v="2"/>
    <n v="180"/>
    <n v="450"/>
    <x v="95"/>
    <n v="324000"/>
    <x v="242"/>
    <x v="3"/>
    <x v="4"/>
    <x v="4"/>
    <x v="1"/>
    <x v="1"/>
    <s v="Beer"/>
    <x v="1"/>
  </r>
  <r>
    <n v="10370"/>
    <s v="Morgan"/>
    <s v="morganny@gmail.com"/>
    <x v="3"/>
    <n v="170"/>
    <n v="250"/>
    <x v="149"/>
    <n v="245750"/>
    <x v="243"/>
    <x v="4"/>
    <x v="5"/>
    <x v="5"/>
    <x v="0"/>
    <x v="1"/>
    <s v="Beer"/>
    <x v="1"/>
  </r>
  <r>
    <n v="10371"/>
    <s v="Jones"/>
    <s v="jone.ai@yahoo.com"/>
    <x v="4"/>
    <n v="150"/>
    <n v="200"/>
    <x v="144"/>
    <n v="197800"/>
    <x v="244"/>
    <x v="0"/>
    <x v="0"/>
    <x v="6"/>
    <x v="0"/>
    <x v="0"/>
    <s v="Beer"/>
    <x v="2"/>
  </r>
  <r>
    <n v="10372"/>
    <s v="Parent"/>
    <s v="parentty@uk.com"/>
    <x v="5"/>
    <n v="80"/>
    <n v="150"/>
    <x v="18"/>
    <n v="149400"/>
    <x v="245"/>
    <x v="1"/>
    <x v="1"/>
    <x v="7"/>
    <x v="1"/>
    <x v="0"/>
    <s v="Malt"/>
    <x v="2"/>
  </r>
  <r>
    <n v="10373"/>
    <s v="Kivell"/>
    <s v="kivel_go@yahoo.com"/>
    <x v="6"/>
    <n v="90"/>
    <n v="150"/>
    <x v="42"/>
    <n v="120150"/>
    <x v="246"/>
    <x v="2"/>
    <x v="2"/>
    <x v="8"/>
    <x v="2"/>
    <x v="1"/>
    <s v="Malt"/>
    <x v="2"/>
  </r>
  <r>
    <n v="10374"/>
    <s v="Smith"/>
    <s v="smithMan@yahoo.com"/>
    <x v="0"/>
    <n v="150"/>
    <n v="200"/>
    <x v="22"/>
    <n v="171400"/>
    <x v="247"/>
    <x v="3"/>
    <x v="3"/>
    <x v="9"/>
    <x v="0"/>
    <x v="1"/>
    <s v="Beer"/>
    <x v="3"/>
  </r>
  <r>
    <n v="10375"/>
    <s v="Parent"/>
    <s v="parentty@uk.com"/>
    <x v="1"/>
    <n v="250"/>
    <n v="500"/>
    <x v="178"/>
    <n v="464000"/>
    <x v="248"/>
    <x v="4"/>
    <x v="4"/>
    <x v="10"/>
    <x v="1"/>
    <x v="1"/>
    <s v="Beer"/>
    <x v="3"/>
  </r>
  <r>
    <n v="10376"/>
    <s v="Gill"/>
    <s v="gillhell@uk.com"/>
    <x v="2"/>
    <n v="180"/>
    <n v="450"/>
    <x v="179"/>
    <n v="354600"/>
    <x v="249"/>
    <x v="0"/>
    <x v="5"/>
    <x v="11"/>
    <x v="0"/>
    <x v="0"/>
    <s v="Beer"/>
    <x v="3"/>
  </r>
  <r>
    <n v="10377"/>
    <s v="Smith"/>
    <s v="smithMan@yahoo.com"/>
    <x v="3"/>
    <n v="170"/>
    <n v="250"/>
    <x v="75"/>
    <n v="198750"/>
    <x v="250"/>
    <x v="1"/>
    <x v="0"/>
    <x v="0"/>
    <x v="2"/>
    <x v="0"/>
    <s v="Beer"/>
    <x v="0"/>
  </r>
  <r>
    <n v="10378"/>
    <s v="Jones"/>
    <s v="jone.ai@yahoo.com"/>
    <x v="4"/>
    <n v="150"/>
    <n v="200"/>
    <x v="157"/>
    <n v="173000"/>
    <x v="251"/>
    <x v="2"/>
    <x v="1"/>
    <x v="1"/>
    <x v="0"/>
    <x v="1"/>
    <s v="Beer"/>
    <x v="0"/>
  </r>
  <r>
    <n v="10379"/>
    <s v="Sorvino"/>
    <s v="sorvi2000@gmail.com"/>
    <x v="5"/>
    <n v="80"/>
    <n v="150"/>
    <x v="5"/>
    <n v="119700"/>
    <x v="5"/>
    <x v="3"/>
    <x v="2"/>
    <x v="2"/>
    <x v="1"/>
    <x v="1"/>
    <s v="Malt"/>
    <x v="0"/>
  </r>
  <r>
    <n v="10380"/>
    <s v="Jardine"/>
    <s v="jard@gmail.com"/>
    <x v="6"/>
    <n v="90"/>
    <n v="150"/>
    <x v="180"/>
    <n v="109200"/>
    <x v="252"/>
    <x v="4"/>
    <x v="3"/>
    <x v="3"/>
    <x v="1"/>
    <x v="1"/>
    <s v="Malt"/>
    <x v="1"/>
  </r>
  <r>
    <n v="10381"/>
    <s v="Andrews"/>
    <s v="andy@gmail.com"/>
    <x v="0"/>
    <n v="150"/>
    <n v="200"/>
    <x v="66"/>
    <n v="189600"/>
    <x v="68"/>
    <x v="0"/>
    <x v="4"/>
    <x v="4"/>
    <x v="0"/>
    <x v="0"/>
    <s v="Beer"/>
    <x v="1"/>
  </r>
  <r>
    <n v="10382"/>
    <s v="Howard"/>
    <s v="howard_freeman@yahoo.com"/>
    <x v="1"/>
    <n v="250"/>
    <n v="500"/>
    <x v="136"/>
    <n v="431500"/>
    <x v="159"/>
    <x v="1"/>
    <x v="5"/>
    <x v="5"/>
    <x v="2"/>
    <x v="0"/>
    <s v="Beer"/>
    <x v="1"/>
  </r>
  <r>
    <n v="10383"/>
    <s v="Gill"/>
    <s v="gillhell@uk.com"/>
    <x v="2"/>
    <n v="180"/>
    <n v="450"/>
    <x v="161"/>
    <n v="410850"/>
    <x v="213"/>
    <x v="2"/>
    <x v="0"/>
    <x v="6"/>
    <x v="0"/>
    <x v="1"/>
    <s v="Beer"/>
    <x v="2"/>
  </r>
  <r>
    <n v="10384"/>
    <s v="Gill"/>
    <s v="gillhell@uk.com"/>
    <x v="3"/>
    <n v="170"/>
    <n v="250"/>
    <x v="181"/>
    <n v="177750"/>
    <x v="253"/>
    <x v="3"/>
    <x v="1"/>
    <x v="7"/>
    <x v="1"/>
    <x v="1"/>
    <s v="Beer"/>
    <x v="2"/>
  </r>
  <r>
    <n v="10385"/>
    <s v="Kivell"/>
    <s v="kivel_go@yahoo.com"/>
    <x v="4"/>
    <n v="150"/>
    <n v="200"/>
    <x v="182"/>
    <n v="143400"/>
    <x v="254"/>
    <x v="4"/>
    <x v="2"/>
    <x v="8"/>
    <x v="0"/>
    <x v="1"/>
    <s v="Beer"/>
    <x v="2"/>
  </r>
  <r>
    <n v="10386"/>
    <s v="Jones"/>
    <s v="jone.ai@yahoo.com"/>
    <x v="5"/>
    <n v="80"/>
    <n v="150"/>
    <x v="183"/>
    <n v="129300"/>
    <x v="255"/>
    <x v="0"/>
    <x v="3"/>
    <x v="9"/>
    <x v="0"/>
    <x v="0"/>
    <s v="Malt"/>
    <x v="3"/>
  </r>
  <r>
    <n v="10387"/>
    <s v="Morgan"/>
    <s v="morganny@gmail.com"/>
    <x v="6"/>
    <n v="90"/>
    <n v="150"/>
    <x v="184"/>
    <n v="105450"/>
    <x v="256"/>
    <x v="1"/>
    <x v="4"/>
    <x v="10"/>
    <x v="2"/>
    <x v="0"/>
    <s v="Malt"/>
    <x v="3"/>
  </r>
  <r>
    <n v="10388"/>
    <s v="Kivell"/>
    <s v="kivel_go@yahoo.com"/>
    <x v="0"/>
    <n v="150"/>
    <n v="200"/>
    <x v="53"/>
    <n v="192400"/>
    <x v="257"/>
    <x v="2"/>
    <x v="5"/>
    <x v="11"/>
    <x v="1"/>
    <x v="1"/>
    <s v="Beer"/>
    <x v="3"/>
  </r>
  <r>
    <n v="10389"/>
    <s v="Sorvino"/>
    <s v="sorvi2000@gmail.com"/>
    <x v="1"/>
    <n v="250"/>
    <n v="500"/>
    <x v="185"/>
    <n v="403500"/>
    <x v="258"/>
    <x v="3"/>
    <x v="0"/>
    <x v="0"/>
    <x v="0"/>
    <x v="1"/>
    <s v="Beer"/>
    <x v="0"/>
  </r>
  <r>
    <n v="10390"/>
    <s v="Gill"/>
    <s v="gillhell@uk.com"/>
    <x v="2"/>
    <n v="180"/>
    <n v="450"/>
    <x v="36"/>
    <n v="427500"/>
    <x v="36"/>
    <x v="4"/>
    <x v="1"/>
    <x v="1"/>
    <x v="2"/>
    <x v="1"/>
    <s v="Beer"/>
    <x v="0"/>
  </r>
  <r>
    <n v="10391"/>
    <s v="Sorvino"/>
    <s v="sorvi2000@gmail.com"/>
    <x v="3"/>
    <n v="170"/>
    <n v="250"/>
    <x v="186"/>
    <n v="237250"/>
    <x v="259"/>
    <x v="0"/>
    <x v="2"/>
    <x v="2"/>
    <x v="2"/>
    <x v="0"/>
    <s v="Beer"/>
    <x v="0"/>
  </r>
  <r>
    <n v="10392"/>
    <s v="Thompson"/>
    <s v="thomp@uk.com"/>
    <x v="4"/>
    <n v="150"/>
    <n v="200"/>
    <x v="187"/>
    <n v="144800"/>
    <x v="260"/>
    <x v="1"/>
    <x v="3"/>
    <x v="3"/>
    <x v="2"/>
    <x v="0"/>
    <s v="Beer"/>
    <x v="1"/>
  </r>
  <r>
    <n v="10393"/>
    <s v="Andrews"/>
    <s v="andy@gmail.com"/>
    <x v="5"/>
    <n v="80"/>
    <n v="150"/>
    <x v="182"/>
    <n v="107550"/>
    <x v="261"/>
    <x v="2"/>
    <x v="4"/>
    <x v="4"/>
    <x v="0"/>
    <x v="1"/>
    <s v="Malt"/>
    <x v="1"/>
  </r>
  <r>
    <n v="10394"/>
    <s v="Jardine"/>
    <s v="jard@gmail.com"/>
    <x v="6"/>
    <n v="90"/>
    <n v="150"/>
    <x v="188"/>
    <n v="139950"/>
    <x v="262"/>
    <x v="3"/>
    <x v="5"/>
    <x v="5"/>
    <x v="2"/>
    <x v="1"/>
    <s v="Malt"/>
    <x v="1"/>
  </r>
  <r>
    <n v="10395"/>
    <s v="Jardine"/>
    <s v="jard@gmail.com"/>
    <x v="0"/>
    <n v="150"/>
    <n v="200"/>
    <x v="128"/>
    <n v="186000"/>
    <x v="263"/>
    <x v="4"/>
    <x v="0"/>
    <x v="6"/>
    <x v="1"/>
    <x v="1"/>
    <s v="Beer"/>
    <x v="2"/>
  </r>
  <r>
    <n v="10396"/>
    <s v="Andrews"/>
    <s v="andy@gmail.com"/>
    <x v="1"/>
    <n v="250"/>
    <n v="500"/>
    <x v="86"/>
    <n v="479500"/>
    <x v="264"/>
    <x v="0"/>
    <x v="1"/>
    <x v="7"/>
    <x v="1"/>
    <x v="0"/>
    <s v="Beer"/>
    <x v="2"/>
  </r>
  <r>
    <n v="10397"/>
    <s v="Jones"/>
    <s v="jone.ai@yahoo.com"/>
    <x v="2"/>
    <n v="180"/>
    <n v="450"/>
    <x v="169"/>
    <n v="414900"/>
    <x v="265"/>
    <x v="1"/>
    <x v="2"/>
    <x v="8"/>
    <x v="2"/>
    <x v="0"/>
    <s v="Beer"/>
    <x v="2"/>
  </r>
  <r>
    <n v="10398"/>
    <s v="Morgan"/>
    <s v="morganny@gmail.com"/>
    <x v="3"/>
    <n v="170"/>
    <n v="250"/>
    <x v="101"/>
    <n v="239250"/>
    <x v="266"/>
    <x v="2"/>
    <x v="3"/>
    <x v="9"/>
    <x v="0"/>
    <x v="1"/>
    <s v="Beer"/>
    <x v="3"/>
  </r>
  <r>
    <n v="10399"/>
    <s v="Kivell"/>
    <s v="kivel_go@yahoo.com"/>
    <x v="4"/>
    <n v="150"/>
    <n v="200"/>
    <x v="189"/>
    <n v="191600"/>
    <x v="267"/>
    <x v="3"/>
    <x v="4"/>
    <x v="10"/>
    <x v="1"/>
    <x v="1"/>
    <s v="Beer"/>
    <x v="3"/>
  </r>
  <r>
    <n v="10400"/>
    <s v="Sorvino"/>
    <s v="sorvi2000@gmail.com"/>
    <x v="5"/>
    <n v="80"/>
    <n v="150"/>
    <x v="37"/>
    <n v="117600"/>
    <x v="268"/>
    <x v="4"/>
    <x v="5"/>
    <x v="11"/>
    <x v="1"/>
    <x v="1"/>
    <s v="Malt"/>
    <x v="3"/>
  </r>
  <r>
    <n v="10401"/>
    <s v="Gill"/>
    <s v="gillhell@uk.com"/>
    <x v="6"/>
    <n v="90"/>
    <n v="150"/>
    <x v="112"/>
    <n v="144900"/>
    <x v="269"/>
    <x v="0"/>
    <x v="0"/>
    <x v="0"/>
    <x v="0"/>
    <x v="0"/>
    <s v="Malt"/>
    <x v="0"/>
  </r>
  <r>
    <n v="10402"/>
    <s v="Sorvino"/>
    <s v="sorvi2000@gmail.com"/>
    <x v="0"/>
    <n v="150"/>
    <n v="200"/>
    <x v="37"/>
    <n v="156800"/>
    <x v="270"/>
    <x v="1"/>
    <x v="1"/>
    <x v="1"/>
    <x v="1"/>
    <x v="0"/>
    <s v="Beer"/>
    <x v="0"/>
  </r>
  <r>
    <n v="10403"/>
    <s v="Thompson"/>
    <s v="thomp@uk.com"/>
    <x v="1"/>
    <n v="250"/>
    <n v="500"/>
    <x v="190"/>
    <n v="499000"/>
    <x v="271"/>
    <x v="2"/>
    <x v="2"/>
    <x v="2"/>
    <x v="2"/>
    <x v="1"/>
    <s v="Beer"/>
    <x v="0"/>
  </r>
  <r>
    <n v="10404"/>
    <s v="Andrews"/>
    <s v="andy@gmail.com"/>
    <x v="2"/>
    <n v="180"/>
    <n v="450"/>
    <x v="105"/>
    <n v="427950"/>
    <x v="272"/>
    <x v="3"/>
    <x v="3"/>
    <x v="3"/>
    <x v="1"/>
    <x v="1"/>
    <s v="Beer"/>
    <x v="1"/>
  </r>
  <r>
    <n v="10405"/>
    <s v="Jardine"/>
    <s v="jard@gmail.com"/>
    <x v="3"/>
    <n v="170"/>
    <n v="250"/>
    <x v="191"/>
    <n v="243250"/>
    <x v="273"/>
    <x v="4"/>
    <x v="4"/>
    <x v="4"/>
    <x v="0"/>
    <x v="1"/>
    <s v="Beer"/>
    <x v="1"/>
  </r>
  <r>
    <n v="10406"/>
    <s v="Jardine"/>
    <s v="jard@gmail.com"/>
    <x v="4"/>
    <n v="150"/>
    <n v="200"/>
    <x v="79"/>
    <n v="140800"/>
    <x v="236"/>
    <x v="0"/>
    <x v="5"/>
    <x v="5"/>
    <x v="2"/>
    <x v="0"/>
    <s v="Beer"/>
    <x v="1"/>
  </r>
  <r>
    <n v="10407"/>
    <s v="Andrews"/>
    <s v="andy@gmail.com"/>
    <x v="5"/>
    <n v="80"/>
    <n v="150"/>
    <x v="192"/>
    <n v="112200"/>
    <x v="274"/>
    <x v="1"/>
    <x v="0"/>
    <x v="6"/>
    <x v="0"/>
    <x v="0"/>
    <s v="Malt"/>
    <x v="2"/>
  </r>
  <r>
    <n v="10408"/>
    <s v="Jardine"/>
    <s v="jard@gmail.com"/>
    <x v="6"/>
    <n v="90"/>
    <n v="150"/>
    <x v="143"/>
    <n v="145800"/>
    <x v="149"/>
    <x v="2"/>
    <x v="1"/>
    <x v="7"/>
    <x v="2"/>
    <x v="1"/>
    <s v="Malt"/>
    <x v="2"/>
  </r>
  <r>
    <n v="10409"/>
    <s v="Gill"/>
    <s v="gillhell@uk.com"/>
    <x v="0"/>
    <n v="150"/>
    <n v="200"/>
    <x v="21"/>
    <n v="171800"/>
    <x v="275"/>
    <x v="3"/>
    <x v="2"/>
    <x v="8"/>
    <x v="2"/>
    <x v="1"/>
    <s v="Beer"/>
    <x v="2"/>
  </r>
  <r>
    <n v="10410"/>
    <s v="Sorvino"/>
    <s v="sorvi2000@gmail.com"/>
    <x v="1"/>
    <n v="250"/>
    <n v="500"/>
    <x v="193"/>
    <n v="412500"/>
    <x v="276"/>
    <x v="4"/>
    <x v="3"/>
    <x v="9"/>
    <x v="2"/>
    <x v="1"/>
    <s v="Beer"/>
    <x v="3"/>
  </r>
  <r>
    <n v="10411"/>
    <s v="Jones"/>
    <s v="jone.ai@yahoo.com"/>
    <x v="2"/>
    <n v="180"/>
    <n v="450"/>
    <x v="194"/>
    <n v="448650"/>
    <x v="277"/>
    <x v="0"/>
    <x v="4"/>
    <x v="10"/>
    <x v="0"/>
    <x v="0"/>
    <s v="Beer"/>
    <x v="3"/>
  </r>
  <r>
    <n v="10412"/>
    <s v="Andrews"/>
    <s v="andy@gmail.com"/>
    <x v="3"/>
    <n v="170"/>
    <n v="250"/>
    <x v="195"/>
    <n v="197250"/>
    <x v="278"/>
    <x v="1"/>
    <x v="5"/>
    <x v="11"/>
    <x v="0"/>
    <x v="0"/>
    <s v="Beer"/>
    <x v="3"/>
  </r>
  <r>
    <n v="10413"/>
    <s v="Jardine"/>
    <s v="jard@gmail.com"/>
    <x v="4"/>
    <n v="150"/>
    <n v="200"/>
    <x v="110"/>
    <n v="186800"/>
    <x v="179"/>
    <x v="2"/>
    <x v="0"/>
    <x v="0"/>
    <x v="0"/>
    <x v="1"/>
    <s v="Beer"/>
    <x v="0"/>
  </r>
  <r>
    <n v="10414"/>
    <s v="Thompson"/>
    <s v="thomp@uk.com"/>
    <x v="5"/>
    <n v="80"/>
    <n v="150"/>
    <x v="77"/>
    <n v="115950"/>
    <x v="279"/>
    <x v="3"/>
    <x v="1"/>
    <x v="1"/>
    <x v="2"/>
    <x v="1"/>
    <s v="Malt"/>
    <x v="0"/>
  </r>
  <r>
    <n v="10415"/>
    <s v="Jones"/>
    <s v="jone.ai@yahoo.com"/>
    <x v="6"/>
    <n v="90"/>
    <n v="150"/>
    <x v="150"/>
    <n v="117900"/>
    <x v="280"/>
    <x v="4"/>
    <x v="2"/>
    <x v="2"/>
    <x v="2"/>
    <x v="1"/>
    <s v="Malt"/>
    <x v="0"/>
  </r>
  <r>
    <n v="10416"/>
    <s v="Morgan"/>
    <s v="morganny@gmail.com"/>
    <x v="0"/>
    <n v="150"/>
    <n v="200"/>
    <x v="134"/>
    <n v="198200"/>
    <x v="281"/>
    <x v="0"/>
    <x v="3"/>
    <x v="3"/>
    <x v="2"/>
    <x v="0"/>
    <s v="Beer"/>
    <x v="1"/>
  </r>
  <r>
    <n v="10417"/>
    <s v="Howard"/>
    <s v="howard_freeman@yahoo.com"/>
    <x v="1"/>
    <n v="250"/>
    <n v="500"/>
    <x v="107"/>
    <n v="443000"/>
    <x v="120"/>
    <x v="1"/>
    <x v="4"/>
    <x v="4"/>
    <x v="2"/>
    <x v="0"/>
    <s v="Beer"/>
    <x v="1"/>
  </r>
  <r>
    <n v="10418"/>
    <s v="Parent"/>
    <s v="parentty@uk.com"/>
    <x v="2"/>
    <n v="180"/>
    <n v="450"/>
    <x v="196"/>
    <n v="444150"/>
    <x v="282"/>
    <x v="2"/>
    <x v="5"/>
    <x v="5"/>
    <x v="1"/>
    <x v="1"/>
    <s v="Beer"/>
    <x v="1"/>
  </r>
  <r>
    <n v="10419"/>
    <s v="Jones"/>
    <s v="jone.ai@yahoo.com"/>
    <x v="3"/>
    <n v="170"/>
    <n v="250"/>
    <x v="197"/>
    <n v="193000"/>
    <x v="283"/>
    <x v="3"/>
    <x v="0"/>
    <x v="6"/>
    <x v="1"/>
    <x v="1"/>
    <s v="Beer"/>
    <x v="2"/>
  </r>
  <r>
    <n v="10420"/>
    <s v="Smith"/>
    <s v="smithMan@yahoo.com"/>
    <x v="4"/>
    <n v="150"/>
    <n v="200"/>
    <x v="164"/>
    <n v="152000"/>
    <x v="284"/>
    <x v="4"/>
    <x v="1"/>
    <x v="7"/>
    <x v="1"/>
    <x v="1"/>
    <s v="Beer"/>
    <x v="2"/>
  </r>
  <r>
    <n v="10421"/>
    <s v="Jones"/>
    <s v="jone.ai@yahoo.com"/>
    <x v="5"/>
    <n v="80"/>
    <n v="150"/>
    <x v="198"/>
    <n v="116700"/>
    <x v="285"/>
    <x v="0"/>
    <x v="2"/>
    <x v="8"/>
    <x v="2"/>
    <x v="0"/>
    <s v="Malt"/>
    <x v="2"/>
  </r>
  <r>
    <n v="10422"/>
    <s v="Jardine"/>
    <s v="jard@gmail.com"/>
    <x v="6"/>
    <n v="90"/>
    <n v="150"/>
    <x v="199"/>
    <n v="107400"/>
    <x v="286"/>
    <x v="1"/>
    <x v="3"/>
    <x v="9"/>
    <x v="0"/>
    <x v="0"/>
    <s v="Malt"/>
    <x v="3"/>
  </r>
  <r>
    <n v="10423"/>
    <s v="Gill"/>
    <s v="gillhell@uk.com"/>
    <x v="0"/>
    <n v="150"/>
    <n v="200"/>
    <x v="200"/>
    <n v="155000"/>
    <x v="287"/>
    <x v="2"/>
    <x v="4"/>
    <x v="10"/>
    <x v="1"/>
    <x v="1"/>
    <s v="Beer"/>
    <x v="3"/>
  </r>
  <r>
    <n v="10424"/>
    <s v="Sorvino"/>
    <s v="sorvi2000@gmail.com"/>
    <x v="1"/>
    <n v="250"/>
    <n v="500"/>
    <x v="20"/>
    <n v="430000"/>
    <x v="288"/>
    <x v="3"/>
    <x v="5"/>
    <x v="11"/>
    <x v="2"/>
    <x v="1"/>
    <s v="Beer"/>
    <x v="3"/>
  </r>
  <r>
    <n v="10425"/>
    <s v="Jones"/>
    <s v="jone.ai@yahoo.com"/>
    <x v="2"/>
    <n v="180"/>
    <n v="450"/>
    <x v="201"/>
    <n v="402750"/>
    <x v="289"/>
    <x v="4"/>
    <x v="0"/>
    <x v="0"/>
    <x v="2"/>
    <x v="1"/>
    <s v="Beer"/>
    <x v="0"/>
  </r>
  <r>
    <n v="10426"/>
    <s v="Andrews"/>
    <s v="andy@gmail.com"/>
    <x v="3"/>
    <n v="170"/>
    <n v="250"/>
    <x v="202"/>
    <n v="232250"/>
    <x v="290"/>
    <x v="0"/>
    <x v="1"/>
    <x v="1"/>
    <x v="0"/>
    <x v="0"/>
    <s v="Beer"/>
    <x v="0"/>
  </r>
  <r>
    <n v="10427"/>
    <s v="Jardine"/>
    <s v="jard@gmail.com"/>
    <x v="4"/>
    <n v="150"/>
    <n v="200"/>
    <x v="203"/>
    <n v="151800"/>
    <x v="291"/>
    <x v="1"/>
    <x v="2"/>
    <x v="2"/>
    <x v="1"/>
    <x v="0"/>
    <s v="Beer"/>
    <x v="0"/>
  </r>
  <r>
    <n v="10428"/>
    <s v="Thompson"/>
    <s v="thomp@uk.com"/>
    <x v="5"/>
    <n v="80"/>
    <n v="150"/>
    <x v="3"/>
    <n v="114750"/>
    <x v="292"/>
    <x v="2"/>
    <x v="3"/>
    <x v="3"/>
    <x v="2"/>
    <x v="1"/>
    <s v="Malt"/>
    <x v="1"/>
  </r>
  <r>
    <n v="10429"/>
    <s v="Jones"/>
    <s v="jone.ai@yahoo.com"/>
    <x v="6"/>
    <n v="90"/>
    <n v="150"/>
    <x v="10"/>
    <n v="129150"/>
    <x v="293"/>
    <x v="3"/>
    <x v="4"/>
    <x v="4"/>
    <x v="0"/>
    <x v="1"/>
    <s v="Malt"/>
    <x v="1"/>
  </r>
  <r>
    <n v="10430"/>
    <s v="Morgan"/>
    <s v="morganny@gmail.com"/>
    <x v="0"/>
    <n v="150"/>
    <n v="200"/>
    <x v="204"/>
    <n v="158000"/>
    <x v="294"/>
    <x v="4"/>
    <x v="5"/>
    <x v="5"/>
    <x v="1"/>
    <x v="1"/>
    <s v="Beer"/>
    <x v="1"/>
  </r>
  <r>
    <n v="10431"/>
    <s v="Howard"/>
    <s v="howard_freeman@yahoo.com"/>
    <x v="1"/>
    <n v="250"/>
    <n v="500"/>
    <x v="56"/>
    <n v="415500"/>
    <x v="295"/>
    <x v="0"/>
    <x v="0"/>
    <x v="6"/>
    <x v="2"/>
    <x v="0"/>
    <s v="Beer"/>
    <x v="2"/>
  </r>
  <r>
    <n v="10432"/>
    <s v="Parent"/>
    <s v="parentty@uk.com"/>
    <x v="2"/>
    <n v="180"/>
    <n v="450"/>
    <x v="80"/>
    <n v="395550"/>
    <x v="84"/>
    <x v="1"/>
    <x v="1"/>
    <x v="7"/>
    <x v="2"/>
    <x v="0"/>
    <s v="Beer"/>
    <x v="2"/>
  </r>
  <r>
    <n v="10433"/>
    <s v="Jones"/>
    <s v="jone.ai@yahoo.com"/>
    <x v="3"/>
    <n v="170"/>
    <n v="250"/>
    <x v="205"/>
    <n v="189000"/>
    <x v="296"/>
    <x v="2"/>
    <x v="2"/>
    <x v="8"/>
    <x v="2"/>
    <x v="1"/>
    <s v="Beer"/>
    <x v="2"/>
  </r>
  <r>
    <n v="10434"/>
    <s v="Smith"/>
    <s v="smithMan@yahoo.com"/>
    <x v="4"/>
    <n v="150"/>
    <n v="200"/>
    <x v="206"/>
    <n v="177600"/>
    <x v="297"/>
    <x v="3"/>
    <x v="3"/>
    <x v="9"/>
    <x v="2"/>
    <x v="1"/>
    <s v="Beer"/>
    <x v="3"/>
  </r>
  <r>
    <n v="10435"/>
    <s v="Jones"/>
    <s v="jone.ai@yahoo.com"/>
    <x v="5"/>
    <n v="80"/>
    <n v="150"/>
    <x v="21"/>
    <n v="128850"/>
    <x v="221"/>
    <x v="4"/>
    <x v="4"/>
    <x v="10"/>
    <x v="2"/>
    <x v="1"/>
    <s v="Malt"/>
    <x v="3"/>
  </r>
  <r>
    <n v="10436"/>
    <s v="Morgan"/>
    <s v="morganny@gmail.com"/>
    <x v="6"/>
    <n v="90"/>
    <n v="150"/>
    <x v="207"/>
    <n v="114150"/>
    <x v="298"/>
    <x v="0"/>
    <x v="5"/>
    <x v="11"/>
    <x v="1"/>
    <x v="0"/>
    <s v="Malt"/>
    <x v="3"/>
  </r>
  <r>
    <n v="10437"/>
    <s v="Jones"/>
    <s v="jone.ai@yahoo.com"/>
    <x v="0"/>
    <n v="150"/>
    <n v="200"/>
    <x v="144"/>
    <n v="197800"/>
    <x v="244"/>
    <x v="1"/>
    <x v="0"/>
    <x v="0"/>
    <x v="1"/>
    <x v="0"/>
    <s v="Beer"/>
    <x v="0"/>
  </r>
  <r>
    <n v="10438"/>
    <s v="Parent"/>
    <s v="parentty@uk.com"/>
    <x v="1"/>
    <n v="250"/>
    <n v="500"/>
    <x v="160"/>
    <n v="412000"/>
    <x v="299"/>
    <x v="2"/>
    <x v="1"/>
    <x v="1"/>
    <x v="1"/>
    <x v="1"/>
    <s v="Beer"/>
    <x v="0"/>
  </r>
  <r>
    <n v="10439"/>
    <s v="Kivell"/>
    <s v="kivel_go@yahoo.com"/>
    <x v="2"/>
    <n v="180"/>
    <n v="450"/>
    <x v="200"/>
    <n v="348750"/>
    <x v="300"/>
    <x v="3"/>
    <x v="2"/>
    <x v="2"/>
    <x v="1"/>
    <x v="1"/>
    <s v="Beer"/>
    <x v="0"/>
  </r>
  <r>
    <n v="10440"/>
    <s v="Smith"/>
    <s v="smithMan@yahoo.com"/>
    <x v="3"/>
    <n v="170"/>
    <n v="250"/>
    <x v="208"/>
    <n v="245000"/>
    <x v="301"/>
    <x v="4"/>
    <x v="3"/>
    <x v="3"/>
    <x v="2"/>
    <x v="1"/>
    <s v="Beer"/>
    <x v="1"/>
  </r>
  <r>
    <n v="10441"/>
    <s v="Parent"/>
    <s v="parentty@uk.com"/>
    <x v="4"/>
    <n v="150"/>
    <n v="200"/>
    <x v="91"/>
    <n v="165600"/>
    <x v="302"/>
    <x v="0"/>
    <x v="4"/>
    <x v="4"/>
    <x v="0"/>
    <x v="0"/>
    <s v="Beer"/>
    <x v="1"/>
  </r>
  <r>
    <n v="10442"/>
    <s v="Gill"/>
    <s v="gillhell@uk.com"/>
    <x v="5"/>
    <n v="80"/>
    <n v="150"/>
    <x v="181"/>
    <n v="106650"/>
    <x v="303"/>
    <x v="1"/>
    <x v="5"/>
    <x v="5"/>
    <x v="0"/>
    <x v="0"/>
    <s v="Malt"/>
    <x v="1"/>
  </r>
  <r>
    <n v="10443"/>
    <s v="Smith"/>
    <s v="smithMan@yahoo.com"/>
    <x v="6"/>
    <n v="90"/>
    <n v="150"/>
    <x v="89"/>
    <n v="122550"/>
    <x v="304"/>
    <x v="2"/>
    <x v="0"/>
    <x v="6"/>
    <x v="1"/>
    <x v="1"/>
    <s v="Malt"/>
    <x v="2"/>
  </r>
  <r>
    <n v="10444"/>
    <s v="Jones"/>
    <s v="jone.ai@yahoo.com"/>
    <x v="0"/>
    <n v="150"/>
    <n v="200"/>
    <x v="137"/>
    <n v="165800"/>
    <x v="305"/>
    <x v="3"/>
    <x v="1"/>
    <x v="7"/>
    <x v="1"/>
    <x v="1"/>
    <s v="Beer"/>
    <x v="2"/>
  </r>
  <r>
    <n v="10445"/>
    <s v="Sorvino"/>
    <s v="sorvi2000@gmail.com"/>
    <x v="1"/>
    <n v="250"/>
    <n v="500"/>
    <x v="55"/>
    <n v="436000"/>
    <x v="306"/>
    <x v="4"/>
    <x v="2"/>
    <x v="8"/>
    <x v="1"/>
    <x v="1"/>
    <s v="Beer"/>
    <x v="2"/>
  </r>
  <r>
    <n v="10446"/>
    <s v="Jardine"/>
    <s v="jard@gmail.com"/>
    <x v="2"/>
    <n v="180"/>
    <n v="450"/>
    <x v="23"/>
    <n v="321750"/>
    <x v="307"/>
    <x v="0"/>
    <x v="3"/>
    <x v="9"/>
    <x v="1"/>
    <x v="0"/>
    <s v="Beer"/>
    <x v="3"/>
  </r>
  <r>
    <n v="10447"/>
    <s v="Andrews"/>
    <s v="andy@gmail.com"/>
    <x v="3"/>
    <n v="170"/>
    <n v="250"/>
    <x v="14"/>
    <n v="234750"/>
    <x v="308"/>
    <x v="1"/>
    <x v="4"/>
    <x v="10"/>
    <x v="0"/>
    <x v="0"/>
    <s v="Beer"/>
    <x v="3"/>
  </r>
  <r>
    <n v="10448"/>
    <s v="Howard"/>
    <s v="howard_freeman@yahoo.com"/>
    <x v="4"/>
    <n v="150"/>
    <n v="200"/>
    <x v="45"/>
    <n v="178200"/>
    <x v="309"/>
    <x v="2"/>
    <x v="5"/>
    <x v="11"/>
    <x v="2"/>
    <x v="1"/>
    <s v="Beer"/>
    <x v="3"/>
  </r>
  <r>
    <n v="10449"/>
    <s v="Gill"/>
    <s v="gillhell@uk.com"/>
    <x v="5"/>
    <n v="80"/>
    <n v="150"/>
    <x v="60"/>
    <n v="110400"/>
    <x v="310"/>
    <x v="3"/>
    <x v="0"/>
    <x v="0"/>
    <x v="1"/>
    <x v="1"/>
    <s v="Malt"/>
    <x v="0"/>
  </r>
  <r>
    <n v="10450"/>
    <s v="Gill"/>
    <s v="gillhell@uk.com"/>
    <x v="6"/>
    <n v="90"/>
    <n v="150"/>
    <x v="209"/>
    <n v="119550"/>
    <x v="311"/>
    <x v="4"/>
    <x v="1"/>
    <x v="1"/>
    <x v="2"/>
    <x v="1"/>
    <s v="Malt"/>
    <x v="0"/>
  </r>
  <r>
    <n v="10451"/>
    <s v="Kivell"/>
    <s v="kivel_go@yahoo.com"/>
    <x v="0"/>
    <n v="150"/>
    <n v="200"/>
    <x v="161"/>
    <n v="182600"/>
    <x v="312"/>
    <x v="0"/>
    <x v="2"/>
    <x v="2"/>
    <x v="2"/>
    <x v="0"/>
    <s v="Beer"/>
    <x v="0"/>
  </r>
  <r>
    <n v="10452"/>
    <s v="Jones"/>
    <s v="jone.ai@yahoo.com"/>
    <x v="1"/>
    <n v="250"/>
    <n v="500"/>
    <x v="43"/>
    <n v="355000"/>
    <x v="313"/>
    <x v="1"/>
    <x v="3"/>
    <x v="3"/>
    <x v="2"/>
    <x v="0"/>
    <s v="Beer"/>
    <x v="1"/>
  </r>
  <r>
    <n v="10453"/>
    <s v="Morgan"/>
    <s v="morganny@gmail.com"/>
    <x v="2"/>
    <n v="180"/>
    <n v="450"/>
    <x v="50"/>
    <n v="374400"/>
    <x v="128"/>
    <x v="2"/>
    <x v="4"/>
    <x v="4"/>
    <x v="0"/>
    <x v="1"/>
    <s v="Beer"/>
    <x v="1"/>
  </r>
  <r>
    <n v="10454"/>
    <s v="Kivell"/>
    <s v="kivel_go@yahoo.com"/>
    <x v="3"/>
    <n v="170"/>
    <n v="250"/>
    <x v="44"/>
    <n v="238000"/>
    <x v="314"/>
    <x v="3"/>
    <x v="5"/>
    <x v="5"/>
    <x v="0"/>
    <x v="1"/>
    <s v="Beer"/>
    <x v="1"/>
  </r>
  <r>
    <n v="10455"/>
    <s v="Sorvino"/>
    <s v="sorvi2000@gmail.com"/>
    <x v="4"/>
    <n v="150"/>
    <n v="200"/>
    <x v="210"/>
    <n v="193400"/>
    <x v="315"/>
    <x v="4"/>
    <x v="0"/>
    <x v="6"/>
    <x v="2"/>
    <x v="1"/>
    <s v="Beer"/>
    <x v="2"/>
  </r>
  <r>
    <n v="10456"/>
    <s v="Gill"/>
    <s v="gillhell@uk.com"/>
    <x v="5"/>
    <n v="80"/>
    <n v="150"/>
    <x v="80"/>
    <n v="131850"/>
    <x v="316"/>
    <x v="0"/>
    <x v="1"/>
    <x v="7"/>
    <x v="1"/>
    <x v="0"/>
    <s v="Malt"/>
    <x v="2"/>
  </r>
  <r>
    <n v="10457"/>
    <s v="Sorvino"/>
    <s v="sorvi2000@gmail.com"/>
    <x v="6"/>
    <n v="90"/>
    <n v="150"/>
    <x v="211"/>
    <n v="105750"/>
    <x v="317"/>
    <x v="1"/>
    <x v="2"/>
    <x v="8"/>
    <x v="1"/>
    <x v="0"/>
    <s v="Malt"/>
    <x v="2"/>
  </r>
  <r>
    <n v="10458"/>
    <s v="Thompson"/>
    <s v="thomp@uk.com"/>
    <x v="0"/>
    <n v="150"/>
    <n v="200"/>
    <x v="49"/>
    <n v="175600"/>
    <x v="318"/>
    <x v="2"/>
    <x v="3"/>
    <x v="9"/>
    <x v="1"/>
    <x v="1"/>
    <s v="Beer"/>
    <x v="3"/>
  </r>
  <r>
    <n v="10459"/>
    <s v="Andrews"/>
    <s v="andy@gmail.com"/>
    <x v="1"/>
    <n v="250"/>
    <n v="500"/>
    <x v="93"/>
    <n v="451500"/>
    <x v="319"/>
    <x v="3"/>
    <x v="4"/>
    <x v="10"/>
    <x v="1"/>
    <x v="1"/>
    <s v="Beer"/>
    <x v="3"/>
  </r>
  <r>
    <n v="10460"/>
    <s v="Jardine"/>
    <s v="jard@gmail.com"/>
    <x v="2"/>
    <n v="180"/>
    <n v="450"/>
    <x v="114"/>
    <n v="355950"/>
    <x v="320"/>
    <x v="4"/>
    <x v="5"/>
    <x v="11"/>
    <x v="1"/>
    <x v="1"/>
    <s v="Beer"/>
    <x v="3"/>
  </r>
  <r>
    <n v="10461"/>
    <s v="Jardine"/>
    <s v="jard@gmail.com"/>
    <x v="3"/>
    <n v="170"/>
    <n v="250"/>
    <x v="201"/>
    <n v="223750"/>
    <x v="321"/>
    <x v="0"/>
    <x v="0"/>
    <x v="0"/>
    <x v="1"/>
    <x v="0"/>
    <s v="Beer"/>
    <x v="0"/>
  </r>
  <r>
    <n v="10462"/>
    <s v="Andrews"/>
    <s v="andy@gmail.com"/>
    <x v="4"/>
    <n v="150"/>
    <n v="200"/>
    <x v="203"/>
    <n v="151800"/>
    <x v="291"/>
    <x v="1"/>
    <x v="1"/>
    <x v="1"/>
    <x v="1"/>
    <x v="0"/>
    <s v="Beer"/>
    <x v="0"/>
  </r>
  <r>
    <n v="10463"/>
    <s v="Jardine"/>
    <s v="jard@gmail.com"/>
    <x v="5"/>
    <n v="80"/>
    <n v="150"/>
    <x v="204"/>
    <n v="118500"/>
    <x v="322"/>
    <x v="2"/>
    <x v="2"/>
    <x v="2"/>
    <x v="2"/>
    <x v="1"/>
    <s v="Malt"/>
    <x v="0"/>
  </r>
  <r>
    <n v="10464"/>
    <s v="Gill"/>
    <s v="gillhell@uk.com"/>
    <x v="6"/>
    <n v="90"/>
    <n v="150"/>
    <x v="84"/>
    <n v="108300"/>
    <x v="323"/>
    <x v="3"/>
    <x v="3"/>
    <x v="3"/>
    <x v="2"/>
    <x v="1"/>
    <s v="Malt"/>
    <x v="1"/>
  </r>
  <r>
    <n v="10465"/>
    <s v="Sorvino"/>
    <s v="sorvi2000@gmail.com"/>
    <x v="0"/>
    <n v="150"/>
    <n v="200"/>
    <x v="206"/>
    <n v="177600"/>
    <x v="297"/>
    <x v="4"/>
    <x v="4"/>
    <x v="4"/>
    <x v="0"/>
    <x v="1"/>
    <s v="Beer"/>
    <x v="1"/>
  </r>
  <r>
    <n v="10466"/>
    <s v="Jones"/>
    <s v="jone.ai@yahoo.com"/>
    <x v="1"/>
    <n v="250"/>
    <n v="500"/>
    <x v="85"/>
    <n v="424500"/>
    <x v="324"/>
    <x v="0"/>
    <x v="5"/>
    <x v="5"/>
    <x v="1"/>
    <x v="0"/>
    <s v="Beer"/>
    <x v="1"/>
  </r>
  <r>
    <n v="10467"/>
    <s v="Andrews"/>
    <s v="andy@gmail.com"/>
    <x v="2"/>
    <n v="180"/>
    <n v="450"/>
    <x v="60"/>
    <n v="331200"/>
    <x v="325"/>
    <x v="1"/>
    <x v="0"/>
    <x v="6"/>
    <x v="1"/>
    <x v="0"/>
    <s v="Beer"/>
    <x v="2"/>
  </r>
  <r>
    <n v="10468"/>
    <s v="Jardine"/>
    <s v="jard@gmail.com"/>
    <x v="3"/>
    <n v="170"/>
    <n v="250"/>
    <x v="13"/>
    <n v="210750"/>
    <x v="326"/>
    <x v="2"/>
    <x v="1"/>
    <x v="7"/>
    <x v="0"/>
    <x v="1"/>
    <s v="Beer"/>
    <x v="2"/>
  </r>
  <r>
    <n v="10469"/>
    <s v="Thompson"/>
    <s v="thomp@uk.com"/>
    <x v="4"/>
    <n v="150"/>
    <n v="200"/>
    <x v="24"/>
    <n v="199800"/>
    <x v="24"/>
    <x v="3"/>
    <x v="2"/>
    <x v="8"/>
    <x v="1"/>
    <x v="1"/>
    <s v="Beer"/>
    <x v="2"/>
  </r>
  <r>
    <n v="10470"/>
    <s v="Jones"/>
    <s v="jone.ai@yahoo.com"/>
    <x v="5"/>
    <n v="80"/>
    <n v="150"/>
    <x v="18"/>
    <n v="149400"/>
    <x v="245"/>
    <x v="4"/>
    <x v="3"/>
    <x v="9"/>
    <x v="1"/>
    <x v="1"/>
    <s v="Malt"/>
    <x v="3"/>
  </r>
  <r>
    <n v="10471"/>
    <s v="Morgan"/>
    <s v="morganny@gmail.com"/>
    <x v="6"/>
    <n v="90"/>
    <n v="150"/>
    <x v="176"/>
    <n v="107700"/>
    <x v="327"/>
    <x v="0"/>
    <x v="4"/>
    <x v="10"/>
    <x v="2"/>
    <x v="0"/>
    <s v="Malt"/>
    <x v="3"/>
  </r>
  <r>
    <n v="10472"/>
    <s v="Howard"/>
    <s v="howard_freeman@yahoo.com"/>
    <x v="0"/>
    <n v="150"/>
    <n v="200"/>
    <x v="8"/>
    <n v="140000"/>
    <x v="328"/>
    <x v="1"/>
    <x v="5"/>
    <x v="11"/>
    <x v="2"/>
    <x v="0"/>
    <s v="Beer"/>
    <x v="3"/>
  </r>
  <r>
    <n v="10473"/>
    <s v="Parent"/>
    <s v="parentty@uk.com"/>
    <x v="1"/>
    <n v="250"/>
    <n v="500"/>
    <x v="39"/>
    <n v="413500"/>
    <x v="329"/>
    <x v="2"/>
    <x v="0"/>
    <x v="0"/>
    <x v="1"/>
    <x v="1"/>
    <s v="Beer"/>
    <x v="0"/>
  </r>
  <r>
    <n v="10474"/>
    <s v="Jones"/>
    <s v="jone.ai@yahoo.com"/>
    <x v="2"/>
    <n v="180"/>
    <n v="450"/>
    <x v="156"/>
    <n v="339750"/>
    <x v="330"/>
    <x v="3"/>
    <x v="1"/>
    <x v="1"/>
    <x v="1"/>
    <x v="1"/>
    <s v="Beer"/>
    <x v="0"/>
  </r>
  <r>
    <n v="10475"/>
    <s v="Smith"/>
    <s v="smithMan@yahoo.com"/>
    <x v="3"/>
    <n v="170"/>
    <n v="250"/>
    <x v="139"/>
    <n v="200750"/>
    <x v="331"/>
    <x v="4"/>
    <x v="2"/>
    <x v="2"/>
    <x v="0"/>
    <x v="1"/>
    <s v="Beer"/>
    <x v="0"/>
  </r>
  <r>
    <n v="10476"/>
    <s v="Jones"/>
    <s v="jone.ai@yahoo.com"/>
    <x v="4"/>
    <n v="150"/>
    <n v="200"/>
    <x v="12"/>
    <n v="146200"/>
    <x v="332"/>
    <x v="0"/>
    <x v="3"/>
    <x v="3"/>
    <x v="0"/>
    <x v="0"/>
    <s v="Beer"/>
    <x v="1"/>
  </r>
  <r>
    <n v="10477"/>
    <s v="Morgan"/>
    <s v="morganny@gmail.com"/>
    <x v="5"/>
    <n v="80"/>
    <n v="150"/>
    <x v="17"/>
    <n v="136500"/>
    <x v="333"/>
    <x v="1"/>
    <x v="4"/>
    <x v="4"/>
    <x v="0"/>
    <x v="0"/>
    <s v="Malt"/>
    <x v="1"/>
  </r>
  <r>
    <n v="10478"/>
    <s v="Jones"/>
    <s v="jone.ai@yahoo.com"/>
    <x v="6"/>
    <n v="90"/>
    <n v="150"/>
    <x v="138"/>
    <n v="112050"/>
    <x v="334"/>
    <x v="2"/>
    <x v="5"/>
    <x v="5"/>
    <x v="2"/>
    <x v="1"/>
    <s v="Malt"/>
    <x v="1"/>
  </r>
  <r>
    <n v="10479"/>
    <s v="Parent"/>
    <s v="parentty@uk.com"/>
    <x v="0"/>
    <n v="150"/>
    <n v="200"/>
    <x v="212"/>
    <n v="198800"/>
    <x v="335"/>
    <x v="3"/>
    <x v="0"/>
    <x v="6"/>
    <x v="2"/>
    <x v="1"/>
    <s v="Beer"/>
    <x v="2"/>
  </r>
  <r>
    <n v="10480"/>
    <s v="Kivell"/>
    <s v="kivel_go@yahoo.com"/>
    <x v="1"/>
    <n v="250"/>
    <n v="500"/>
    <x v="25"/>
    <n v="491000"/>
    <x v="336"/>
    <x v="4"/>
    <x v="1"/>
    <x v="7"/>
    <x v="2"/>
    <x v="1"/>
    <s v="Beer"/>
    <x v="2"/>
  </r>
  <r>
    <n v="10481"/>
    <s v="Smith"/>
    <s v="smithMan@yahoo.com"/>
    <x v="2"/>
    <n v="180"/>
    <n v="450"/>
    <x v="189"/>
    <n v="431100"/>
    <x v="337"/>
    <x v="0"/>
    <x v="2"/>
    <x v="8"/>
    <x v="2"/>
    <x v="0"/>
    <s v="Beer"/>
    <x v="2"/>
  </r>
  <r>
    <n v="10482"/>
    <s v="Parent"/>
    <s v="parentty@uk.com"/>
    <x v="3"/>
    <n v="170"/>
    <n v="250"/>
    <x v="213"/>
    <n v="235750"/>
    <x v="338"/>
    <x v="1"/>
    <x v="3"/>
    <x v="9"/>
    <x v="2"/>
    <x v="0"/>
    <s v="Beer"/>
    <x v="3"/>
  </r>
  <r>
    <n v="10483"/>
    <s v="Gill"/>
    <s v="gillhell@uk.com"/>
    <x v="4"/>
    <n v="150"/>
    <n v="200"/>
    <x v="73"/>
    <n v="189200"/>
    <x v="75"/>
    <x v="2"/>
    <x v="4"/>
    <x v="10"/>
    <x v="0"/>
    <x v="1"/>
    <s v="Beer"/>
    <x v="3"/>
  </r>
  <r>
    <n v="10484"/>
    <s v="Smith"/>
    <s v="smithMan@yahoo.com"/>
    <x v="5"/>
    <n v="80"/>
    <n v="150"/>
    <x v="166"/>
    <n v="127800"/>
    <x v="339"/>
    <x v="3"/>
    <x v="5"/>
    <x v="11"/>
    <x v="2"/>
    <x v="1"/>
    <s v="Malt"/>
    <x v="3"/>
  </r>
  <r>
    <n v="10485"/>
    <s v="Jones"/>
    <s v="jone.ai@yahoo.com"/>
    <x v="6"/>
    <n v="90"/>
    <n v="150"/>
    <x v="214"/>
    <n v="144000"/>
    <x v="103"/>
    <x v="4"/>
    <x v="0"/>
    <x v="0"/>
    <x v="1"/>
    <x v="1"/>
    <s v="Malt"/>
    <x v="0"/>
  </r>
  <r>
    <n v="10486"/>
    <s v="Sorvino"/>
    <s v="sorvi2000@gmail.com"/>
    <x v="0"/>
    <n v="150"/>
    <n v="200"/>
    <x v="116"/>
    <n v="198400"/>
    <x v="340"/>
    <x v="0"/>
    <x v="1"/>
    <x v="1"/>
    <x v="0"/>
    <x v="0"/>
    <s v="Beer"/>
    <x v="0"/>
  </r>
  <r>
    <n v="10487"/>
    <s v="Jardine"/>
    <s v="jard@gmail.com"/>
    <x v="1"/>
    <n v="250"/>
    <n v="500"/>
    <x v="214"/>
    <n v="480000"/>
    <x v="341"/>
    <x v="1"/>
    <x v="2"/>
    <x v="2"/>
    <x v="2"/>
    <x v="0"/>
    <s v="Beer"/>
    <x v="0"/>
  </r>
  <r>
    <n v="10488"/>
    <s v="Andrews"/>
    <s v="andy@gmail.com"/>
    <x v="2"/>
    <n v="180"/>
    <n v="450"/>
    <x v="215"/>
    <n v="378900"/>
    <x v="342"/>
    <x v="2"/>
    <x v="3"/>
    <x v="3"/>
    <x v="1"/>
    <x v="1"/>
    <s v="Beer"/>
    <x v="1"/>
  </r>
  <r>
    <n v="10489"/>
    <s v="Howard"/>
    <s v="howard_freeman@yahoo.com"/>
    <x v="3"/>
    <n v="170"/>
    <n v="250"/>
    <x v="140"/>
    <n v="187500"/>
    <x v="343"/>
    <x v="3"/>
    <x v="4"/>
    <x v="4"/>
    <x v="1"/>
    <x v="1"/>
    <s v="Beer"/>
    <x v="1"/>
  </r>
  <r>
    <n v="10490"/>
    <s v="Gill"/>
    <s v="gillhell@uk.com"/>
    <x v="4"/>
    <n v="150"/>
    <n v="200"/>
    <x v="216"/>
    <n v="159200"/>
    <x v="344"/>
    <x v="4"/>
    <x v="5"/>
    <x v="5"/>
    <x v="1"/>
    <x v="1"/>
    <s v="Beer"/>
    <x v="1"/>
  </r>
  <r>
    <n v="10491"/>
    <s v="Gill"/>
    <s v="gillhell@uk.com"/>
    <x v="5"/>
    <n v="80"/>
    <n v="150"/>
    <x v="131"/>
    <n v="141600"/>
    <x v="30"/>
    <x v="0"/>
    <x v="0"/>
    <x v="6"/>
    <x v="1"/>
    <x v="0"/>
    <s v="Malt"/>
    <x v="2"/>
  </r>
  <r>
    <n v="10492"/>
    <s v="Kivell"/>
    <s v="kivel_go@yahoo.com"/>
    <x v="6"/>
    <n v="90"/>
    <n v="150"/>
    <x v="133"/>
    <n v="128100"/>
    <x v="345"/>
    <x v="1"/>
    <x v="1"/>
    <x v="7"/>
    <x v="0"/>
    <x v="0"/>
    <s v="Malt"/>
    <x v="2"/>
  </r>
  <r>
    <n v="10493"/>
    <s v="Jones"/>
    <s v="jone.ai@yahoo.com"/>
    <x v="0"/>
    <n v="150"/>
    <n v="200"/>
    <x v="217"/>
    <n v="185200"/>
    <x v="346"/>
    <x v="2"/>
    <x v="2"/>
    <x v="8"/>
    <x v="0"/>
    <x v="1"/>
    <s v="Beer"/>
    <x v="2"/>
  </r>
  <r>
    <n v="10494"/>
    <s v="Morgan"/>
    <s v="morganny@gmail.com"/>
    <x v="1"/>
    <n v="250"/>
    <n v="500"/>
    <x v="218"/>
    <n v="404000"/>
    <x v="347"/>
    <x v="3"/>
    <x v="3"/>
    <x v="9"/>
    <x v="2"/>
    <x v="1"/>
    <s v="Beer"/>
    <x v="3"/>
  </r>
  <r>
    <n v="10495"/>
    <s v="Kivell"/>
    <s v="kivel_go@yahoo.com"/>
    <x v="2"/>
    <n v="180"/>
    <n v="450"/>
    <x v="219"/>
    <n v="397350"/>
    <x v="348"/>
    <x v="4"/>
    <x v="4"/>
    <x v="10"/>
    <x v="0"/>
    <x v="1"/>
    <s v="Beer"/>
    <x v="3"/>
  </r>
  <r>
    <n v="10496"/>
    <s v="Sorvino"/>
    <s v="sorvi2000@gmail.com"/>
    <x v="3"/>
    <n v="170"/>
    <n v="250"/>
    <x v="189"/>
    <n v="239500"/>
    <x v="349"/>
    <x v="0"/>
    <x v="5"/>
    <x v="11"/>
    <x v="0"/>
    <x v="0"/>
    <s v="Beer"/>
    <x v="3"/>
  </r>
  <r>
    <n v="10497"/>
    <s v="Gill"/>
    <s v="gillhell@uk.com"/>
    <x v="4"/>
    <n v="150"/>
    <n v="200"/>
    <x v="108"/>
    <n v="196800"/>
    <x v="350"/>
    <x v="1"/>
    <x v="0"/>
    <x v="0"/>
    <x v="0"/>
    <x v="0"/>
    <s v="Beer"/>
    <x v="0"/>
  </r>
  <r>
    <n v="10498"/>
    <s v="Sorvino"/>
    <s v="sorvi2000@gmail.com"/>
    <x v="5"/>
    <n v="80"/>
    <n v="150"/>
    <x v="3"/>
    <n v="114750"/>
    <x v="292"/>
    <x v="2"/>
    <x v="1"/>
    <x v="1"/>
    <x v="2"/>
    <x v="1"/>
    <s v="Malt"/>
    <x v="0"/>
  </r>
  <r>
    <n v="10499"/>
    <s v="Thompson"/>
    <s v="thomp@uk.com"/>
    <x v="6"/>
    <n v="90"/>
    <n v="150"/>
    <x v="220"/>
    <n v="143400"/>
    <x v="351"/>
    <x v="3"/>
    <x v="2"/>
    <x v="2"/>
    <x v="2"/>
    <x v="1"/>
    <s v="Malt"/>
    <x v="0"/>
  </r>
  <r>
    <n v="10500"/>
    <s v="Andrews"/>
    <s v="andy@gmail.com"/>
    <x v="0"/>
    <n v="150"/>
    <n v="200"/>
    <x v="58"/>
    <n v="186200"/>
    <x v="352"/>
    <x v="4"/>
    <x v="3"/>
    <x v="3"/>
    <x v="0"/>
    <x v="1"/>
    <s v="Beer"/>
    <x v="1"/>
  </r>
  <r>
    <n v="10501"/>
    <s v="Jardine"/>
    <s v="jard@gmail.com"/>
    <x v="1"/>
    <n v="250"/>
    <n v="500"/>
    <x v="176"/>
    <n v="359000"/>
    <x v="353"/>
    <x v="0"/>
    <x v="4"/>
    <x v="4"/>
    <x v="1"/>
    <x v="0"/>
    <s v="Beer"/>
    <x v="1"/>
  </r>
  <r>
    <n v="10502"/>
    <s v="Jardine"/>
    <s v="jard@gmail.com"/>
    <x v="2"/>
    <n v="180"/>
    <n v="450"/>
    <x v="54"/>
    <n v="349200"/>
    <x v="354"/>
    <x v="1"/>
    <x v="5"/>
    <x v="5"/>
    <x v="1"/>
    <x v="0"/>
    <s v="Beer"/>
    <x v="1"/>
  </r>
  <r>
    <n v="10503"/>
    <s v="Andrews"/>
    <s v="andy@gmail.com"/>
    <x v="3"/>
    <n v="170"/>
    <n v="250"/>
    <x v="4"/>
    <n v="209000"/>
    <x v="355"/>
    <x v="2"/>
    <x v="0"/>
    <x v="6"/>
    <x v="1"/>
    <x v="1"/>
    <s v="Beer"/>
    <x v="2"/>
  </r>
  <r>
    <n v="10504"/>
    <s v="Jones"/>
    <s v="jone.ai@yahoo.com"/>
    <x v="4"/>
    <n v="150"/>
    <n v="200"/>
    <x v="221"/>
    <n v="146000"/>
    <x v="356"/>
    <x v="3"/>
    <x v="1"/>
    <x v="7"/>
    <x v="2"/>
    <x v="1"/>
    <s v="Beer"/>
    <x v="2"/>
  </r>
  <r>
    <n v="10505"/>
    <s v="Morgan"/>
    <s v="morganny@gmail.com"/>
    <x v="5"/>
    <n v="80"/>
    <n v="150"/>
    <x v="222"/>
    <n v="111150"/>
    <x v="357"/>
    <x v="4"/>
    <x v="2"/>
    <x v="8"/>
    <x v="2"/>
    <x v="1"/>
    <s v="Malt"/>
    <x v="2"/>
  </r>
  <r>
    <n v="10506"/>
    <s v="Kivell"/>
    <s v="kivel_go@yahoo.com"/>
    <x v="6"/>
    <n v="90"/>
    <n v="150"/>
    <x v="25"/>
    <n v="147300"/>
    <x v="358"/>
    <x v="0"/>
    <x v="3"/>
    <x v="9"/>
    <x v="0"/>
    <x v="0"/>
    <s v="Malt"/>
    <x v="3"/>
  </r>
  <r>
    <n v="10507"/>
    <s v="Sorvino"/>
    <s v="sorvi2000@gmail.com"/>
    <x v="0"/>
    <n v="150"/>
    <n v="200"/>
    <x v="187"/>
    <n v="144800"/>
    <x v="260"/>
    <x v="1"/>
    <x v="4"/>
    <x v="10"/>
    <x v="0"/>
    <x v="0"/>
    <s v="Beer"/>
    <x v="3"/>
  </r>
  <r>
    <n v="10508"/>
    <s v="Gill"/>
    <s v="gillhell@uk.com"/>
    <x v="1"/>
    <n v="250"/>
    <n v="500"/>
    <x v="223"/>
    <n v="453000"/>
    <x v="359"/>
    <x v="2"/>
    <x v="5"/>
    <x v="11"/>
    <x v="1"/>
    <x v="1"/>
    <s v="Beer"/>
    <x v="3"/>
  </r>
  <r>
    <n v="10509"/>
    <s v="Sorvino"/>
    <s v="sorvi2000@gmail.com"/>
    <x v="2"/>
    <n v="180"/>
    <n v="450"/>
    <x v="175"/>
    <n v="408150"/>
    <x v="360"/>
    <x v="3"/>
    <x v="0"/>
    <x v="0"/>
    <x v="1"/>
    <x v="1"/>
    <s v="Beer"/>
    <x v="0"/>
  </r>
  <r>
    <n v="10510"/>
    <s v="Thompson"/>
    <s v="thomp@uk.com"/>
    <x v="3"/>
    <n v="170"/>
    <n v="250"/>
    <x v="64"/>
    <n v="178000"/>
    <x v="361"/>
    <x v="4"/>
    <x v="1"/>
    <x v="1"/>
    <x v="0"/>
    <x v="1"/>
    <s v="Beer"/>
    <x v="0"/>
  </r>
  <r>
    <n v="10511"/>
    <s v="Andrews"/>
    <s v="andy@gmail.com"/>
    <x v="4"/>
    <n v="150"/>
    <n v="200"/>
    <x v="21"/>
    <n v="171800"/>
    <x v="275"/>
    <x v="0"/>
    <x v="2"/>
    <x v="2"/>
    <x v="1"/>
    <x v="0"/>
    <s v="Beer"/>
    <x v="0"/>
  </r>
  <r>
    <n v="10512"/>
    <s v="Jardine"/>
    <s v="jard@gmail.com"/>
    <x v="5"/>
    <n v="80"/>
    <n v="150"/>
    <x v="224"/>
    <n v="115500"/>
    <x v="362"/>
    <x v="1"/>
    <x v="3"/>
    <x v="3"/>
    <x v="1"/>
    <x v="0"/>
    <s v="Malt"/>
    <x v="1"/>
  </r>
  <r>
    <n v="10513"/>
    <s v="Jardine"/>
    <s v="jard@gmail.com"/>
    <x v="6"/>
    <n v="90"/>
    <n v="150"/>
    <x v="200"/>
    <n v="116250"/>
    <x v="263"/>
    <x v="2"/>
    <x v="4"/>
    <x v="4"/>
    <x v="0"/>
    <x v="1"/>
    <s v="Malt"/>
    <x v="1"/>
  </r>
  <r>
    <n v="10514"/>
    <s v="Andrews"/>
    <s v="andy@gmail.com"/>
    <x v="0"/>
    <n v="150"/>
    <n v="200"/>
    <x v="82"/>
    <n v="164000"/>
    <x v="86"/>
    <x v="3"/>
    <x v="5"/>
    <x v="5"/>
    <x v="0"/>
    <x v="1"/>
    <s v="Beer"/>
    <x v="1"/>
  </r>
  <r>
    <n v="10515"/>
    <s v="Jardine"/>
    <s v="jard@gmail.com"/>
    <x v="1"/>
    <n v="250"/>
    <n v="500"/>
    <x v="69"/>
    <n v="416500"/>
    <x v="363"/>
    <x v="4"/>
    <x v="0"/>
    <x v="6"/>
    <x v="1"/>
    <x v="1"/>
    <s v="Beer"/>
    <x v="2"/>
  </r>
  <r>
    <n v="10516"/>
    <s v="Gill"/>
    <s v="gillhell@uk.com"/>
    <x v="2"/>
    <n v="180"/>
    <n v="450"/>
    <x v="167"/>
    <n v="330750"/>
    <x v="364"/>
    <x v="0"/>
    <x v="1"/>
    <x v="7"/>
    <x v="2"/>
    <x v="0"/>
    <s v="Beer"/>
    <x v="2"/>
  </r>
  <r>
    <n v="10517"/>
    <s v="Sorvino"/>
    <s v="sorvi2000@gmail.com"/>
    <x v="3"/>
    <n v="170"/>
    <n v="250"/>
    <x v="225"/>
    <n v="221000"/>
    <x v="365"/>
    <x v="1"/>
    <x v="2"/>
    <x v="8"/>
    <x v="2"/>
    <x v="0"/>
    <s v="Beer"/>
    <x v="2"/>
  </r>
  <r>
    <n v="10518"/>
    <s v="Jones"/>
    <s v="jone.ai@yahoo.com"/>
    <x v="4"/>
    <n v="150"/>
    <n v="200"/>
    <x v="206"/>
    <n v="177600"/>
    <x v="297"/>
    <x v="2"/>
    <x v="3"/>
    <x v="9"/>
    <x v="0"/>
    <x v="1"/>
    <s v="Beer"/>
    <x v="3"/>
  </r>
  <r>
    <n v="10519"/>
    <s v="Andrews"/>
    <s v="andy@gmail.com"/>
    <x v="5"/>
    <n v="80"/>
    <n v="150"/>
    <x v="205"/>
    <n v="113400"/>
    <x v="366"/>
    <x v="3"/>
    <x v="4"/>
    <x v="10"/>
    <x v="2"/>
    <x v="1"/>
    <s v="Malt"/>
    <x v="3"/>
  </r>
  <r>
    <n v="10520"/>
    <s v="Jardine"/>
    <s v="jard@gmail.com"/>
    <x v="6"/>
    <n v="90"/>
    <n v="150"/>
    <x v="226"/>
    <n v="118050"/>
    <x v="367"/>
    <x v="4"/>
    <x v="5"/>
    <x v="11"/>
    <x v="0"/>
    <x v="1"/>
    <s v="Malt"/>
    <x v="3"/>
  </r>
  <r>
    <n v="10521"/>
    <s v="Thompson"/>
    <s v="thomp@uk.com"/>
    <x v="0"/>
    <n v="150"/>
    <n v="200"/>
    <x v="32"/>
    <n v="160800"/>
    <x v="368"/>
    <x v="0"/>
    <x v="0"/>
    <x v="0"/>
    <x v="1"/>
    <x v="0"/>
    <s v="Beer"/>
    <x v="0"/>
  </r>
  <r>
    <n v="10522"/>
    <s v="Jones"/>
    <s v="jone.ai@yahoo.com"/>
    <x v="1"/>
    <n v="250"/>
    <n v="500"/>
    <x v="227"/>
    <n v="493000"/>
    <x v="369"/>
    <x v="1"/>
    <x v="1"/>
    <x v="1"/>
    <x v="1"/>
    <x v="0"/>
    <s v="Beer"/>
    <x v="0"/>
  </r>
  <r>
    <n v="10523"/>
    <s v="Morgan"/>
    <s v="morganny@gmail.com"/>
    <x v="2"/>
    <n v="180"/>
    <n v="450"/>
    <x v="88"/>
    <n v="385200"/>
    <x v="370"/>
    <x v="2"/>
    <x v="2"/>
    <x v="2"/>
    <x v="1"/>
    <x v="1"/>
    <s v="Beer"/>
    <x v="0"/>
  </r>
  <r>
    <n v="10524"/>
    <s v="Howard"/>
    <s v="howard_freeman@yahoo.com"/>
    <x v="3"/>
    <n v="170"/>
    <n v="250"/>
    <x v="41"/>
    <n v="208750"/>
    <x v="371"/>
    <x v="3"/>
    <x v="3"/>
    <x v="3"/>
    <x v="1"/>
    <x v="1"/>
    <s v="Beer"/>
    <x v="1"/>
  </r>
  <r>
    <n v="10525"/>
    <s v="Parent"/>
    <s v="parentty@uk.com"/>
    <x v="4"/>
    <n v="150"/>
    <n v="200"/>
    <x v="228"/>
    <n v="187600"/>
    <x v="372"/>
    <x v="4"/>
    <x v="4"/>
    <x v="4"/>
    <x v="1"/>
    <x v="1"/>
    <s v="Beer"/>
    <x v="1"/>
  </r>
  <r>
    <n v="10526"/>
    <s v="Jones"/>
    <s v="jone.ai@yahoo.com"/>
    <x v="5"/>
    <n v="80"/>
    <n v="150"/>
    <x v="48"/>
    <n v="107850"/>
    <x v="373"/>
    <x v="0"/>
    <x v="5"/>
    <x v="5"/>
    <x v="1"/>
    <x v="0"/>
    <s v="Malt"/>
    <x v="1"/>
  </r>
  <r>
    <n v="10527"/>
    <s v="Smith"/>
    <s v="smithMan@yahoo.com"/>
    <x v="6"/>
    <n v="90"/>
    <n v="150"/>
    <x v="229"/>
    <n v="130200"/>
    <x v="137"/>
    <x v="1"/>
    <x v="0"/>
    <x v="6"/>
    <x v="2"/>
    <x v="0"/>
    <s v="Malt"/>
    <x v="2"/>
  </r>
  <r>
    <n v="10528"/>
    <s v="Jones"/>
    <s v="jone.ai@yahoo.com"/>
    <x v="0"/>
    <n v="150"/>
    <n v="200"/>
    <x v="132"/>
    <n v="177000"/>
    <x v="153"/>
    <x v="2"/>
    <x v="1"/>
    <x v="7"/>
    <x v="1"/>
    <x v="1"/>
    <s v="Beer"/>
    <x v="2"/>
  </r>
  <r>
    <n v="10529"/>
    <s v="Jardine"/>
    <s v="jard@gmail.com"/>
    <x v="1"/>
    <n v="250"/>
    <n v="500"/>
    <x v="213"/>
    <n v="471500"/>
    <x v="374"/>
    <x v="3"/>
    <x v="2"/>
    <x v="8"/>
    <x v="1"/>
    <x v="1"/>
    <s v="Beer"/>
    <x v="2"/>
  </r>
  <r>
    <n v="10530"/>
    <s v="Gill"/>
    <s v="gillhell@uk.com"/>
    <x v="2"/>
    <n v="180"/>
    <n v="450"/>
    <x v="230"/>
    <n v="405000"/>
    <x v="170"/>
    <x v="4"/>
    <x v="3"/>
    <x v="9"/>
    <x v="2"/>
    <x v="1"/>
    <s v="Beer"/>
    <x v="3"/>
  </r>
  <r>
    <n v="10531"/>
    <s v="Sorvino"/>
    <s v="sorvi2000@gmail.com"/>
    <x v="3"/>
    <n v="170"/>
    <n v="250"/>
    <x v="36"/>
    <n v="237500"/>
    <x v="375"/>
    <x v="0"/>
    <x v="4"/>
    <x v="10"/>
    <x v="0"/>
    <x v="0"/>
    <s v="Beer"/>
    <x v="3"/>
  </r>
  <r>
    <n v="10532"/>
    <s v="Jones"/>
    <s v="jone.ai@yahoo.com"/>
    <x v="4"/>
    <n v="150"/>
    <n v="200"/>
    <x v="148"/>
    <n v="148400"/>
    <x v="175"/>
    <x v="1"/>
    <x v="5"/>
    <x v="11"/>
    <x v="2"/>
    <x v="0"/>
    <s v="Beer"/>
    <x v="3"/>
  </r>
  <r>
    <n v="10533"/>
    <s v="Andrews"/>
    <s v="andy@gmail.com"/>
    <x v="5"/>
    <n v="80"/>
    <n v="150"/>
    <x v="231"/>
    <n v="133350"/>
    <x v="376"/>
    <x v="2"/>
    <x v="0"/>
    <x v="0"/>
    <x v="1"/>
    <x v="1"/>
    <s v="Malt"/>
    <x v="0"/>
  </r>
  <r>
    <n v="10534"/>
    <s v="Jardine"/>
    <s v="jard@gmail.com"/>
    <x v="6"/>
    <n v="90"/>
    <n v="150"/>
    <x v="14"/>
    <n v="140850"/>
    <x v="377"/>
    <x v="3"/>
    <x v="1"/>
    <x v="1"/>
    <x v="1"/>
    <x v="1"/>
    <s v="Malt"/>
    <x v="0"/>
  </r>
  <r>
    <n v="10535"/>
    <s v="Thompson"/>
    <s v="thomp@uk.com"/>
    <x v="0"/>
    <n v="150"/>
    <n v="200"/>
    <x v="36"/>
    <n v="190000"/>
    <x v="378"/>
    <x v="4"/>
    <x v="2"/>
    <x v="2"/>
    <x v="1"/>
    <x v="1"/>
    <s v="Beer"/>
    <x v="0"/>
  </r>
  <r>
    <n v="10536"/>
    <s v="Jones"/>
    <s v="jone.ai@yahoo.com"/>
    <x v="1"/>
    <n v="250"/>
    <n v="500"/>
    <x v="9"/>
    <n v="372500"/>
    <x v="379"/>
    <x v="0"/>
    <x v="3"/>
    <x v="3"/>
    <x v="1"/>
    <x v="0"/>
    <s v="Beer"/>
    <x v="1"/>
  </r>
  <r>
    <n v="10537"/>
    <s v="Morgan"/>
    <s v="morganny@gmail.com"/>
    <x v="2"/>
    <n v="180"/>
    <n v="450"/>
    <x v="188"/>
    <n v="419850"/>
    <x v="380"/>
    <x v="1"/>
    <x v="4"/>
    <x v="4"/>
    <x v="2"/>
    <x v="0"/>
    <s v="Beer"/>
    <x v="1"/>
  </r>
  <r>
    <n v="10538"/>
    <s v="Howard"/>
    <s v="howard_freeman@yahoo.com"/>
    <x v="3"/>
    <n v="170"/>
    <n v="250"/>
    <x v="30"/>
    <n v="206500"/>
    <x v="30"/>
    <x v="2"/>
    <x v="5"/>
    <x v="5"/>
    <x v="2"/>
    <x v="1"/>
    <s v="Beer"/>
    <x v="1"/>
  </r>
  <r>
    <n v="10539"/>
    <s v="Parent"/>
    <s v="parentty@uk.com"/>
    <x v="4"/>
    <n v="150"/>
    <n v="200"/>
    <x v="144"/>
    <n v="197800"/>
    <x v="244"/>
    <x v="3"/>
    <x v="0"/>
    <x v="6"/>
    <x v="2"/>
    <x v="1"/>
    <s v="Beer"/>
    <x v="2"/>
  </r>
  <r>
    <n v="10540"/>
    <s v="Jones"/>
    <s v="jone.ai@yahoo.com"/>
    <x v="5"/>
    <n v="80"/>
    <n v="150"/>
    <x v="117"/>
    <n v="132150"/>
    <x v="381"/>
    <x v="4"/>
    <x v="1"/>
    <x v="7"/>
    <x v="0"/>
    <x v="1"/>
    <s v="Malt"/>
    <x v="2"/>
  </r>
  <r>
    <n v="10541"/>
    <s v="Smith"/>
    <s v="smithMan@yahoo.com"/>
    <x v="6"/>
    <n v="90"/>
    <n v="150"/>
    <x v="59"/>
    <n v="115200"/>
    <x v="60"/>
    <x v="0"/>
    <x v="2"/>
    <x v="8"/>
    <x v="0"/>
    <x v="0"/>
    <s v="Malt"/>
    <x v="2"/>
  </r>
  <r>
    <n v="10542"/>
    <s v="Jones"/>
    <s v="jone.ai@yahoo.com"/>
    <x v="0"/>
    <n v="150"/>
    <n v="200"/>
    <x v="232"/>
    <n v="168800"/>
    <x v="382"/>
    <x v="1"/>
    <x v="3"/>
    <x v="9"/>
    <x v="1"/>
    <x v="0"/>
    <s v="Beer"/>
    <x v="3"/>
  </r>
  <r>
    <n v="10543"/>
    <s v="Morgan"/>
    <s v="morganny@gmail.com"/>
    <x v="1"/>
    <n v="250"/>
    <n v="500"/>
    <x v="204"/>
    <n v="395000"/>
    <x v="383"/>
    <x v="2"/>
    <x v="4"/>
    <x v="10"/>
    <x v="2"/>
    <x v="1"/>
    <s v="Beer"/>
    <x v="3"/>
  </r>
  <r>
    <n v="10544"/>
    <s v="Jones"/>
    <s v="jone.ai@yahoo.com"/>
    <x v="2"/>
    <n v="180"/>
    <n v="450"/>
    <x v="19"/>
    <n v="404100"/>
    <x v="384"/>
    <x v="3"/>
    <x v="5"/>
    <x v="11"/>
    <x v="1"/>
    <x v="1"/>
    <s v="Beer"/>
    <x v="3"/>
  </r>
  <r>
    <n v="10545"/>
    <s v="Parent"/>
    <s v="parentty@uk.com"/>
    <x v="3"/>
    <n v="170"/>
    <n v="250"/>
    <x v="159"/>
    <n v="204500"/>
    <x v="385"/>
    <x v="4"/>
    <x v="0"/>
    <x v="0"/>
    <x v="1"/>
    <x v="1"/>
    <s v="Beer"/>
    <x v="0"/>
  </r>
  <r>
    <n v="10546"/>
    <s v="Kivell"/>
    <s v="kivel_go@yahoo.com"/>
    <x v="4"/>
    <n v="150"/>
    <n v="200"/>
    <x v="233"/>
    <n v="141400"/>
    <x v="386"/>
    <x v="0"/>
    <x v="1"/>
    <x v="1"/>
    <x v="1"/>
    <x v="0"/>
    <s v="Beer"/>
    <x v="0"/>
  </r>
  <r>
    <n v="10547"/>
    <s v="Smith"/>
    <s v="smithMan@yahoo.com"/>
    <x v="5"/>
    <n v="80"/>
    <n v="150"/>
    <x v="64"/>
    <n v="106800"/>
    <x v="387"/>
    <x v="1"/>
    <x v="2"/>
    <x v="2"/>
    <x v="2"/>
    <x v="0"/>
    <s v="Malt"/>
    <x v="0"/>
  </r>
  <r>
    <n v="10548"/>
    <s v="Parent"/>
    <s v="parentty@uk.com"/>
    <x v="6"/>
    <n v="90"/>
    <n v="150"/>
    <x v="134"/>
    <n v="148650"/>
    <x v="388"/>
    <x v="2"/>
    <x v="3"/>
    <x v="3"/>
    <x v="1"/>
    <x v="1"/>
    <s v="Malt"/>
    <x v="1"/>
  </r>
  <r>
    <n v="10549"/>
    <s v="Gill"/>
    <s v="gillhell@uk.com"/>
    <x v="0"/>
    <n v="150"/>
    <n v="200"/>
    <x v="230"/>
    <n v="180000"/>
    <x v="389"/>
    <x v="3"/>
    <x v="4"/>
    <x v="4"/>
    <x v="0"/>
    <x v="1"/>
    <s v="Beer"/>
    <x v="1"/>
  </r>
  <r>
    <n v="10550"/>
    <s v="Smith"/>
    <s v="smithMan@yahoo.com"/>
    <x v="1"/>
    <n v="250"/>
    <n v="500"/>
    <x v="106"/>
    <n v="405000"/>
    <x v="390"/>
    <x v="4"/>
    <x v="5"/>
    <x v="5"/>
    <x v="0"/>
    <x v="1"/>
    <s v="Beer"/>
    <x v="1"/>
  </r>
  <r>
    <n v="10551"/>
    <s v="Jones"/>
    <s v="jone.ai@yahoo.com"/>
    <x v="2"/>
    <n v="180"/>
    <n v="450"/>
    <x v="234"/>
    <n v="333000"/>
    <x v="391"/>
    <x v="0"/>
    <x v="0"/>
    <x v="6"/>
    <x v="0"/>
    <x v="0"/>
    <s v="Beer"/>
    <x v="2"/>
  </r>
  <r>
    <n v="10552"/>
    <s v="Sorvino"/>
    <s v="sorvi2000@gmail.com"/>
    <x v="3"/>
    <n v="170"/>
    <n v="250"/>
    <x v="129"/>
    <n v="227250"/>
    <x v="392"/>
    <x v="1"/>
    <x v="1"/>
    <x v="7"/>
    <x v="2"/>
    <x v="0"/>
    <s v="Beer"/>
    <x v="2"/>
  </r>
  <r>
    <n v="10553"/>
    <s v="Jardine"/>
    <s v="jard@gmail.com"/>
    <x v="4"/>
    <n v="150"/>
    <n v="200"/>
    <x v="160"/>
    <n v="164800"/>
    <x v="393"/>
    <x v="2"/>
    <x v="2"/>
    <x v="8"/>
    <x v="1"/>
    <x v="1"/>
    <s v="Beer"/>
    <x v="2"/>
  </r>
  <r>
    <n v="10554"/>
    <s v="Andrews"/>
    <s v="andy@gmail.com"/>
    <x v="5"/>
    <n v="80"/>
    <n v="150"/>
    <x v="235"/>
    <n v="121350"/>
    <x v="394"/>
    <x v="3"/>
    <x v="3"/>
    <x v="9"/>
    <x v="2"/>
    <x v="1"/>
    <s v="Malt"/>
    <x v="3"/>
  </r>
  <r>
    <n v="10555"/>
    <s v="Howard"/>
    <s v="howard_freeman@yahoo.com"/>
    <x v="6"/>
    <n v="90"/>
    <n v="150"/>
    <x v="163"/>
    <n v="122850"/>
    <x v="395"/>
    <x v="4"/>
    <x v="4"/>
    <x v="10"/>
    <x v="1"/>
    <x v="1"/>
    <s v="Malt"/>
    <x v="3"/>
  </r>
  <r>
    <n v="10556"/>
    <s v="Gill"/>
    <s v="gillhell@uk.com"/>
    <x v="0"/>
    <n v="150"/>
    <n v="200"/>
    <x v="157"/>
    <n v="173000"/>
    <x v="251"/>
    <x v="0"/>
    <x v="5"/>
    <x v="11"/>
    <x v="0"/>
    <x v="0"/>
    <s v="Beer"/>
    <x v="3"/>
  </r>
  <r>
    <n v="10557"/>
    <s v="Gill"/>
    <s v="gillhell@uk.com"/>
    <x v="1"/>
    <n v="250"/>
    <n v="500"/>
    <x v="11"/>
    <n v="451000"/>
    <x v="176"/>
    <x v="1"/>
    <x v="0"/>
    <x v="0"/>
    <x v="0"/>
    <x v="0"/>
    <s v="Beer"/>
    <x v="0"/>
  </r>
  <r>
    <n v="10558"/>
    <s v="Kivell"/>
    <s v="kivel_go@yahoo.com"/>
    <x v="2"/>
    <n v="180"/>
    <n v="450"/>
    <x v="216"/>
    <n v="358200"/>
    <x v="396"/>
    <x v="2"/>
    <x v="1"/>
    <x v="1"/>
    <x v="2"/>
    <x v="1"/>
    <s v="Beer"/>
    <x v="0"/>
  </r>
  <r>
    <n v="10559"/>
    <s v="Jones"/>
    <s v="jone.ai@yahoo.com"/>
    <x v="3"/>
    <n v="170"/>
    <n v="250"/>
    <x v="236"/>
    <n v="229000"/>
    <x v="397"/>
    <x v="3"/>
    <x v="2"/>
    <x v="2"/>
    <x v="1"/>
    <x v="1"/>
    <s v="Beer"/>
    <x v="0"/>
  </r>
  <r>
    <n v="10560"/>
    <s v="Morgan"/>
    <s v="morganny@gmail.com"/>
    <x v="4"/>
    <n v="150"/>
    <n v="200"/>
    <x v="25"/>
    <n v="196400"/>
    <x v="196"/>
    <x v="4"/>
    <x v="3"/>
    <x v="3"/>
    <x v="2"/>
    <x v="1"/>
    <s v="Beer"/>
    <x v="1"/>
  </r>
  <r>
    <n v="10561"/>
    <s v="Kivell"/>
    <s v="kivel_go@yahoo.com"/>
    <x v="5"/>
    <n v="80"/>
    <n v="150"/>
    <x v="237"/>
    <n v="110100"/>
    <x v="398"/>
    <x v="0"/>
    <x v="4"/>
    <x v="4"/>
    <x v="1"/>
    <x v="0"/>
    <s v="Malt"/>
    <x v="1"/>
  </r>
  <r>
    <n v="10562"/>
    <s v="Sorvino"/>
    <s v="sorvi2000@gmail.com"/>
    <x v="6"/>
    <n v="90"/>
    <n v="150"/>
    <x v="167"/>
    <n v="110250"/>
    <x v="217"/>
    <x v="1"/>
    <x v="5"/>
    <x v="5"/>
    <x v="0"/>
    <x v="0"/>
    <s v="Malt"/>
    <x v="1"/>
  </r>
  <r>
    <n v="10563"/>
    <s v="Gill"/>
    <s v="gillhell@uk.com"/>
    <x v="0"/>
    <n v="150"/>
    <n v="200"/>
    <x v="138"/>
    <n v="149400"/>
    <x v="399"/>
    <x v="2"/>
    <x v="0"/>
    <x v="6"/>
    <x v="2"/>
    <x v="1"/>
    <s v="Beer"/>
    <x v="2"/>
  </r>
  <r>
    <n v="10564"/>
    <s v="Sorvino"/>
    <s v="sorvi2000@gmail.com"/>
    <x v="1"/>
    <n v="250"/>
    <n v="500"/>
    <x v="5"/>
    <n v="399000"/>
    <x v="400"/>
    <x v="3"/>
    <x v="1"/>
    <x v="7"/>
    <x v="1"/>
    <x v="1"/>
    <s v="Beer"/>
    <x v="2"/>
  </r>
  <r>
    <n v="10565"/>
    <s v="Thompson"/>
    <s v="thomp@uk.com"/>
    <x v="2"/>
    <n v="180"/>
    <n v="450"/>
    <x v="137"/>
    <n v="373050"/>
    <x v="160"/>
    <x v="4"/>
    <x v="2"/>
    <x v="8"/>
    <x v="2"/>
    <x v="1"/>
    <s v="Beer"/>
    <x v="2"/>
  </r>
  <r>
    <n v="10566"/>
    <s v="Andrews"/>
    <s v="andy@gmail.com"/>
    <x v="3"/>
    <n v="170"/>
    <n v="250"/>
    <x v="72"/>
    <n v="182250"/>
    <x v="149"/>
    <x v="0"/>
    <x v="3"/>
    <x v="9"/>
    <x v="2"/>
    <x v="0"/>
    <s v="Beer"/>
    <x v="3"/>
  </r>
  <r>
    <n v="10567"/>
    <s v="Jardine"/>
    <s v="jard@gmail.com"/>
    <x v="4"/>
    <n v="150"/>
    <n v="200"/>
    <x v="155"/>
    <n v="144200"/>
    <x v="401"/>
    <x v="1"/>
    <x v="4"/>
    <x v="10"/>
    <x v="0"/>
    <x v="0"/>
    <s v="Beer"/>
    <x v="3"/>
  </r>
  <r>
    <n v="10568"/>
    <s v="Jardine"/>
    <s v="jard@gmail.com"/>
    <x v="5"/>
    <n v="80"/>
    <n v="150"/>
    <x v="15"/>
    <n v="106350"/>
    <x v="402"/>
    <x v="2"/>
    <x v="5"/>
    <x v="11"/>
    <x v="1"/>
    <x v="1"/>
    <s v="Malt"/>
    <x v="3"/>
  </r>
  <r>
    <n v="10569"/>
    <s v="Andrews"/>
    <s v="andy@gmail.com"/>
    <x v="6"/>
    <n v="90"/>
    <n v="150"/>
    <x v="48"/>
    <n v="107850"/>
    <x v="403"/>
    <x v="3"/>
    <x v="0"/>
    <x v="0"/>
    <x v="2"/>
    <x v="1"/>
    <s v="Malt"/>
    <x v="0"/>
  </r>
  <r>
    <n v="10570"/>
    <s v="Jardine"/>
    <s v="jard@gmail.com"/>
    <x v="0"/>
    <n v="150"/>
    <n v="200"/>
    <x v="27"/>
    <n v="175000"/>
    <x v="27"/>
    <x v="4"/>
    <x v="1"/>
    <x v="1"/>
    <x v="1"/>
    <x v="1"/>
    <s v="Beer"/>
    <x v="0"/>
  </r>
  <r>
    <n v="10571"/>
    <s v="Gill"/>
    <s v="gillhell@uk.com"/>
    <x v="1"/>
    <n v="250"/>
    <n v="500"/>
    <x v="147"/>
    <n v="381000"/>
    <x v="404"/>
    <x v="0"/>
    <x v="2"/>
    <x v="2"/>
    <x v="2"/>
    <x v="0"/>
    <s v="Beer"/>
    <x v="0"/>
  </r>
  <r>
    <n v="10572"/>
    <s v="Sorvino"/>
    <s v="sorvi2000@gmail.com"/>
    <x v="2"/>
    <n v="180"/>
    <n v="450"/>
    <x v="238"/>
    <n v="433800"/>
    <x v="405"/>
    <x v="1"/>
    <x v="3"/>
    <x v="3"/>
    <x v="2"/>
    <x v="0"/>
    <s v="Beer"/>
    <x v="1"/>
  </r>
  <r>
    <n v="10573"/>
    <s v="Jones"/>
    <s v="jone.ai@yahoo.com"/>
    <x v="3"/>
    <n v="170"/>
    <n v="250"/>
    <x v="58"/>
    <n v="232750"/>
    <x v="406"/>
    <x v="2"/>
    <x v="4"/>
    <x v="4"/>
    <x v="1"/>
    <x v="1"/>
    <s v="Beer"/>
    <x v="1"/>
  </r>
  <r>
    <n v="10574"/>
    <s v="Andrews"/>
    <s v="andy@gmail.com"/>
    <x v="4"/>
    <n v="150"/>
    <n v="200"/>
    <x v="51"/>
    <n v="153200"/>
    <x v="51"/>
    <x v="3"/>
    <x v="5"/>
    <x v="5"/>
    <x v="0"/>
    <x v="1"/>
    <s v="Beer"/>
    <x v="1"/>
  </r>
  <r>
    <n v="10575"/>
    <s v="Jardine"/>
    <s v="jard@gmail.com"/>
    <x v="5"/>
    <n v="80"/>
    <n v="150"/>
    <x v="239"/>
    <n v="111900"/>
    <x v="407"/>
    <x v="4"/>
    <x v="0"/>
    <x v="6"/>
    <x v="1"/>
    <x v="1"/>
    <s v="Malt"/>
    <x v="2"/>
  </r>
  <r>
    <n v="10576"/>
    <s v="Thompson"/>
    <s v="thomp@uk.com"/>
    <x v="6"/>
    <n v="90"/>
    <n v="150"/>
    <x v="240"/>
    <n v="141300"/>
    <x v="408"/>
    <x v="0"/>
    <x v="1"/>
    <x v="7"/>
    <x v="2"/>
    <x v="0"/>
    <s v="Malt"/>
    <x v="2"/>
  </r>
  <r>
    <n v="10577"/>
    <s v="Jones"/>
    <s v="jone.ai@yahoo.com"/>
    <x v="0"/>
    <n v="150"/>
    <n v="200"/>
    <x v="187"/>
    <n v="144800"/>
    <x v="260"/>
    <x v="1"/>
    <x v="2"/>
    <x v="8"/>
    <x v="0"/>
    <x v="0"/>
    <s v="Beer"/>
    <x v="2"/>
  </r>
  <r>
    <n v="10578"/>
    <s v="Morgan"/>
    <s v="morganny@gmail.com"/>
    <x v="1"/>
    <n v="250"/>
    <n v="500"/>
    <x v="241"/>
    <n v="443500"/>
    <x v="409"/>
    <x v="2"/>
    <x v="3"/>
    <x v="9"/>
    <x v="1"/>
    <x v="1"/>
    <s v="Beer"/>
    <x v="3"/>
  </r>
  <r>
    <n v="10579"/>
    <s v="Howard"/>
    <s v="howard_freeman@yahoo.com"/>
    <x v="2"/>
    <n v="180"/>
    <n v="450"/>
    <x v="184"/>
    <n v="316350"/>
    <x v="410"/>
    <x v="3"/>
    <x v="4"/>
    <x v="10"/>
    <x v="2"/>
    <x v="1"/>
    <s v="Beer"/>
    <x v="3"/>
  </r>
  <r>
    <n v="10580"/>
    <s v="Parent"/>
    <s v="parentty@uk.com"/>
    <x v="3"/>
    <n v="170"/>
    <n v="250"/>
    <x v="128"/>
    <n v="232500"/>
    <x v="411"/>
    <x v="4"/>
    <x v="5"/>
    <x v="11"/>
    <x v="1"/>
    <x v="1"/>
    <s v="Beer"/>
    <x v="3"/>
  </r>
  <r>
    <n v="10581"/>
    <s v="Jones"/>
    <s v="jone.ai@yahoo.com"/>
    <x v="4"/>
    <n v="150"/>
    <n v="200"/>
    <x v="154"/>
    <n v="173400"/>
    <x v="412"/>
    <x v="0"/>
    <x v="0"/>
    <x v="0"/>
    <x v="2"/>
    <x v="0"/>
    <s v="Beer"/>
    <x v="0"/>
  </r>
  <r>
    <n v="10582"/>
    <s v="Smith"/>
    <s v="smithMan@yahoo.com"/>
    <x v="5"/>
    <n v="80"/>
    <n v="150"/>
    <x v="242"/>
    <n v="127950"/>
    <x v="413"/>
    <x v="1"/>
    <x v="1"/>
    <x v="1"/>
    <x v="1"/>
    <x v="0"/>
    <s v="Malt"/>
    <x v="0"/>
  </r>
  <r>
    <n v="10583"/>
    <s v="Jones"/>
    <s v="jone.ai@yahoo.com"/>
    <x v="6"/>
    <n v="90"/>
    <n v="150"/>
    <x v="29"/>
    <n v="119100"/>
    <x v="414"/>
    <x v="2"/>
    <x v="2"/>
    <x v="2"/>
    <x v="1"/>
    <x v="1"/>
    <s v="Malt"/>
    <x v="0"/>
  </r>
  <r>
    <n v="10584"/>
    <s v="Morgan"/>
    <s v="morganny@gmail.com"/>
    <x v="0"/>
    <n v="150"/>
    <n v="200"/>
    <x v="70"/>
    <n v="194800"/>
    <x v="72"/>
    <x v="3"/>
    <x v="3"/>
    <x v="3"/>
    <x v="1"/>
    <x v="1"/>
    <s v="Beer"/>
    <x v="1"/>
  </r>
  <r>
    <n v="10585"/>
    <s v="Jones"/>
    <s v="jone.ai@yahoo.com"/>
    <x v="1"/>
    <n v="250"/>
    <n v="500"/>
    <x v="198"/>
    <n v="389000"/>
    <x v="415"/>
    <x v="4"/>
    <x v="4"/>
    <x v="4"/>
    <x v="0"/>
    <x v="1"/>
    <s v="Beer"/>
    <x v="1"/>
  </r>
  <r>
    <n v="10586"/>
    <s v="Parent"/>
    <s v="parentty@uk.com"/>
    <x v="2"/>
    <n v="180"/>
    <n v="450"/>
    <x v="14"/>
    <n v="422550"/>
    <x v="416"/>
    <x v="0"/>
    <x v="5"/>
    <x v="5"/>
    <x v="1"/>
    <x v="0"/>
    <s v="Beer"/>
    <x v="1"/>
  </r>
  <r>
    <n v="10587"/>
    <s v="Kivell"/>
    <s v="kivel_go@yahoo.com"/>
    <x v="3"/>
    <n v="170"/>
    <n v="250"/>
    <x v="104"/>
    <n v="190750"/>
    <x v="417"/>
    <x v="1"/>
    <x v="0"/>
    <x v="6"/>
    <x v="2"/>
    <x v="0"/>
    <s v="Beer"/>
    <x v="2"/>
  </r>
  <r>
    <n v="10588"/>
    <s v="Smith"/>
    <s v="smithMan@yahoo.com"/>
    <x v="4"/>
    <n v="150"/>
    <n v="200"/>
    <x v="243"/>
    <n v="194000"/>
    <x v="418"/>
    <x v="2"/>
    <x v="1"/>
    <x v="7"/>
    <x v="0"/>
    <x v="1"/>
    <s v="Beer"/>
    <x v="2"/>
  </r>
  <r>
    <n v="10589"/>
    <s v="Parent"/>
    <s v="parentty@uk.com"/>
    <x v="5"/>
    <n v="80"/>
    <n v="150"/>
    <x v="218"/>
    <n v="121200"/>
    <x v="419"/>
    <x v="3"/>
    <x v="2"/>
    <x v="8"/>
    <x v="2"/>
    <x v="1"/>
    <s v="Malt"/>
    <x v="2"/>
  </r>
  <r>
    <n v="10590"/>
    <s v="Gill"/>
    <s v="gillhell@uk.com"/>
    <x v="6"/>
    <n v="90"/>
    <n v="150"/>
    <x v="44"/>
    <n v="142800"/>
    <x v="420"/>
    <x v="4"/>
    <x v="3"/>
    <x v="9"/>
    <x v="0"/>
    <x v="1"/>
    <s v="Malt"/>
    <x v="3"/>
  </r>
  <r>
    <n v="10591"/>
    <s v="Smith"/>
    <s v="smithMan@yahoo.com"/>
    <x v="0"/>
    <n v="150"/>
    <n v="200"/>
    <x v="62"/>
    <n v="183600"/>
    <x v="421"/>
    <x v="0"/>
    <x v="4"/>
    <x v="10"/>
    <x v="0"/>
    <x v="0"/>
    <s v="Beer"/>
    <x v="3"/>
  </r>
  <r>
    <n v="10592"/>
    <s v="Jones"/>
    <s v="jone.ai@yahoo.com"/>
    <x v="1"/>
    <n v="250"/>
    <n v="500"/>
    <x v="110"/>
    <n v="467000"/>
    <x v="422"/>
    <x v="1"/>
    <x v="5"/>
    <x v="11"/>
    <x v="1"/>
    <x v="0"/>
    <s v="Beer"/>
    <x v="3"/>
  </r>
  <r>
    <n v="10593"/>
    <s v="Sorvino"/>
    <s v="sorvi2000@gmail.com"/>
    <x v="2"/>
    <n v="180"/>
    <n v="450"/>
    <x v="244"/>
    <n v="338850"/>
    <x v="423"/>
    <x v="2"/>
    <x v="0"/>
    <x v="0"/>
    <x v="0"/>
    <x v="1"/>
    <s v="Beer"/>
    <x v="0"/>
  </r>
  <r>
    <n v="10594"/>
    <s v="Jardine"/>
    <s v="jard@gmail.com"/>
    <x v="3"/>
    <n v="170"/>
    <n v="250"/>
    <x v="234"/>
    <n v="185000"/>
    <x v="424"/>
    <x v="3"/>
    <x v="1"/>
    <x v="1"/>
    <x v="1"/>
    <x v="1"/>
    <s v="Beer"/>
    <x v="0"/>
  </r>
  <r>
    <n v="10595"/>
    <s v="Andrews"/>
    <s v="andy@gmail.com"/>
    <x v="4"/>
    <n v="150"/>
    <n v="200"/>
    <x v="137"/>
    <n v="165800"/>
    <x v="305"/>
    <x v="4"/>
    <x v="2"/>
    <x v="2"/>
    <x v="1"/>
    <x v="1"/>
    <s v="Beer"/>
    <x v="0"/>
  </r>
  <r>
    <n v="10596"/>
    <s v="Howard"/>
    <s v="howard_freeman@yahoo.com"/>
    <x v="5"/>
    <n v="80"/>
    <n v="150"/>
    <x v="245"/>
    <n v="146550"/>
    <x v="425"/>
    <x v="0"/>
    <x v="3"/>
    <x v="3"/>
    <x v="1"/>
    <x v="0"/>
    <s v="Malt"/>
    <x v="1"/>
  </r>
  <r>
    <n v="10597"/>
    <s v="Gill"/>
    <s v="gillhell@uk.com"/>
    <x v="6"/>
    <n v="90"/>
    <n v="150"/>
    <x v="113"/>
    <n v="145200"/>
    <x v="426"/>
    <x v="1"/>
    <x v="4"/>
    <x v="4"/>
    <x v="1"/>
    <x v="0"/>
    <s v="Malt"/>
    <x v="1"/>
  </r>
  <r>
    <n v="10598"/>
    <s v="Gill"/>
    <s v="gillhell@uk.com"/>
    <x v="0"/>
    <n v="150"/>
    <n v="200"/>
    <x v="209"/>
    <n v="159400"/>
    <x v="427"/>
    <x v="2"/>
    <x v="5"/>
    <x v="5"/>
    <x v="2"/>
    <x v="1"/>
    <s v="Beer"/>
    <x v="1"/>
  </r>
  <r>
    <n v="10599"/>
    <s v="Kivell"/>
    <s v="kivel_go@yahoo.com"/>
    <x v="1"/>
    <n v="250"/>
    <n v="500"/>
    <x v="217"/>
    <n v="463000"/>
    <x v="428"/>
    <x v="3"/>
    <x v="0"/>
    <x v="6"/>
    <x v="1"/>
    <x v="1"/>
    <s v="Beer"/>
    <x v="2"/>
  </r>
  <r>
    <n v="10600"/>
    <s v="Jones"/>
    <s v="jone.ai@yahoo.com"/>
    <x v="2"/>
    <n v="180"/>
    <n v="450"/>
    <x v="246"/>
    <n v="416250"/>
    <x v="429"/>
    <x v="4"/>
    <x v="1"/>
    <x v="7"/>
    <x v="0"/>
    <x v="1"/>
    <s v="Beer"/>
    <x v="2"/>
  </r>
  <r>
    <n v="10601"/>
    <s v="Morgan"/>
    <s v="morganny@gmail.com"/>
    <x v="3"/>
    <n v="170"/>
    <n v="250"/>
    <x v="247"/>
    <n v="227750"/>
    <x v="430"/>
    <x v="0"/>
    <x v="2"/>
    <x v="8"/>
    <x v="2"/>
    <x v="0"/>
    <s v="Beer"/>
    <x v="2"/>
  </r>
  <r>
    <n v="10602"/>
    <s v="Kivell"/>
    <s v="kivel_go@yahoo.com"/>
    <x v="4"/>
    <n v="150"/>
    <n v="200"/>
    <x v="15"/>
    <n v="141800"/>
    <x v="431"/>
    <x v="1"/>
    <x v="3"/>
    <x v="9"/>
    <x v="2"/>
    <x v="0"/>
    <s v="Beer"/>
    <x v="3"/>
  </r>
  <r>
    <n v="10603"/>
    <s v="Sorvino"/>
    <s v="sorvi2000@gmail.com"/>
    <x v="5"/>
    <n v="80"/>
    <n v="150"/>
    <x v="114"/>
    <n v="118650"/>
    <x v="432"/>
    <x v="2"/>
    <x v="4"/>
    <x v="10"/>
    <x v="0"/>
    <x v="1"/>
    <s v="Malt"/>
    <x v="3"/>
  </r>
  <r>
    <n v="10604"/>
    <s v="Gill"/>
    <s v="gillhell@uk.com"/>
    <x v="6"/>
    <n v="90"/>
    <n v="150"/>
    <x v="170"/>
    <n v="105300"/>
    <x v="433"/>
    <x v="3"/>
    <x v="5"/>
    <x v="11"/>
    <x v="1"/>
    <x v="1"/>
    <s v="Malt"/>
    <x v="3"/>
  </r>
  <r>
    <n v="10605"/>
    <s v="Sorvino"/>
    <s v="sorvi2000@gmail.com"/>
    <x v="0"/>
    <n v="150"/>
    <n v="200"/>
    <x v="169"/>
    <n v="184400"/>
    <x v="434"/>
    <x v="4"/>
    <x v="0"/>
    <x v="0"/>
    <x v="2"/>
    <x v="1"/>
    <s v="Beer"/>
    <x v="0"/>
  </r>
  <r>
    <n v="10606"/>
    <s v="Thompson"/>
    <s v="thomp@uk.com"/>
    <x v="1"/>
    <n v="250"/>
    <n v="500"/>
    <x v="101"/>
    <n v="478500"/>
    <x v="435"/>
    <x v="0"/>
    <x v="1"/>
    <x v="1"/>
    <x v="0"/>
    <x v="0"/>
    <s v="Beer"/>
    <x v="0"/>
  </r>
  <r>
    <n v="10607"/>
    <s v="Andrews"/>
    <s v="andy@gmail.com"/>
    <x v="2"/>
    <n v="180"/>
    <n v="450"/>
    <x v="248"/>
    <n v="364950"/>
    <x v="436"/>
    <x v="1"/>
    <x v="2"/>
    <x v="2"/>
    <x v="2"/>
    <x v="0"/>
    <s v="Beer"/>
    <x v="0"/>
  </r>
  <r>
    <n v="10608"/>
    <s v="Jardine"/>
    <s v="jard@gmail.com"/>
    <x v="3"/>
    <n v="170"/>
    <n v="250"/>
    <x v="54"/>
    <n v="194000"/>
    <x v="135"/>
    <x v="2"/>
    <x v="3"/>
    <x v="3"/>
    <x v="1"/>
    <x v="1"/>
    <s v="Beer"/>
    <x v="1"/>
  </r>
  <r>
    <n v="10609"/>
    <s v="Jardine"/>
    <s v="jard@gmail.com"/>
    <x v="4"/>
    <n v="150"/>
    <n v="200"/>
    <x v="190"/>
    <n v="199600"/>
    <x v="437"/>
    <x v="3"/>
    <x v="4"/>
    <x v="4"/>
    <x v="1"/>
    <x v="1"/>
    <s v="Beer"/>
    <x v="1"/>
  </r>
  <r>
    <n v="10610"/>
    <s v="Andrews"/>
    <s v="andy@gmail.com"/>
    <x v="5"/>
    <n v="80"/>
    <n v="150"/>
    <x v="55"/>
    <n v="130800"/>
    <x v="417"/>
    <x v="4"/>
    <x v="5"/>
    <x v="5"/>
    <x v="2"/>
    <x v="1"/>
    <s v="Malt"/>
    <x v="1"/>
  </r>
  <r>
    <n v="10611"/>
    <s v="Jones"/>
    <s v="jone.ai@yahoo.com"/>
    <x v="6"/>
    <n v="90"/>
    <n v="150"/>
    <x v="104"/>
    <n v="114450"/>
    <x v="152"/>
    <x v="0"/>
    <x v="0"/>
    <x v="6"/>
    <x v="0"/>
    <x v="0"/>
    <s v="Malt"/>
    <x v="2"/>
  </r>
  <r>
    <n v="10612"/>
    <s v="Morgan"/>
    <s v="morganny@gmail.com"/>
    <x v="0"/>
    <n v="150"/>
    <n v="200"/>
    <x v="249"/>
    <n v="164400"/>
    <x v="438"/>
    <x v="1"/>
    <x v="1"/>
    <x v="7"/>
    <x v="2"/>
    <x v="0"/>
    <s v="Beer"/>
    <x v="2"/>
  </r>
  <r>
    <n v="10613"/>
    <s v="Kivell"/>
    <s v="kivel_go@yahoo.com"/>
    <x v="1"/>
    <n v="250"/>
    <n v="500"/>
    <x v="155"/>
    <n v="360500"/>
    <x v="439"/>
    <x v="2"/>
    <x v="2"/>
    <x v="8"/>
    <x v="1"/>
    <x v="1"/>
    <s v="Beer"/>
    <x v="2"/>
  </r>
  <r>
    <n v="10614"/>
    <s v="Sorvino"/>
    <s v="sorvi2000@gmail.com"/>
    <x v="2"/>
    <n v="180"/>
    <n v="450"/>
    <x v="33"/>
    <n v="400500"/>
    <x v="440"/>
    <x v="3"/>
    <x v="3"/>
    <x v="9"/>
    <x v="2"/>
    <x v="1"/>
    <s v="Beer"/>
    <x v="3"/>
  </r>
  <r>
    <n v="10615"/>
    <s v="Gill"/>
    <s v="gillhell@uk.com"/>
    <x v="3"/>
    <n v="170"/>
    <n v="250"/>
    <x v="20"/>
    <n v="215000"/>
    <x v="441"/>
    <x v="4"/>
    <x v="4"/>
    <x v="10"/>
    <x v="0"/>
    <x v="1"/>
    <s v="Beer"/>
    <x v="3"/>
  </r>
  <r>
    <n v="10616"/>
    <s v="Sorvino"/>
    <s v="sorvi2000@gmail.com"/>
    <x v="4"/>
    <n v="150"/>
    <n v="200"/>
    <x v="160"/>
    <n v="164800"/>
    <x v="393"/>
    <x v="0"/>
    <x v="5"/>
    <x v="11"/>
    <x v="2"/>
    <x v="0"/>
    <s v="Beer"/>
    <x v="3"/>
  </r>
  <r>
    <n v="10617"/>
    <s v="Thompson"/>
    <s v="thomp@uk.com"/>
    <x v="5"/>
    <n v="80"/>
    <n v="150"/>
    <x v="236"/>
    <n v="137400"/>
    <x v="442"/>
    <x v="1"/>
    <x v="0"/>
    <x v="0"/>
    <x v="2"/>
    <x v="0"/>
    <s v="Malt"/>
    <x v="0"/>
  </r>
  <r>
    <n v="10618"/>
    <s v="Andrews"/>
    <s v="andy@gmail.com"/>
    <x v="6"/>
    <n v="90"/>
    <n v="150"/>
    <x v="99"/>
    <n v="128250"/>
    <x v="443"/>
    <x v="2"/>
    <x v="1"/>
    <x v="1"/>
    <x v="0"/>
    <x v="1"/>
    <s v="Malt"/>
    <x v="0"/>
  </r>
  <r>
    <n v="10619"/>
    <s v="Jardine"/>
    <s v="jard@gmail.com"/>
    <x v="0"/>
    <n v="150"/>
    <n v="200"/>
    <x v="23"/>
    <n v="143000"/>
    <x v="444"/>
    <x v="3"/>
    <x v="2"/>
    <x v="2"/>
    <x v="1"/>
    <x v="1"/>
    <s v="Beer"/>
    <x v="0"/>
  </r>
  <r>
    <n v="10620"/>
    <s v="Jardine"/>
    <s v="jard@gmail.com"/>
    <x v="1"/>
    <n v="250"/>
    <n v="500"/>
    <x v="65"/>
    <n v="470000"/>
    <x v="445"/>
    <x v="4"/>
    <x v="3"/>
    <x v="3"/>
    <x v="0"/>
    <x v="1"/>
    <s v="Beer"/>
    <x v="1"/>
  </r>
  <r>
    <n v="10621"/>
    <s v="Andrews"/>
    <s v="andy@gmail.com"/>
    <x v="2"/>
    <n v="180"/>
    <n v="450"/>
    <x v="57"/>
    <n v="381150"/>
    <x v="446"/>
    <x v="0"/>
    <x v="4"/>
    <x v="4"/>
    <x v="0"/>
    <x v="0"/>
    <s v="Beer"/>
    <x v="1"/>
  </r>
  <r>
    <n v="10622"/>
    <s v="Jardine"/>
    <s v="jard@gmail.com"/>
    <x v="3"/>
    <n v="170"/>
    <n v="250"/>
    <x v="231"/>
    <n v="222250"/>
    <x v="447"/>
    <x v="1"/>
    <x v="5"/>
    <x v="5"/>
    <x v="2"/>
    <x v="0"/>
    <s v="Beer"/>
    <x v="1"/>
  </r>
  <r>
    <n v="10623"/>
    <s v="Gill"/>
    <s v="gillhell@uk.com"/>
    <x v="4"/>
    <n v="150"/>
    <n v="200"/>
    <x v="178"/>
    <n v="185600"/>
    <x v="448"/>
    <x v="2"/>
    <x v="0"/>
    <x v="6"/>
    <x v="0"/>
    <x v="1"/>
    <s v="Beer"/>
    <x v="2"/>
  </r>
  <r>
    <n v="10624"/>
    <s v="Sorvino"/>
    <s v="sorvi2000@gmail.com"/>
    <x v="5"/>
    <n v="80"/>
    <n v="150"/>
    <x v="213"/>
    <n v="141450"/>
    <x v="449"/>
    <x v="3"/>
    <x v="1"/>
    <x v="7"/>
    <x v="0"/>
    <x v="1"/>
    <s v="Malt"/>
    <x v="2"/>
  </r>
  <r>
    <n v="10625"/>
    <s v="Jones"/>
    <s v="jone.ai@yahoo.com"/>
    <x v="6"/>
    <n v="90"/>
    <n v="150"/>
    <x v="199"/>
    <n v="107400"/>
    <x v="286"/>
    <x v="4"/>
    <x v="2"/>
    <x v="8"/>
    <x v="1"/>
    <x v="1"/>
    <s v="Malt"/>
    <x v="2"/>
  </r>
  <r>
    <n v="10626"/>
    <s v="Andrews"/>
    <s v="andy@gmail.com"/>
    <x v="0"/>
    <n v="150"/>
    <n v="200"/>
    <x v="250"/>
    <n v="151400"/>
    <x v="450"/>
    <x v="0"/>
    <x v="3"/>
    <x v="9"/>
    <x v="1"/>
    <x v="0"/>
    <s v="Beer"/>
    <x v="3"/>
  </r>
  <r>
    <n v="10627"/>
    <s v="Jardine"/>
    <s v="jard@gmail.com"/>
    <x v="1"/>
    <n v="250"/>
    <n v="500"/>
    <x v="75"/>
    <n v="397500"/>
    <x v="451"/>
    <x v="1"/>
    <x v="4"/>
    <x v="10"/>
    <x v="2"/>
    <x v="0"/>
    <s v="Beer"/>
    <x v="3"/>
  </r>
  <r>
    <n v="10628"/>
    <s v="Thompson"/>
    <s v="thomp@uk.com"/>
    <x v="2"/>
    <n v="180"/>
    <n v="450"/>
    <x v="65"/>
    <n v="423000"/>
    <x v="452"/>
    <x v="2"/>
    <x v="5"/>
    <x v="11"/>
    <x v="0"/>
    <x v="1"/>
    <s v="Beer"/>
    <x v="3"/>
  </r>
  <r>
    <n v="10629"/>
    <s v="Jones"/>
    <s v="jone.ai@yahoo.com"/>
    <x v="3"/>
    <n v="170"/>
    <n v="250"/>
    <x v="171"/>
    <n v="224750"/>
    <x v="453"/>
    <x v="3"/>
    <x v="0"/>
    <x v="0"/>
    <x v="0"/>
    <x v="1"/>
    <s v="Beer"/>
    <x v="0"/>
  </r>
  <r>
    <n v="10630"/>
    <s v="Morgan"/>
    <s v="morganny@gmail.com"/>
    <x v="4"/>
    <n v="150"/>
    <n v="200"/>
    <x v="175"/>
    <n v="181400"/>
    <x v="454"/>
    <x v="4"/>
    <x v="1"/>
    <x v="1"/>
    <x v="1"/>
    <x v="1"/>
    <s v="Beer"/>
    <x v="0"/>
  </r>
  <r>
    <n v="10631"/>
    <s v="Howard"/>
    <s v="howard_freeman@yahoo.com"/>
    <x v="5"/>
    <n v="80"/>
    <n v="150"/>
    <x v="202"/>
    <n v="139350"/>
    <x v="455"/>
    <x v="0"/>
    <x v="2"/>
    <x v="2"/>
    <x v="0"/>
    <x v="0"/>
    <s v="Malt"/>
    <x v="0"/>
  </r>
  <r>
    <n v="10632"/>
    <s v="Parent"/>
    <s v="parentty@uk.com"/>
    <x v="6"/>
    <n v="90"/>
    <n v="150"/>
    <x v="204"/>
    <n v="118500"/>
    <x v="68"/>
    <x v="1"/>
    <x v="3"/>
    <x v="3"/>
    <x v="1"/>
    <x v="0"/>
    <s v="Malt"/>
    <x v="1"/>
  </r>
  <r>
    <n v="10633"/>
    <s v="Jones"/>
    <s v="jone.ai@yahoo.com"/>
    <x v="0"/>
    <n v="150"/>
    <n v="200"/>
    <x v="14"/>
    <n v="187800"/>
    <x v="14"/>
    <x v="2"/>
    <x v="4"/>
    <x v="4"/>
    <x v="1"/>
    <x v="1"/>
    <s v="Beer"/>
    <x v="1"/>
  </r>
  <r>
    <n v="10634"/>
    <s v="Smith"/>
    <s v="smithMan@yahoo.com"/>
    <x v="1"/>
    <n v="250"/>
    <n v="500"/>
    <x v="95"/>
    <n v="360000"/>
    <x v="456"/>
    <x v="3"/>
    <x v="5"/>
    <x v="5"/>
    <x v="0"/>
    <x v="1"/>
    <s v="Beer"/>
    <x v="1"/>
  </r>
  <r>
    <n v="10635"/>
    <s v="Jones"/>
    <s v="jone.ai@yahoo.com"/>
    <x v="2"/>
    <n v="180"/>
    <n v="450"/>
    <x v="9"/>
    <n v="335250"/>
    <x v="9"/>
    <x v="4"/>
    <x v="0"/>
    <x v="6"/>
    <x v="1"/>
    <x v="1"/>
    <s v="Beer"/>
    <x v="2"/>
  </r>
  <r>
    <n v="10636"/>
    <s v="Jardine"/>
    <s v="jard@gmail.com"/>
    <x v="3"/>
    <n v="170"/>
    <n v="250"/>
    <x v="251"/>
    <n v="211500"/>
    <x v="457"/>
    <x v="0"/>
    <x v="1"/>
    <x v="7"/>
    <x v="2"/>
    <x v="0"/>
    <s v="Beer"/>
    <x v="2"/>
  </r>
  <r>
    <n v="10637"/>
    <s v="Gill"/>
    <s v="gillhell@uk.com"/>
    <x v="4"/>
    <n v="150"/>
    <n v="200"/>
    <x v="2"/>
    <n v="187400"/>
    <x v="458"/>
    <x v="1"/>
    <x v="2"/>
    <x v="8"/>
    <x v="1"/>
    <x v="0"/>
    <s v="Beer"/>
    <x v="2"/>
  </r>
  <r>
    <n v="10638"/>
    <s v="Sorvino"/>
    <s v="sorvi2000@gmail.com"/>
    <x v="5"/>
    <n v="80"/>
    <n v="150"/>
    <x v="98"/>
    <n v="131100"/>
    <x v="459"/>
    <x v="2"/>
    <x v="3"/>
    <x v="9"/>
    <x v="1"/>
    <x v="1"/>
    <s v="Malt"/>
    <x v="3"/>
  </r>
  <r>
    <n v="10639"/>
    <s v="Jones"/>
    <s v="jone.ai@yahoo.com"/>
    <x v="6"/>
    <n v="90"/>
    <n v="150"/>
    <x v="249"/>
    <n v="123300"/>
    <x v="460"/>
    <x v="3"/>
    <x v="4"/>
    <x v="10"/>
    <x v="1"/>
    <x v="1"/>
    <s v="Malt"/>
    <x v="3"/>
  </r>
  <r>
    <n v="10640"/>
    <s v="Andrews"/>
    <s v="andy@gmail.com"/>
    <x v="0"/>
    <n v="150"/>
    <n v="200"/>
    <x v="252"/>
    <n v="147400"/>
    <x v="461"/>
    <x v="4"/>
    <x v="5"/>
    <x v="11"/>
    <x v="2"/>
    <x v="1"/>
    <s v="Beer"/>
    <x v="3"/>
  </r>
  <r>
    <n v="10641"/>
    <s v="Jardine"/>
    <s v="jard@gmail.com"/>
    <x v="1"/>
    <n v="250"/>
    <n v="500"/>
    <x v="203"/>
    <n v="379500"/>
    <x v="462"/>
    <x v="0"/>
    <x v="0"/>
    <x v="0"/>
    <x v="1"/>
    <x v="0"/>
    <s v="Beer"/>
    <x v="0"/>
  </r>
  <r>
    <n v="10642"/>
    <s v="Thompson"/>
    <s v="thomp@uk.com"/>
    <x v="2"/>
    <n v="180"/>
    <n v="450"/>
    <x v="253"/>
    <n v="394650"/>
    <x v="463"/>
    <x v="1"/>
    <x v="1"/>
    <x v="1"/>
    <x v="1"/>
    <x v="0"/>
    <s v="Beer"/>
    <x v="0"/>
  </r>
  <r>
    <n v="10643"/>
    <s v="Jones"/>
    <s v="jone.ai@yahoo.com"/>
    <x v="3"/>
    <n v="170"/>
    <n v="250"/>
    <x v="98"/>
    <n v="218500"/>
    <x v="464"/>
    <x v="2"/>
    <x v="2"/>
    <x v="2"/>
    <x v="2"/>
    <x v="1"/>
    <s v="Beer"/>
    <x v="0"/>
  </r>
  <r>
    <n v="10644"/>
    <s v="Morgan"/>
    <s v="morganny@gmail.com"/>
    <x v="4"/>
    <n v="150"/>
    <n v="200"/>
    <x v="104"/>
    <n v="152600"/>
    <x v="465"/>
    <x v="3"/>
    <x v="3"/>
    <x v="3"/>
    <x v="1"/>
    <x v="1"/>
    <s v="Beer"/>
    <x v="1"/>
  </r>
  <r>
    <n v="10645"/>
    <s v="Howard"/>
    <s v="howard_freeman@yahoo.com"/>
    <x v="5"/>
    <n v="80"/>
    <n v="150"/>
    <x v="254"/>
    <n v="118950"/>
    <x v="466"/>
    <x v="4"/>
    <x v="4"/>
    <x v="4"/>
    <x v="1"/>
    <x v="1"/>
    <s v="Malt"/>
    <x v="1"/>
  </r>
  <r>
    <n v="10646"/>
    <s v="Parent"/>
    <s v="parentty@uk.com"/>
    <x v="6"/>
    <n v="90"/>
    <n v="150"/>
    <x v="2"/>
    <n v="140550"/>
    <x v="467"/>
    <x v="0"/>
    <x v="5"/>
    <x v="5"/>
    <x v="0"/>
    <x v="0"/>
    <s v="Malt"/>
    <x v="1"/>
  </r>
  <r>
    <n v="10647"/>
    <s v="Jones"/>
    <s v="jone.ai@yahoo.com"/>
    <x v="0"/>
    <n v="150"/>
    <n v="200"/>
    <x v="157"/>
    <n v="173000"/>
    <x v="251"/>
    <x v="1"/>
    <x v="0"/>
    <x v="6"/>
    <x v="1"/>
    <x v="0"/>
    <s v="Beer"/>
    <x v="2"/>
  </r>
  <r>
    <n v="10648"/>
    <s v="Smith"/>
    <s v="smithMan@yahoo.com"/>
    <x v="1"/>
    <n v="250"/>
    <n v="500"/>
    <x v="240"/>
    <n v="471000"/>
    <x v="468"/>
    <x v="2"/>
    <x v="1"/>
    <x v="7"/>
    <x v="0"/>
    <x v="1"/>
    <s v="Beer"/>
    <x v="2"/>
  </r>
  <r>
    <n v="10649"/>
    <s v="Jones"/>
    <s v="jone.ai@yahoo.com"/>
    <x v="2"/>
    <n v="180"/>
    <n v="450"/>
    <x v="1"/>
    <n v="366750"/>
    <x v="469"/>
    <x v="3"/>
    <x v="2"/>
    <x v="8"/>
    <x v="2"/>
    <x v="1"/>
    <s v="Beer"/>
    <x v="2"/>
  </r>
  <r>
    <n v="10650"/>
    <s v="Morgan"/>
    <s v="morganny@gmail.com"/>
    <x v="3"/>
    <n v="170"/>
    <n v="250"/>
    <x v="189"/>
    <n v="239500"/>
    <x v="349"/>
    <x v="4"/>
    <x v="3"/>
    <x v="9"/>
    <x v="0"/>
    <x v="1"/>
    <s v="Beer"/>
    <x v="3"/>
  </r>
  <r>
    <n v="10651"/>
    <s v="Jones"/>
    <s v="jone.ai@yahoo.com"/>
    <x v="4"/>
    <n v="150"/>
    <n v="200"/>
    <x v="67"/>
    <n v="173800"/>
    <x v="229"/>
    <x v="0"/>
    <x v="4"/>
    <x v="10"/>
    <x v="1"/>
    <x v="0"/>
    <s v="Beer"/>
    <x v="3"/>
  </r>
  <r>
    <n v="10652"/>
    <s v="Parent"/>
    <s v="parentty@uk.com"/>
    <x v="5"/>
    <n v="80"/>
    <n v="150"/>
    <x v="140"/>
    <n v="112500"/>
    <x v="164"/>
    <x v="1"/>
    <x v="5"/>
    <x v="11"/>
    <x v="1"/>
    <x v="0"/>
    <s v="Malt"/>
    <x v="3"/>
  </r>
  <r>
    <n v="10653"/>
    <s v="Kivell"/>
    <s v="kivel_go@yahoo.com"/>
    <x v="6"/>
    <n v="90"/>
    <n v="150"/>
    <x v="170"/>
    <n v="105300"/>
    <x v="433"/>
    <x v="2"/>
    <x v="0"/>
    <x v="0"/>
    <x v="2"/>
    <x v="1"/>
    <s v="Malt"/>
    <x v="0"/>
  </r>
  <r>
    <n v="10654"/>
    <s v="Smith"/>
    <s v="smithMan@yahoo.com"/>
    <x v="0"/>
    <n v="150"/>
    <n v="200"/>
    <x v="102"/>
    <n v="183400"/>
    <x v="112"/>
    <x v="3"/>
    <x v="1"/>
    <x v="1"/>
    <x v="0"/>
    <x v="1"/>
    <s v="Beer"/>
    <x v="0"/>
  </r>
  <r>
    <n v="10655"/>
    <s v="Parent"/>
    <s v="parentty@uk.com"/>
    <x v="1"/>
    <n v="250"/>
    <n v="500"/>
    <x v="103"/>
    <n v="457000"/>
    <x v="470"/>
    <x v="4"/>
    <x v="2"/>
    <x v="2"/>
    <x v="0"/>
    <x v="1"/>
    <s v="Beer"/>
    <x v="0"/>
  </r>
  <r>
    <n v="10656"/>
    <s v="Gill"/>
    <s v="gillhell@uk.com"/>
    <x v="2"/>
    <n v="180"/>
    <n v="450"/>
    <x v="89"/>
    <n v="367650"/>
    <x v="471"/>
    <x v="0"/>
    <x v="3"/>
    <x v="3"/>
    <x v="1"/>
    <x v="0"/>
    <s v="Beer"/>
    <x v="1"/>
  </r>
  <r>
    <n v="10657"/>
    <s v="Smith"/>
    <s v="smithMan@yahoo.com"/>
    <x v="3"/>
    <n v="170"/>
    <n v="250"/>
    <x v="161"/>
    <n v="228250"/>
    <x v="472"/>
    <x v="1"/>
    <x v="4"/>
    <x v="4"/>
    <x v="1"/>
    <x v="0"/>
    <s v="Beer"/>
    <x v="1"/>
  </r>
  <r>
    <n v="10658"/>
    <s v="Jones"/>
    <s v="jone.ai@yahoo.com"/>
    <x v="4"/>
    <n v="150"/>
    <n v="200"/>
    <x v="211"/>
    <n v="141000"/>
    <x v="473"/>
    <x v="2"/>
    <x v="5"/>
    <x v="5"/>
    <x v="1"/>
    <x v="1"/>
    <s v="Beer"/>
    <x v="1"/>
  </r>
  <r>
    <n v="10659"/>
    <s v="Sorvino"/>
    <s v="sorvi2000@gmail.com"/>
    <x v="5"/>
    <n v="80"/>
    <n v="150"/>
    <x v="238"/>
    <n v="144600"/>
    <x v="474"/>
    <x v="3"/>
    <x v="0"/>
    <x v="6"/>
    <x v="2"/>
    <x v="1"/>
    <s v="Malt"/>
    <x v="2"/>
  </r>
  <r>
    <n v="10660"/>
    <s v="Jardine"/>
    <s v="jard@gmail.com"/>
    <x v="6"/>
    <n v="90"/>
    <n v="150"/>
    <x v="45"/>
    <n v="133650"/>
    <x v="475"/>
    <x v="4"/>
    <x v="1"/>
    <x v="7"/>
    <x v="2"/>
    <x v="1"/>
    <s v="Malt"/>
    <x v="2"/>
  </r>
  <r>
    <n v="10661"/>
    <s v="Andrews"/>
    <s v="andy@gmail.com"/>
    <x v="0"/>
    <n v="150"/>
    <n v="200"/>
    <x v="245"/>
    <n v="195400"/>
    <x v="476"/>
    <x v="0"/>
    <x v="2"/>
    <x v="8"/>
    <x v="0"/>
    <x v="0"/>
    <s v="Beer"/>
    <x v="2"/>
  </r>
  <r>
    <n v="10662"/>
    <s v="Howard"/>
    <s v="howard_freeman@yahoo.com"/>
    <x v="1"/>
    <n v="250"/>
    <n v="500"/>
    <x v="66"/>
    <n v="474000"/>
    <x v="477"/>
    <x v="1"/>
    <x v="3"/>
    <x v="9"/>
    <x v="0"/>
    <x v="0"/>
    <s v="Beer"/>
    <x v="3"/>
  </r>
  <r>
    <n v="10663"/>
    <s v="Gill"/>
    <s v="gillhell@uk.com"/>
    <x v="2"/>
    <n v="180"/>
    <n v="450"/>
    <x v="94"/>
    <n v="337950"/>
    <x v="478"/>
    <x v="2"/>
    <x v="4"/>
    <x v="10"/>
    <x v="2"/>
    <x v="1"/>
    <s v="Beer"/>
    <x v="3"/>
  </r>
  <r>
    <n v="10664"/>
    <s v="Gill"/>
    <s v="gillhell@uk.com"/>
    <x v="3"/>
    <n v="170"/>
    <n v="250"/>
    <x v="39"/>
    <n v="206750"/>
    <x v="479"/>
    <x v="3"/>
    <x v="5"/>
    <x v="11"/>
    <x v="2"/>
    <x v="1"/>
    <s v="Beer"/>
    <x v="3"/>
  </r>
  <r>
    <n v="10665"/>
    <s v="Kivell"/>
    <s v="kivel_go@yahoo.com"/>
    <x v="4"/>
    <n v="150"/>
    <n v="200"/>
    <x v="213"/>
    <n v="188600"/>
    <x v="480"/>
    <x v="4"/>
    <x v="0"/>
    <x v="0"/>
    <x v="0"/>
    <x v="1"/>
    <s v="Beer"/>
    <x v="0"/>
  </r>
  <r>
    <n v="10666"/>
    <s v="Jones"/>
    <s v="jone.ai@yahoo.com"/>
    <x v="5"/>
    <n v="80"/>
    <n v="150"/>
    <x v="109"/>
    <n v="135150"/>
    <x v="481"/>
    <x v="0"/>
    <x v="1"/>
    <x v="1"/>
    <x v="0"/>
    <x v="0"/>
    <s v="Malt"/>
    <x v="0"/>
  </r>
  <r>
    <n v="10667"/>
    <s v="Morgan"/>
    <s v="morganny@gmail.com"/>
    <x v="6"/>
    <n v="90"/>
    <n v="150"/>
    <x v="175"/>
    <n v="136050"/>
    <x v="235"/>
    <x v="1"/>
    <x v="2"/>
    <x v="2"/>
    <x v="0"/>
    <x v="0"/>
    <s v="Malt"/>
    <x v="0"/>
  </r>
  <r>
    <n v="10668"/>
    <s v="Kivell"/>
    <s v="kivel_go@yahoo.com"/>
    <x v="0"/>
    <n v="150"/>
    <n v="200"/>
    <x v="156"/>
    <n v="151000"/>
    <x v="192"/>
    <x v="2"/>
    <x v="3"/>
    <x v="3"/>
    <x v="1"/>
    <x v="1"/>
    <s v="Beer"/>
    <x v="1"/>
  </r>
  <r>
    <n v="10669"/>
    <s v="Sorvino"/>
    <s v="sorvi2000@gmail.com"/>
    <x v="1"/>
    <n v="250"/>
    <n v="500"/>
    <x v="255"/>
    <n v="401000"/>
    <x v="482"/>
    <x v="3"/>
    <x v="4"/>
    <x v="4"/>
    <x v="2"/>
    <x v="1"/>
    <s v="Beer"/>
    <x v="1"/>
  </r>
  <r>
    <n v="10670"/>
    <s v="Gill"/>
    <s v="gillhell@uk.com"/>
    <x v="2"/>
    <n v="180"/>
    <n v="450"/>
    <x v="256"/>
    <n v="413550"/>
    <x v="483"/>
    <x v="4"/>
    <x v="5"/>
    <x v="5"/>
    <x v="0"/>
    <x v="1"/>
    <s v="Beer"/>
    <x v="1"/>
  </r>
  <r>
    <n v="10671"/>
    <s v="Sorvino"/>
    <s v="sorvi2000@gmail.com"/>
    <x v="3"/>
    <n v="170"/>
    <n v="250"/>
    <x v="160"/>
    <n v="206000"/>
    <x v="484"/>
    <x v="0"/>
    <x v="0"/>
    <x v="6"/>
    <x v="2"/>
    <x v="0"/>
    <s v="Beer"/>
    <x v="2"/>
  </r>
  <r>
    <n v="10672"/>
    <s v="Thompson"/>
    <s v="thomp@uk.com"/>
    <x v="4"/>
    <n v="150"/>
    <n v="200"/>
    <x v="221"/>
    <n v="146000"/>
    <x v="356"/>
    <x v="1"/>
    <x v="1"/>
    <x v="7"/>
    <x v="2"/>
    <x v="0"/>
    <s v="Beer"/>
    <x v="2"/>
  </r>
  <r>
    <n v="10673"/>
    <s v="Andrews"/>
    <s v="andy@gmail.com"/>
    <x v="5"/>
    <n v="80"/>
    <n v="150"/>
    <x v="5"/>
    <n v="119700"/>
    <x v="5"/>
    <x v="2"/>
    <x v="2"/>
    <x v="8"/>
    <x v="1"/>
    <x v="1"/>
    <s v="Malt"/>
    <x v="2"/>
  </r>
  <r>
    <n v="10674"/>
    <s v="Jardine"/>
    <s v="jard@gmail.com"/>
    <x v="6"/>
    <n v="90"/>
    <n v="150"/>
    <x v="248"/>
    <n v="121650"/>
    <x v="485"/>
    <x v="3"/>
    <x v="3"/>
    <x v="9"/>
    <x v="1"/>
    <x v="1"/>
    <s v="Malt"/>
    <x v="3"/>
  </r>
  <r>
    <n v="10675"/>
    <s v="Jardine"/>
    <s v="jard@gmail.com"/>
    <x v="0"/>
    <n v="150"/>
    <n v="200"/>
    <x v="158"/>
    <n v="182400"/>
    <x v="198"/>
    <x v="4"/>
    <x v="4"/>
    <x v="10"/>
    <x v="1"/>
    <x v="1"/>
    <s v="Beer"/>
    <x v="3"/>
  </r>
  <r>
    <n v="10676"/>
    <s v="Andrews"/>
    <s v="andy@gmail.com"/>
    <x v="1"/>
    <n v="250"/>
    <n v="500"/>
    <x v="4"/>
    <n v="418000"/>
    <x v="486"/>
    <x v="0"/>
    <x v="5"/>
    <x v="11"/>
    <x v="2"/>
    <x v="0"/>
    <s v="Beer"/>
    <x v="3"/>
  </r>
  <r>
    <n v="10677"/>
    <s v="Jardine"/>
    <s v="jard@gmail.com"/>
    <x v="2"/>
    <n v="180"/>
    <n v="450"/>
    <x v="257"/>
    <n v="428850"/>
    <x v="487"/>
    <x v="1"/>
    <x v="0"/>
    <x v="0"/>
    <x v="1"/>
    <x v="0"/>
    <s v="Beer"/>
    <x v="0"/>
  </r>
  <r>
    <n v="10678"/>
    <s v="Gill"/>
    <s v="gillhell@uk.com"/>
    <x v="3"/>
    <n v="170"/>
    <n v="250"/>
    <x v="258"/>
    <n v="227000"/>
    <x v="488"/>
    <x v="2"/>
    <x v="1"/>
    <x v="1"/>
    <x v="1"/>
    <x v="1"/>
    <s v="Beer"/>
    <x v="0"/>
  </r>
  <r>
    <n v="10679"/>
    <s v="Sorvino"/>
    <s v="sorvi2000@gmail.com"/>
    <x v="4"/>
    <n v="150"/>
    <n v="200"/>
    <x v="21"/>
    <n v="171800"/>
    <x v="275"/>
    <x v="3"/>
    <x v="2"/>
    <x v="2"/>
    <x v="0"/>
    <x v="1"/>
    <s v="Beer"/>
    <x v="0"/>
  </r>
  <r>
    <n v="10680"/>
    <s v="Jones"/>
    <s v="jone.ai@yahoo.com"/>
    <x v="5"/>
    <n v="80"/>
    <n v="150"/>
    <x v="178"/>
    <n v="139200"/>
    <x v="489"/>
    <x v="4"/>
    <x v="3"/>
    <x v="3"/>
    <x v="2"/>
    <x v="1"/>
    <s v="Malt"/>
    <x v="1"/>
  </r>
  <r>
    <n v="10681"/>
    <s v="Andrews"/>
    <s v="andy@gmail.com"/>
    <x v="6"/>
    <n v="90"/>
    <n v="150"/>
    <x v="199"/>
    <n v="107400"/>
    <x v="286"/>
    <x v="0"/>
    <x v="4"/>
    <x v="4"/>
    <x v="0"/>
    <x v="0"/>
    <s v="Malt"/>
    <x v="1"/>
  </r>
  <r>
    <n v="10682"/>
    <s v="Jardine"/>
    <s v="jard@gmail.com"/>
    <x v="0"/>
    <n v="150"/>
    <n v="200"/>
    <x v="73"/>
    <n v="189200"/>
    <x v="75"/>
    <x v="1"/>
    <x v="5"/>
    <x v="5"/>
    <x v="2"/>
    <x v="0"/>
    <s v="Beer"/>
    <x v="1"/>
  </r>
  <r>
    <n v="10683"/>
    <s v="Thompson"/>
    <s v="thomp@uk.com"/>
    <x v="1"/>
    <n v="250"/>
    <n v="500"/>
    <x v="161"/>
    <n v="456500"/>
    <x v="206"/>
    <x v="2"/>
    <x v="0"/>
    <x v="6"/>
    <x v="1"/>
    <x v="1"/>
    <s v="Beer"/>
    <x v="2"/>
  </r>
  <r>
    <n v="10684"/>
    <s v="Jones"/>
    <s v="jone.ai@yahoo.com"/>
    <x v="2"/>
    <n v="180"/>
    <n v="450"/>
    <x v="146"/>
    <n v="426150"/>
    <x v="490"/>
    <x v="3"/>
    <x v="1"/>
    <x v="7"/>
    <x v="0"/>
    <x v="1"/>
    <s v="Beer"/>
    <x v="2"/>
  </r>
  <r>
    <n v="10685"/>
    <s v="Morgan"/>
    <s v="morganny@gmail.com"/>
    <x v="3"/>
    <n v="170"/>
    <n v="250"/>
    <x v="259"/>
    <n v="185750"/>
    <x v="491"/>
    <x v="4"/>
    <x v="2"/>
    <x v="8"/>
    <x v="1"/>
    <x v="1"/>
    <s v="Beer"/>
    <x v="2"/>
  </r>
  <r>
    <n v="10686"/>
    <s v="Howard"/>
    <s v="howard_freeman@yahoo.com"/>
    <x v="4"/>
    <n v="150"/>
    <n v="200"/>
    <x v="179"/>
    <n v="157600"/>
    <x v="492"/>
    <x v="0"/>
    <x v="3"/>
    <x v="9"/>
    <x v="1"/>
    <x v="0"/>
    <s v="Beer"/>
    <x v="3"/>
  </r>
  <r>
    <n v="10687"/>
    <s v="Parent"/>
    <s v="parentty@uk.com"/>
    <x v="5"/>
    <n v="80"/>
    <n v="150"/>
    <x v="106"/>
    <n v="121500"/>
    <x v="157"/>
    <x v="1"/>
    <x v="4"/>
    <x v="10"/>
    <x v="2"/>
    <x v="0"/>
    <s v="Malt"/>
    <x v="3"/>
  </r>
  <r>
    <n v="10688"/>
    <s v="Jones"/>
    <s v="jone.ai@yahoo.com"/>
    <x v="6"/>
    <n v="90"/>
    <n v="150"/>
    <x v="37"/>
    <n v="117600"/>
    <x v="493"/>
    <x v="2"/>
    <x v="5"/>
    <x v="11"/>
    <x v="1"/>
    <x v="1"/>
    <s v="Malt"/>
    <x v="3"/>
  </r>
  <r>
    <n v="10689"/>
    <s v="Smith"/>
    <s v="smithMan@yahoo.com"/>
    <x v="0"/>
    <n v="150"/>
    <n v="200"/>
    <x v="260"/>
    <n v="162600"/>
    <x v="494"/>
    <x v="3"/>
    <x v="0"/>
    <x v="0"/>
    <x v="2"/>
    <x v="1"/>
    <s v="Beer"/>
    <x v="0"/>
  </r>
  <r>
    <n v="10690"/>
    <s v="Jones"/>
    <s v="jone.ai@yahoo.com"/>
    <x v="1"/>
    <n v="250"/>
    <n v="500"/>
    <x v="190"/>
    <n v="499000"/>
    <x v="271"/>
    <x v="4"/>
    <x v="1"/>
    <x v="1"/>
    <x v="2"/>
    <x v="1"/>
    <s v="Beer"/>
    <x v="0"/>
  </r>
  <r>
    <n v="10691"/>
    <s v="Morgan"/>
    <s v="morganny@gmail.com"/>
    <x v="2"/>
    <n v="180"/>
    <n v="450"/>
    <x v="231"/>
    <n v="400050"/>
    <x v="495"/>
    <x v="0"/>
    <x v="2"/>
    <x v="2"/>
    <x v="1"/>
    <x v="0"/>
    <s v="Beer"/>
    <x v="0"/>
  </r>
  <r>
    <n v="10692"/>
    <s v="Jones"/>
    <s v="jone.ai@yahoo.com"/>
    <x v="3"/>
    <n v="170"/>
    <n v="250"/>
    <x v="173"/>
    <n v="195750"/>
    <x v="496"/>
    <x v="1"/>
    <x v="3"/>
    <x v="3"/>
    <x v="0"/>
    <x v="0"/>
    <s v="Beer"/>
    <x v="1"/>
  </r>
  <r>
    <n v="10693"/>
    <s v="Parent"/>
    <s v="parentty@uk.com"/>
    <x v="4"/>
    <n v="150"/>
    <n v="200"/>
    <x v="261"/>
    <n v="173200"/>
    <x v="497"/>
    <x v="2"/>
    <x v="4"/>
    <x v="4"/>
    <x v="2"/>
    <x v="1"/>
    <s v="Beer"/>
    <x v="1"/>
  </r>
  <r>
    <n v="10694"/>
    <s v="Kivell"/>
    <s v="kivel_go@yahoo.com"/>
    <x v="5"/>
    <n v="80"/>
    <n v="150"/>
    <x v="111"/>
    <n v="126000"/>
    <x v="498"/>
    <x v="3"/>
    <x v="5"/>
    <x v="5"/>
    <x v="1"/>
    <x v="1"/>
    <s v="Malt"/>
    <x v="1"/>
  </r>
  <r>
    <n v="10695"/>
    <s v="Smith"/>
    <s v="smithMan@yahoo.com"/>
    <x v="6"/>
    <n v="90"/>
    <n v="150"/>
    <x v="262"/>
    <n v="135750"/>
    <x v="499"/>
    <x v="4"/>
    <x v="0"/>
    <x v="6"/>
    <x v="2"/>
    <x v="1"/>
    <s v="Malt"/>
    <x v="2"/>
  </r>
  <r>
    <n v="10696"/>
    <s v="Parent"/>
    <s v="parentty@uk.com"/>
    <x v="0"/>
    <n v="150"/>
    <n v="200"/>
    <x v="135"/>
    <n v="162800"/>
    <x v="158"/>
    <x v="0"/>
    <x v="1"/>
    <x v="7"/>
    <x v="0"/>
    <x v="0"/>
    <s v="Beer"/>
    <x v="2"/>
  </r>
  <r>
    <n v="10697"/>
    <s v="Gill"/>
    <s v="gillhell@uk.com"/>
    <x v="1"/>
    <n v="250"/>
    <n v="500"/>
    <x v="49"/>
    <n v="439000"/>
    <x v="500"/>
    <x v="1"/>
    <x v="2"/>
    <x v="8"/>
    <x v="1"/>
    <x v="0"/>
    <s v="Beer"/>
    <x v="2"/>
  </r>
  <r>
    <n v="10698"/>
    <s v="Smith"/>
    <s v="smithMan@yahoo.com"/>
    <x v="2"/>
    <n v="180"/>
    <n v="450"/>
    <x v="163"/>
    <n v="368550"/>
    <x v="501"/>
    <x v="2"/>
    <x v="3"/>
    <x v="9"/>
    <x v="1"/>
    <x v="1"/>
    <s v="Beer"/>
    <x v="3"/>
  </r>
  <r>
    <n v="10699"/>
    <s v="Jones"/>
    <s v="jone.ai@yahoo.com"/>
    <x v="3"/>
    <n v="170"/>
    <n v="250"/>
    <x v="171"/>
    <n v="224750"/>
    <x v="453"/>
    <x v="3"/>
    <x v="4"/>
    <x v="10"/>
    <x v="0"/>
    <x v="1"/>
    <s v="Beer"/>
    <x v="3"/>
  </r>
  <r>
    <n v="10700"/>
    <s v="Sorvino"/>
    <s v="sorvi2000@gmail.com"/>
    <x v="4"/>
    <n v="150"/>
    <n v="200"/>
    <x v="151"/>
    <n v="179400"/>
    <x v="502"/>
    <x v="4"/>
    <x v="5"/>
    <x v="11"/>
    <x v="0"/>
    <x v="1"/>
    <s v="Beer"/>
    <x v="3"/>
  </r>
  <r>
    <n v="10701"/>
    <s v="Jardine"/>
    <s v="jard@gmail.com"/>
    <x v="5"/>
    <n v="80"/>
    <n v="150"/>
    <x v="244"/>
    <n v="112950"/>
    <x v="503"/>
    <x v="0"/>
    <x v="0"/>
    <x v="0"/>
    <x v="2"/>
    <x v="0"/>
    <s v="Malt"/>
    <x v="0"/>
  </r>
  <r>
    <n v="10702"/>
    <s v="Andrews"/>
    <s v="andy@gmail.com"/>
    <x v="6"/>
    <n v="90"/>
    <n v="150"/>
    <x v="46"/>
    <n v="117150"/>
    <x v="46"/>
    <x v="1"/>
    <x v="1"/>
    <x v="1"/>
    <x v="1"/>
    <x v="0"/>
    <s v="Malt"/>
    <x v="0"/>
  </r>
  <r>
    <n v="10703"/>
    <s v="Howard"/>
    <s v="howard_freeman@yahoo.com"/>
    <x v="0"/>
    <n v="150"/>
    <n v="200"/>
    <x v="247"/>
    <n v="182200"/>
    <x v="504"/>
    <x v="2"/>
    <x v="2"/>
    <x v="2"/>
    <x v="1"/>
    <x v="1"/>
    <s v="Beer"/>
    <x v="0"/>
  </r>
  <r>
    <n v="10704"/>
    <s v="Gill"/>
    <s v="gillhell@uk.com"/>
    <x v="1"/>
    <n v="250"/>
    <n v="500"/>
    <x v="221"/>
    <n v="365000"/>
    <x v="505"/>
    <x v="3"/>
    <x v="3"/>
    <x v="3"/>
    <x v="1"/>
    <x v="1"/>
    <s v="Beer"/>
    <x v="1"/>
  </r>
  <r>
    <n v="10705"/>
    <s v="Gill"/>
    <s v="gillhell@uk.com"/>
    <x v="2"/>
    <n v="180"/>
    <n v="450"/>
    <x v="158"/>
    <n v="410400"/>
    <x v="506"/>
    <x v="4"/>
    <x v="4"/>
    <x v="4"/>
    <x v="2"/>
    <x v="1"/>
    <s v="Beer"/>
    <x v="1"/>
  </r>
  <r>
    <n v="10706"/>
    <s v="Kivell"/>
    <s v="kivel_go@yahoo.com"/>
    <x v="3"/>
    <n v="170"/>
    <n v="250"/>
    <x v="156"/>
    <n v="188750"/>
    <x v="507"/>
    <x v="0"/>
    <x v="5"/>
    <x v="5"/>
    <x v="0"/>
    <x v="0"/>
    <s v="Beer"/>
    <x v="1"/>
  </r>
  <r>
    <n v="10707"/>
    <s v="Jones"/>
    <s v="jone.ai@yahoo.com"/>
    <x v="4"/>
    <n v="150"/>
    <n v="200"/>
    <x v="83"/>
    <n v="196200"/>
    <x v="89"/>
    <x v="1"/>
    <x v="0"/>
    <x v="6"/>
    <x v="1"/>
    <x v="0"/>
    <s v="Beer"/>
    <x v="2"/>
  </r>
  <r>
    <n v="10708"/>
    <s v="Morgan"/>
    <s v="morganny@gmail.com"/>
    <x v="5"/>
    <n v="80"/>
    <n v="150"/>
    <x v="103"/>
    <n v="137100"/>
    <x v="508"/>
    <x v="2"/>
    <x v="1"/>
    <x v="7"/>
    <x v="1"/>
    <x v="1"/>
    <s v="Malt"/>
    <x v="2"/>
  </r>
  <r>
    <n v="10709"/>
    <s v="Kivell"/>
    <s v="kivel_go@yahoo.com"/>
    <x v="6"/>
    <n v="90"/>
    <n v="150"/>
    <x v="211"/>
    <n v="105750"/>
    <x v="317"/>
    <x v="3"/>
    <x v="2"/>
    <x v="8"/>
    <x v="0"/>
    <x v="1"/>
    <s v="Malt"/>
    <x v="2"/>
  </r>
  <r>
    <n v="10710"/>
    <s v="Sorvino"/>
    <s v="sorvi2000@gmail.com"/>
    <x v="0"/>
    <n v="150"/>
    <n v="200"/>
    <x v="115"/>
    <n v="154800"/>
    <x v="509"/>
    <x v="4"/>
    <x v="3"/>
    <x v="9"/>
    <x v="1"/>
    <x v="1"/>
    <s v="Beer"/>
    <x v="3"/>
  </r>
  <r>
    <n v="10711"/>
    <s v="Gill"/>
    <s v="gillhell@uk.com"/>
    <x v="1"/>
    <n v="250"/>
    <n v="500"/>
    <x v="192"/>
    <n v="374000"/>
    <x v="510"/>
    <x v="0"/>
    <x v="4"/>
    <x v="10"/>
    <x v="2"/>
    <x v="0"/>
    <s v="Beer"/>
    <x v="3"/>
  </r>
  <r>
    <n v="10712"/>
    <s v="Sorvino"/>
    <s v="sorvi2000@gmail.com"/>
    <x v="2"/>
    <n v="180"/>
    <n v="450"/>
    <x v="185"/>
    <n v="363150"/>
    <x v="511"/>
    <x v="1"/>
    <x v="5"/>
    <x v="11"/>
    <x v="1"/>
    <x v="0"/>
    <s v="Beer"/>
    <x v="3"/>
  </r>
  <r>
    <n v="10713"/>
    <s v="Thompson"/>
    <s v="thomp@uk.com"/>
    <x v="3"/>
    <n v="170"/>
    <n v="250"/>
    <x v="253"/>
    <n v="219250"/>
    <x v="512"/>
    <x v="2"/>
    <x v="0"/>
    <x v="0"/>
    <x v="1"/>
    <x v="1"/>
    <s v="Beer"/>
    <x v="0"/>
  </r>
  <r>
    <n v="10714"/>
    <s v="Andrews"/>
    <s v="andy@gmail.com"/>
    <x v="4"/>
    <n v="150"/>
    <n v="200"/>
    <x v="263"/>
    <n v="193000"/>
    <x v="513"/>
    <x v="3"/>
    <x v="1"/>
    <x v="1"/>
    <x v="2"/>
    <x v="1"/>
    <s v="Beer"/>
    <x v="0"/>
  </r>
  <r>
    <n v="10715"/>
    <s v="Jardine"/>
    <s v="jard@gmail.com"/>
    <x v="5"/>
    <n v="80"/>
    <n v="150"/>
    <x v="180"/>
    <n v="109200"/>
    <x v="514"/>
    <x v="4"/>
    <x v="2"/>
    <x v="2"/>
    <x v="2"/>
    <x v="1"/>
    <s v="Malt"/>
    <x v="0"/>
  </r>
  <r>
    <n v="10716"/>
    <s v="Jardine"/>
    <s v="jard@gmail.com"/>
    <x v="6"/>
    <n v="90"/>
    <n v="150"/>
    <x v="123"/>
    <n v="118800"/>
    <x v="515"/>
    <x v="0"/>
    <x v="3"/>
    <x v="3"/>
    <x v="2"/>
    <x v="0"/>
    <s v="Malt"/>
    <x v="1"/>
  </r>
  <r>
    <n v="10717"/>
    <s v="Andrews"/>
    <s v="andy@gmail.com"/>
    <x v="0"/>
    <n v="150"/>
    <n v="200"/>
    <x v="49"/>
    <n v="175600"/>
    <x v="318"/>
    <x v="1"/>
    <x v="4"/>
    <x v="4"/>
    <x v="2"/>
    <x v="0"/>
    <s v="Beer"/>
    <x v="1"/>
  </r>
  <r>
    <n v="10718"/>
    <s v="Jones"/>
    <s v="jone.ai@yahoo.com"/>
    <x v="1"/>
    <n v="250"/>
    <n v="500"/>
    <x v="107"/>
    <n v="443000"/>
    <x v="120"/>
    <x v="2"/>
    <x v="5"/>
    <x v="5"/>
    <x v="2"/>
    <x v="1"/>
    <s v="Beer"/>
    <x v="1"/>
  </r>
  <r>
    <n v="10719"/>
    <s v="Morgan"/>
    <s v="morganny@gmail.com"/>
    <x v="2"/>
    <n v="180"/>
    <n v="450"/>
    <x v="126"/>
    <n v="447750"/>
    <x v="516"/>
    <x v="3"/>
    <x v="0"/>
    <x v="6"/>
    <x v="2"/>
    <x v="1"/>
    <s v="Beer"/>
    <x v="2"/>
  </r>
  <r>
    <n v="10720"/>
    <s v="Kivell"/>
    <s v="kivel_go@yahoo.com"/>
    <x v="3"/>
    <n v="170"/>
    <n v="250"/>
    <x v="264"/>
    <n v="212750"/>
    <x v="517"/>
    <x v="4"/>
    <x v="1"/>
    <x v="7"/>
    <x v="0"/>
    <x v="1"/>
    <s v="Beer"/>
    <x v="2"/>
  </r>
  <r>
    <n v="10721"/>
    <s v="Sorvino"/>
    <s v="sorvi2000@gmail.com"/>
    <x v="4"/>
    <n v="150"/>
    <n v="200"/>
    <x v="261"/>
    <n v="173200"/>
    <x v="497"/>
    <x v="0"/>
    <x v="2"/>
    <x v="8"/>
    <x v="2"/>
    <x v="0"/>
    <s v="Beer"/>
    <x v="2"/>
  </r>
  <r>
    <n v="10722"/>
    <s v="Gill"/>
    <s v="gillhell@uk.com"/>
    <x v="5"/>
    <n v="80"/>
    <n v="150"/>
    <x v="196"/>
    <n v="148050"/>
    <x v="518"/>
    <x v="1"/>
    <x v="3"/>
    <x v="9"/>
    <x v="2"/>
    <x v="0"/>
    <s v="Malt"/>
    <x v="3"/>
  </r>
  <r>
    <n v="10723"/>
    <s v="Sorvino"/>
    <s v="sorvi2000@gmail.com"/>
    <x v="6"/>
    <n v="90"/>
    <n v="150"/>
    <x v="54"/>
    <n v="116400"/>
    <x v="519"/>
    <x v="2"/>
    <x v="4"/>
    <x v="10"/>
    <x v="0"/>
    <x v="1"/>
    <s v="Malt"/>
    <x v="3"/>
  </r>
  <r>
    <n v="10724"/>
    <s v="Thompson"/>
    <s v="thomp@uk.com"/>
    <x v="0"/>
    <n v="150"/>
    <n v="200"/>
    <x v="265"/>
    <n v="193800"/>
    <x v="520"/>
    <x v="3"/>
    <x v="5"/>
    <x v="11"/>
    <x v="2"/>
    <x v="1"/>
    <s v="Beer"/>
    <x v="3"/>
  </r>
  <r>
    <n v="10725"/>
    <s v="Andrews"/>
    <s v="andy@gmail.com"/>
    <x v="1"/>
    <n v="250"/>
    <n v="500"/>
    <x v="176"/>
    <n v="359000"/>
    <x v="353"/>
    <x v="4"/>
    <x v="0"/>
    <x v="0"/>
    <x v="2"/>
    <x v="1"/>
    <s v="Beer"/>
    <x v="0"/>
  </r>
  <r>
    <n v="10726"/>
    <s v="Jardine"/>
    <s v="jard@gmail.com"/>
    <x v="2"/>
    <n v="180"/>
    <n v="450"/>
    <x v="226"/>
    <n v="354150"/>
    <x v="521"/>
    <x v="0"/>
    <x v="1"/>
    <x v="1"/>
    <x v="1"/>
    <x v="0"/>
    <s v="Beer"/>
    <x v="0"/>
  </r>
  <r>
    <n v="10727"/>
    <s v="Jardine"/>
    <s v="jard@gmail.com"/>
    <x v="3"/>
    <n v="170"/>
    <n v="250"/>
    <x v="109"/>
    <n v="225250"/>
    <x v="522"/>
    <x v="1"/>
    <x v="2"/>
    <x v="2"/>
    <x v="1"/>
    <x v="0"/>
    <s v="Beer"/>
    <x v="0"/>
  </r>
  <r>
    <n v="10728"/>
    <s v="Andrews"/>
    <s v="andy@gmail.com"/>
    <x v="4"/>
    <n v="150"/>
    <n v="200"/>
    <x v="60"/>
    <n v="147200"/>
    <x v="61"/>
    <x v="2"/>
    <x v="3"/>
    <x v="3"/>
    <x v="1"/>
    <x v="1"/>
    <s v="Beer"/>
    <x v="1"/>
  </r>
  <r>
    <n v="10729"/>
    <s v="Jardine"/>
    <s v="jard@gmail.com"/>
    <x v="5"/>
    <n v="80"/>
    <n v="150"/>
    <x v="43"/>
    <n v="106500"/>
    <x v="335"/>
    <x v="3"/>
    <x v="4"/>
    <x v="4"/>
    <x v="2"/>
    <x v="1"/>
    <s v="Malt"/>
    <x v="1"/>
  </r>
  <r>
    <n v="10730"/>
    <s v="Gill"/>
    <s v="gillhell@uk.com"/>
    <x v="6"/>
    <n v="90"/>
    <n v="150"/>
    <x v="48"/>
    <n v="107850"/>
    <x v="403"/>
    <x v="4"/>
    <x v="5"/>
    <x v="5"/>
    <x v="0"/>
    <x v="1"/>
    <s v="Malt"/>
    <x v="1"/>
  </r>
  <r>
    <n v="10731"/>
    <s v="Sorvino"/>
    <s v="sorvi2000@gmail.com"/>
    <x v="0"/>
    <n v="150"/>
    <n v="200"/>
    <x v="172"/>
    <n v="147600"/>
    <x v="523"/>
    <x v="0"/>
    <x v="0"/>
    <x v="6"/>
    <x v="2"/>
    <x v="0"/>
    <s v="Beer"/>
    <x v="2"/>
  </r>
  <r>
    <n v="10732"/>
    <s v="Jones"/>
    <s v="jone.ai@yahoo.com"/>
    <x v="1"/>
    <n v="250"/>
    <n v="500"/>
    <x v="225"/>
    <n v="442000"/>
    <x v="524"/>
    <x v="1"/>
    <x v="1"/>
    <x v="7"/>
    <x v="0"/>
    <x v="0"/>
    <s v="Beer"/>
    <x v="2"/>
  </r>
  <r>
    <n v="10733"/>
    <s v="Andrews"/>
    <s v="andy@gmail.com"/>
    <x v="2"/>
    <n v="180"/>
    <n v="450"/>
    <x v="197"/>
    <n v="347400"/>
    <x v="525"/>
    <x v="2"/>
    <x v="2"/>
    <x v="8"/>
    <x v="2"/>
    <x v="1"/>
    <s v="Beer"/>
    <x v="2"/>
  </r>
  <r>
    <n v="10734"/>
    <s v="Jardine"/>
    <s v="jard@gmail.com"/>
    <x v="3"/>
    <n v="170"/>
    <n v="250"/>
    <x v="147"/>
    <n v="190500"/>
    <x v="526"/>
    <x v="3"/>
    <x v="3"/>
    <x v="9"/>
    <x v="2"/>
    <x v="1"/>
    <s v="Beer"/>
    <x v="3"/>
  </r>
  <r>
    <n v="10735"/>
    <s v="Thompson"/>
    <s v="thomp@uk.com"/>
    <x v="4"/>
    <n v="150"/>
    <n v="200"/>
    <x v="266"/>
    <n v="166000"/>
    <x v="527"/>
    <x v="4"/>
    <x v="4"/>
    <x v="10"/>
    <x v="1"/>
    <x v="1"/>
    <s v="Beer"/>
    <x v="3"/>
  </r>
  <r>
    <n v="10736"/>
    <s v="Jones"/>
    <s v="jone.ai@yahoo.com"/>
    <x v="5"/>
    <n v="80"/>
    <n v="150"/>
    <x v="126"/>
    <n v="149250"/>
    <x v="528"/>
    <x v="0"/>
    <x v="5"/>
    <x v="11"/>
    <x v="1"/>
    <x v="0"/>
    <s v="Malt"/>
    <x v="3"/>
  </r>
  <r>
    <n v="10737"/>
    <s v="Morgan"/>
    <s v="morganny@gmail.com"/>
    <x v="6"/>
    <n v="90"/>
    <n v="150"/>
    <x v="7"/>
    <n v="121800"/>
    <x v="529"/>
    <x v="1"/>
    <x v="0"/>
    <x v="0"/>
    <x v="0"/>
    <x v="0"/>
    <s v="Malt"/>
    <x v="0"/>
  </r>
  <r>
    <n v="10738"/>
    <s v="Howard"/>
    <s v="howard_freeman@yahoo.com"/>
    <x v="0"/>
    <n v="150"/>
    <n v="200"/>
    <x v="81"/>
    <n v="198600"/>
    <x v="530"/>
    <x v="2"/>
    <x v="1"/>
    <x v="1"/>
    <x v="1"/>
    <x v="1"/>
    <s v="Beer"/>
    <x v="0"/>
  </r>
  <r>
    <n v="10739"/>
    <s v="Parent"/>
    <s v="parentty@uk.com"/>
    <x v="1"/>
    <n v="250"/>
    <n v="500"/>
    <x v="127"/>
    <n v="470500"/>
    <x v="531"/>
    <x v="3"/>
    <x v="2"/>
    <x v="2"/>
    <x v="2"/>
    <x v="1"/>
    <s v="Beer"/>
    <x v="0"/>
  </r>
  <r>
    <n v="10740"/>
    <s v="Jones"/>
    <s v="jone.ai@yahoo.com"/>
    <x v="2"/>
    <n v="180"/>
    <n v="450"/>
    <x v="184"/>
    <n v="316350"/>
    <x v="410"/>
    <x v="4"/>
    <x v="3"/>
    <x v="3"/>
    <x v="0"/>
    <x v="1"/>
    <s v="Beer"/>
    <x v="1"/>
  </r>
  <r>
    <n v="10741"/>
    <s v="Smith"/>
    <s v="smithMan@yahoo.com"/>
    <x v="3"/>
    <n v="170"/>
    <n v="250"/>
    <x v="267"/>
    <n v="208500"/>
    <x v="532"/>
    <x v="0"/>
    <x v="4"/>
    <x v="4"/>
    <x v="0"/>
    <x v="0"/>
    <s v="Beer"/>
    <x v="1"/>
  </r>
  <r>
    <n v="10742"/>
    <s v="Jones"/>
    <s v="jone.ai@yahoo.com"/>
    <x v="4"/>
    <n v="150"/>
    <n v="200"/>
    <x v="13"/>
    <n v="168600"/>
    <x v="533"/>
    <x v="1"/>
    <x v="5"/>
    <x v="5"/>
    <x v="0"/>
    <x v="0"/>
    <s v="Beer"/>
    <x v="1"/>
  </r>
  <r>
    <n v="10743"/>
    <s v="Jardine"/>
    <s v="jard@gmail.com"/>
    <x v="5"/>
    <n v="80"/>
    <n v="150"/>
    <x v="268"/>
    <n v="112350"/>
    <x v="534"/>
    <x v="2"/>
    <x v="0"/>
    <x v="6"/>
    <x v="0"/>
    <x v="1"/>
    <s v="Malt"/>
    <x v="2"/>
  </r>
  <r>
    <n v="10744"/>
    <s v="Gill"/>
    <s v="gillhell@uk.com"/>
    <x v="6"/>
    <n v="90"/>
    <n v="150"/>
    <x v="21"/>
    <n v="128850"/>
    <x v="535"/>
    <x v="3"/>
    <x v="1"/>
    <x v="7"/>
    <x v="2"/>
    <x v="1"/>
    <s v="Malt"/>
    <x v="2"/>
  </r>
  <r>
    <n v="10745"/>
    <s v="Sorvino"/>
    <s v="sorvi2000@gmail.com"/>
    <x v="0"/>
    <n v="150"/>
    <n v="200"/>
    <x v="53"/>
    <n v="192400"/>
    <x v="257"/>
    <x v="4"/>
    <x v="2"/>
    <x v="8"/>
    <x v="2"/>
    <x v="1"/>
    <s v="Beer"/>
    <x v="2"/>
  </r>
  <r>
    <n v="10746"/>
    <s v="Jones"/>
    <s v="jone.ai@yahoo.com"/>
    <x v="1"/>
    <n v="250"/>
    <n v="500"/>
    <x v="177"/>
    <n v="408000"/>
    <x v="536"/>
    <x v="0"/>
    <x v="3"/>
    <x v="9"/>
    <x v="0"/>
    <x v="0"/>
    <s v="Beer"/>
    <x v="3"/>
  </r>
  <r>
    <n v="10747"/>
    <s v="Andrews"/>
    <s v="andy@gmail.com"/>
    <x v="2"/>
    <n v="180"/>
    <n v="450"/>
    <x v="144"/>
    <n v="445050"/>
    <x v="171"/>
    <x v="1"/>
    <x v="4"/>
    <x v="10"/>
    <x v="2"/>
    <x v="0"/>
    <s v="Beer"/>
    <x v="3"/>
  </r>
  <r>
    <n v="10748"/>
    <s v="Jardine"/>
    <s v="jard@gmail.com"/>
    <x v="3"/>
    <n v="170"/>
    <n v="250"/>
    <x v="170"/>
    <n v="175500"/>
    <x v="537"/>
    <x v="2"/>
    <x v="5"/>
    <x v="11"/>
    <x v="1"/>
    <x v="1"/>
    <s v="Beer"/>
    <x v="3"/>
  </r>
  <r>
    <n v="10749"/>
    <s v="Thompson"/>
    <s v="thomp@uk.com"/>
    <x v="4"/>
    <n v="150"/>
    <n v="200"/>
    <x v="266"/>
    <n v="166000"/>
    <x v="527"/>
    <x v="3"/>
    <x v="0"/>
    <x v="0"/>
    <x v="1"/>
    <x v="1"/>
    <s v="Beer"/>
    <x v="0"/>
  </r>
  <r>
    <n v="10750"/>
    <s v="Jones"/>
    <s v="jone.ai@yahoo.com"/>
    <x v="5"/>
    <n v="80"/>
    <n v="150"/>
    <x v="43"/>
    <n v="106500"/>
    <x v="335"/>
    <x v="4"/>
    <x v="1"/>
    <x v="1"/>
    <x v="1"/>
    <x v="1"/>
    <s v="Malt"/>
    <x v="0"/>
  </r>
  <r>
    <n v="10751"/>
    <s v="Morgan"/>
    <s v="morganny@gmail.com"/>
    <x v="6"/>
    <n v="90"/>
    <n v="150"/>
    <x v="142"/>
    <n v="106200"/>
    <x v="538"/>
    <x v="0"/>
    <x v="2"/>
    <x v="2"/>
    <x v="1"/>
    <x v="0"/>
    <s v="Malt"/>
    <x v="0"/>
  </r>
  <r>
    <n v="10752"/>
    <s v="Howard"/>
    <s v="howard_freeman@yahoo.com"/>
    <x v="0"/>
    <n v="150"/>
    <n v="200"/>
    <x v="177"/>
    <n v="163200"/>
    <x v="239"/>
    <x v="1"/>
    <x v="3"/>
    <x v="3"/>
    <x v="0"/>
    <x v="0"/>
    <s v="Beer"/>
    <x v="1"/>
  </r>
  <r>
    <n v="10753"/>
    <s v="Parent"/>
    <s v="parentty@uk.com"/>
    <x v="1"/>
    <n v="250"/>
    <n v="500"/>
    <x v="84"/>
    <n v="361000"/>
    <x v="90"/>
    <x v="2"/>
    <x v="4"/>
    <x v="4"/>
    <x v="2"/>
    <x v="1"/>
    <s v="Beer"/>
    <x v="1"/>
  </r>
  <r>
    <n v="10754"/>
    <s v="Jones"/>
    <s v="jone.ai@yahoo.com"/>
    <x v="2"/>
    <n v="180"/>
    <n v="450"/>
    <x v="198"/>
    <n v="350100"/>
    <x v="539"/>
    <x v="3"/>
    <x v="5"/>
    <x v="5"/>
    <x v="2"/>
    <x v="1"/>
    <s v="Beer"/>
    <x v="1"/>
  </r>
  <r>
    <n v="10755"/>
    <s v="Smith"/>
    <s v="smithMan@yahoo.com"/>
    <x v="3"/>
    <n v="170"/>
    <n v="250"/>
    <x v="269"/>
    <n v="183000"/>
    <x v="540"/>
    <x v="4"/>
    <x v="0"/>
    <x v="6"/>
    <x v="0"/>
    <x v="1"/>
    <s v="Beer"/>
    <x v="2"/>
  </r>
  <r>
    <n v="10756"/>
    <s v="Jones"/>
    <s v="jone.ai@yahoo.com"/>
    <x v="4"/>
    <n v="150"/>
    <n v="200"/>
    <x v="117"/>
    <n v="176200"/>
    <x v="132"/>
    <x v="0"/>
    <x v="1"/>
    <x v="7"/>
    <x v="1"/>
    <x v="0"/>
    <s v="Beer"/>
    <x v="2"/>
  </r>
  <r>
    <n v="10757"/>
    <s v="Morgan"/>
    <s v="morganny@gmail.com"/>
    <x v="5"/>
    <n v="80"/>
    <n v="150"/>
    <x v="14"/>
    <n v="140850"/>
    <x v="541"/>
    <x v="1"/>
    <x v="2"/>
    <x v="8"/>
    <x v="2"/>
    <x v="0"/>
    <s v="Malt"/>
    <x v="2"/>
  </r>
  <r>
    <n v="10758"/>
    <s v="Jones"/>
    <s v="jone.ai@yahoo.com"/>
    <x v="6"/>
    <n v="90"/>
    <n v="150"/>
    <x v="175"/>
    <n v="136050"/>
    <x v="235"/>
    <x v="2"/>
    <x v="3"/>
    <x v="9"/>
    <x v="0"/>
    <x v="1"/>
    <s v="Malt"/>
    <x v="3"/>
  </r>
  <r>
    <n v="10759"/>
    <s v="Parent"/>
    <s v="parentty@uk.com"/>
    <x v="0"/>
    <n v="150"/>
    <n v="200"/>
    <x v="15"/>
    <n v="141800"/>
    <x v="431"/>
    <x v="3"/>
    <x v="4"/>
    <x v="10"/>
    <x v="0"/>
    <x v="1"/>
    <s v="Beer"/>
    <x v="3"/>
  </r>
  <r>
    <n v="10760"/>
    <s v="Kivell"/>
    <s v="kivel_go@yahoo.com"/>
    <x v="1"/>
    <n v="250"/>
    <n v="500"/>
    <x v="107"/>
    <n v="443000"/>
    <x v="120"/>
    <x v="4"/>
    <x v="5"/>
    <x v="11"/>
    <x v="2"/>
    <x v="1"/>
    <s v="Beer"/>
    <x v="3"/>
  </r>
  <r>
    <n v="10761"/>
    <s v="Smith"/>
    <s v="smithMan@yahoo.com"/>
    <x v="2"/>
    <n v="180"/>
    <n v="450"/>
    <x v="91"/>
    <n v="372600"/>
    <x v="542"/>
    <x v="0"/>
    <x v="0"/>
    <x v="0"/>
    <x v="2"/>
    <x v="0"/>
    <s v="Beer"/>
    <x v="0"/>
  </r>
  <r>
    <n v="10762"/>
    <s v="Parent"/>
    <s v="parentty@uk.com"/>
    <x v="3"/>
    <n v="170"/>
    <n v="250"/>
    <x v="8"/>
    <n v="175000"/>
    <x v="543"/>
    <x v="1"/>
    <x v="1"/>
    <x v="1"/>
    <x v="0"/>
    <x v="0"/>
    <s v="Beer"/>
    <x v="0"/>
  </r>
  <r>
    <n v="10763"/>
    <s v="Gill"/>
    <s v="gillhell@uk.com"/>
    <x v="4"/>
    <n v="150"/>
    <n v="200"/>
    <x v="178"/>
    <n v="185600"/>
    <x v="448"/>
    <x v="2"/>
    <x v="2"/>
    <x v="2"/>
    <x v="1"/>
    <x v="1"/>
    <s v="Beer"/>
    <x v="0"/>
  </r>
  <r>
    <n v="10764"/>
    <s v="Smith"/>
    <s v="smithMan@yahoo.com"/>
    <x v="5"/>
    <n v="80"/>
    <n v="150"/>
    <x v="252"/>
    <n v="110550"/>
    <x v="544"/>
    <x v="3"/>
    <x v="3"/>
    <x v="3"/>
    <x v="1"/>
    <x v="1"/>
    <s v="Malt"/>
    <x v="1"/>
  </r>
  <r>
    <n v="10765"/>
    <s v="Jones"/>
    <s v="jone.ai@yahoo.com"/>
    <x v="6"/>
    <n v="90"/>
    <n v="150"/>
    <x v="227"/>
    <n v="147900"/>
    <x v="545"/>
    <x v="4"/>
    <x v="4"/>
    <x v="4"/>
    <x v="0"/>
    <x v="1"/>
    <s v="Malt"/>
    <x v="1"/>
  </r>
  <r>
    <n v="10766"/>
    <s v="Sorvino"/>
    <s v="sorvi2000@gmail.com"/>
    <x v="0"/>
    <n v="150"/>
    <n v="200"/>
    <x v="119"/>
    <n v="146600"/>
    <x v="546"/>
    <x v="0"/>
    <x v="5"/>
    <x v="5"/>
    <x v="1"/>
    <x v="0"/>
    <s v="Beer"/>
    <x v="1"/>
  </r>
  <r>
    <n v="10767"/>
    <s v="Jardine"/>
    <s v="jard@gmail.com"/>
    <x v="1"/>
    <n v="250"/>
    <n v="500"/>
    <x v="63"/>
    <n v="384500"/>
    <x v="547"/>
    <x v="1"/>
    <x v="0"/>
    <x v="6"/>
    <x v="2"/>
    <x v="0"/>
    <s v="Beer"/>
    <x v="2"/>
  </r>
  <r>
    <n v="10768"/>
    <s v="Andrews"/>
    <s v="andy@gmail.com"/>
    <x v="2"/>
    <n v="180"/>
    <n v="450"/>
    <x v="270"/>
    <n v="351900"/>
    <x v="548"/>
    <x v="2"/>
    <x v="1"/>
    <x v="7"/>
    <x v="2"/>
    <x v="1"/>
    <s v="Beer"/>
    <x v="2"/>
  </r>
  <r>
    <n v="10769"/>
    <s v="Howard"/>
    <s v="howard_freeman@yahoo.com"/>
    <x v="3"/>
    <n v="170"/>
    <n v="250"/>
    <x v="156"/>
    <n v="188750"/>
    <x v="507"/>
    <x v="3"/>
    <x v="2"/>
    <x v="8"/>
    <x v="2"/>
    <x v="1"/>
    <s v="Beer"/>
    <x v="2"/>
  </r>
  <r>
    <n v="10770"/>
    <s v="Gill"/>
    <s v="gillhell@uk.com"/>
    <x v="4"/>
    <n v="150"/>
    <n v="200"/>
    <x v="208"/>
    <n v="196000"/>
    <x v="549"/>
    <x v="4"/>
    <x v="3"/>
    <x v="9"/>
    <x v="0"/>
    <x v="1"/>
    <s v="Beer"/>
    <x v="3"/>
  </r>
  <r>
    <n v="10771"/>
    <s v="Gill"/>
    <s v="gillhell@uk.com"/>
    <x v="5"/>
    <n v="80"/>
    <n v="150"/>
    <x v="156"/>
    <n v="113250"/>
    <x v="550"/>
    <x v="0"/>
    <x v="4"/>
    <x v="10"/>
    <x v="0"/>
    <x v="0"/>
    <s v="Malt"/>
    <x v="3"/>
  </r>
  <r>
    <n v="10772"/>
    <s v="Kivell"/>
    <s v="kivel_go@yahoo.com"/>
    <x v="6"/>
    <n v="90"/>
    <n v="150"/>
    <x v="32"/>
    <n v="120600"/>
    <x v="551"/>
    <x v="1"/>
    <x v="5"/>
    <x v="11"/>
    <x v="0"/>
    <x v="0"/>
    <s v="Malt"/>
    <x v="3"/>
  </r>
  <r>
    <n v="10773"/>
    <s v="Jones"/>
    <s v="jone.ai@yahoo.com"/>
    <x v="0"/>
    <n v="150"/>
    <n v="200"/>
    <x v="35"/>
    <n v="164200"/>
    <x v="552"/>
    <x v="2"/>
    <x v="0"/>
    <x v="0"/>
    <x v="2"/>
    <x v="1"/>
    <s v="Beer"/>
    <x v="0"/>
  </r>
  <r>
    <n v="10774"/>
    <s v="Morgan"/>
    <s v="morganny@gmail.com"/>
    <x v="1"/>
    <n v="250"/>
    <n v="500"/>
    <x v="59"/>
    <n v="384000"/>
    <x v="553"/>
    <x v="3"/>
    <x v="1"/>
    <x v="1"/>
    <x v="2"/>
    <x v="1"/>
    <s v="Beer"/>
    <x v="0"/>
  </r>
  <r>
    <n v="10775"/>
    <s v="Kivell"/>
    <s v="kivel_go@yahoo.com"/>
    <x v="2"/>
    <n v="180"/>
    <n v="450"/>
    <x v="202"/>
    <n v="418050"/>
    <x v="554"/>
    <x v="4"/>
    <x v="2"/>
    <x v="2"/>
    <x v="0"/>
    <x v="1"/>
    <s v="Beer"/>
    <x v="0"/>
  </r>
  <r>
    <n v="10776"/>
    <s v="Sorvino"/>
    <s v="sorvi2000@gmail.com"/>
    <x v="3"/>
    <n v="170"/>
    <n v="250"/>
    <x v="228"/>
    <n v="234500"/>
    <x v="555"/>
    <x v="0"/>
    <x v="3"/>
    <x v="3"/>
    <x v="1"/>
    <x v="0"/>
    <s v="Beer"/>
    <x v="1"/>
  </r>
  <r>
    <n v="10777"/>
    <s v="Gill"/>
    <s v="gillhell@uk.com"/>
    <x v="4"/>
    <n v="150"/>
    <n v="200"/>
    <x v="54"/>
    <n v="155200"/>
    <x v="556"/>
    <x v="1"/>
    <x v="4"/>
    <x v="4"/>
    <x v="1"/>
    <x v="0"/>
    <s v="Beer"/>
    <x v="1"/>
  </r>
  <r>
    <n v="10778"/>
    <s v="Sorvino"/>
    <s v="sorvi2000@gmail.com"/>
    <x v="5"/>
    <n v="80"/>
    <n v="150"/>
    <x v="266"/>
    <n v="124500"/>
    <x v="557"/>
    <x v="2"/>
    <x v="5"/>
    <x v="5"/>
    <x v="1"/>
    <x v="1"/>
    <s v="Malt"/>
    <x v="1"/>
  </r>
  <r>
    <n v="10779"/>
    <s v="Thompson"/>
    <s v="thomp@uk.com"/>
    <x v="6"/>
    <n v="90"/>
    <n v="150"/>
    <x v="117"/>
    <n v="132150"/>
    <x v="558"/>
    <x v="3"/>
    <x v="0"/>
    <x v="6"/>
    <x v="2"/>
    <x v="1"/>
    <s v="Malt"/>
    <x v="2"/>
  </r>
  <r>
    <n v="10780"/>
    <s v="Andrews"/>
    <s v="andy@gmail.com"/>
    <x v="0"/>
    <n v="150"/>
    <n v="200"/>
    <x v="133"/>
    <n v="170800"/>
    <x v="559"/>
    <x v="4"/>
    <x v="1"/>
    <x v="7"/>
    <x v="0"/>
    <x v="1"/>
    <s v="Beer"/>
    <x v="2"/>
  </r>
  <r>
    <n v="10781"/>
    <s v="Jardine"/>
    <s v="jard@gmail.com"/>
    <x v="1"/>
    <n v="250"/>
    <n v="500"/>
    <x v="13"/>
    <n v="421500"/>
    <x v="182"/>
    <x v="0"/>
    <x v="2"/>
    <x v="8"/>
    <x v="2"/>
    <x v="0"/>
    <s v="Beer"/>
    <x v="2"/>
  </r>
  <r>
    <n v="10782"/>
    <s v="Jardine"/>
    <s v="jard@gmail.com"/>
    <x v="2"/>
    <n v="180"/>
    <n v="450"/>
    <x v="271"/>
    <n v="417150"/>
    <x v="560"/>
    <x v="1"/>
    <x v="3"/>
    <x v="9"/>
    <x v="0"/>
    <x v="0"/>
    <s v="Beer"/>
    <x v="3"/>
  </r>
  <r>
    <n v="10783"/>
    <s v="Andrews"/>
    <s v="andy@gmail.com"/>
    <x v="3"/>
    <n v="170"/>
    <n v="250"/>
    <x v="272"/>
    <n v="247000"/>
    <x v="561"/>
    <x v="2"/>
    <x v="4"/>
    <x v="10"/>
    <x v="0"/>
    <x v="1"/>
    <s v="Beer"/>
    <x v="3"/>
  </r>
  <r>
    <n v="10784"/>
    <s v="Jardine"/>
    <s v="jard@gmail.com"/>
    <x v="4"/>
    <n v="150"/>
    <n v="200"/>
    <x v="273"/>
    <n v="172800"/>
    <x v="562"/>
    <x v="3"/>
    <x v="5"/>
    <x v="11"/>
    <x v="1"/>
    <x v="1"/>
    <s v="Beer"/>
    <x v="3"/>
  </r>
  <r>
    <n v="10785"/>
    <s v="Gill"/>
    <s v="gillhell@uk.com"/>
    <x v="5"/>
    <n v="80"/>
    <n v="150"/>
    <x v="44"/>
    <n v="142800"/>
    <x v="71"/>
    <x v="4"/>
    <x v="0"/>
    <x v="0"/>
    <x v="2"/>
    <x v="1"/>
    <s v="Malt"/>
    <x v="0"/>
  </r>
  <r>
    <n v="10786"/>
    <s v="Sorvino"/>
    <s v="sorvi2000@gmail.com"/>
    <x v="6"/>
    <n v="90"/>
    <n v="150"/>
    <x v="89"/>
    <n v="122550"/>
    <x v="304"/>
    <x v="0"/>
    <x v="1"/>
    <x v="1"/>
    <x v="1"/>
    <x v="0"/>
    <s v="Malt"/>
    <x v="0"/>
  </r>
  <r>
    <n v="10787"/>
    <s v="Jones"/>
    <s v="jone.ai@yahoo.com"/>
    <x v="0"/>
    <n v="150"/>
    <n v="200"/>
    <x v="208"/>
    <n v="196000"/>
    <x v="549"/>
    <x v="1"/>
    <x v="2"/>
    <x v="2"/>
    <x v="1"/>
    <x v="0"/>
    <s v="Beer"/>
    <x v="0"/>
  </r>
  <r>
    <n v="10788"/>
    <s v="Andrews"/>
    <s v="andy@gmail.com"/>
    <x v="1"/>
    <n v="250"/>
    <n v="500"/>
    <x v="30"/>
    <n v="413000"/>
    <x v="563"/>
    <x v="2"/>
    <x v="3"/>
    <x v="3"/>
    <x v="0"/>
    <x v="1"/>
    <s v="Beer"/>
    <x v="1"/>
  </r>
  <r>
    <n v="10789"/>
    <s v="Jardine"/>
    <s v="jard@gmail.com"/>
    <x v="2"/>
    <n v="180"/>
    <n v="450"/>
    <x v="273"/>
    <n v="388800"/>
    <x v="564"/>
    <x v="3"/>
    <x v="4"/>
    <x v="4"/>
    <x v="2"/>
    <x v="1"/>
    <s v="Beer"/>
    <x v="1"/>
  </r>
  <r>
    <n v="10790"/>
    <s v="Thompson"/>
    <s v="thomp@uk.com"/>
    <x v="3"/>
    <n v="170"/>
    <n v="250"/>
    <x v="252"/>
    <n v="184250"/>
    <x v="565"/>
    <x v="4"/>
    <x v="5"/>
    <x v="5"/>
    <x v="1"/>
    <x v="1"/>
    <s v="Beer"/>
    <x v="1"/>
  </r>
  <r>
    <n v="10791"/>
    <s v="Jones"/>
    <s v="jone.ai@yahoo.com"/>
    <x v="4"/>
    <n v="150"/>
    <n v="200"/>
    <x v="77"/>
    <n v="154600"/>
    <x v="79"/>
    <x v="0"/>
    <x v="0"/>
    <x v="6"/>
    <x v="1"/>
    <x v="0"/>
    <s v="Beer"/>
    <x v="2"/>
  </r>
  <r>
    <n v="10792"/>
    <s v="Morgan"/>
    <s v="morganny@gmail.com"/>
    <x v="5"/>
    <n v="80"/>
    <n v="150"/>
    <x v="11"/>
    <n v="135300"/>
    <x v="566"/>
    <x v="1"/>
    <x v="1"/>
    <x v="7"/>
    <x v="0"/>
    <x v="0"/>
    <s v="Malt"/>
    <x v="2"/>
  </r>
  <r>
    <n v="10793"/>
    <s v="Howard"/>
    <s v="howard_freeman@yahoo.com"/>
    <x v="6"/>
    <n v="90"/>
    <n v="150"/>
    <x v="206"/>
    <n v="133200"/>
    <x v="567"/>
    <x v="2"/>
    <x v="2"/>
    <x v="8"/>
    <x v="0"/>
    <x v="1"/>
    <s v="Malt"/>
    <x v="2"/>
  </r>
  <r>
    <n v="10794"/>
    <s v="Parent"/>
    <s v="parentty@uk.com"/>
    <x v="0"/>
    <n v="150"/>
    <n v="200"/>
    <x v="274"/>
    <n v="178600"/>
    <x v="568"/>
    <x v="3"/>
    <x v="3"/>
    <x v="9"/>
    <x v="0"/>
    <x v="1"/>
    <s v="Beer"/>
    <x v="3"/>
  </r>
  <r>
    <n v="10795"/>
    <s v="Jones"/>
    <s v="jone.ai@yahoo.com"/>
    <x v="1"/>
    <n v="250"/>
    <n v="500"/>
    <x v="176"/>
    <n v="359000"/>
    <x v="353"/>
    <x v="4"/>
    <x v="4"/>
    <x v="10"/>
    <x v="2"/>
    <x v="1"/>
    <s v="Beer"/>
    <x v="3"/>
  </r>
  <r>
    <n v="10796"/>
    <s v="Smith"/>
    <s v="smithMan@yahoo.com"/>
    <x v="2"/>
    <n v="180"/>
    <n v="450"/>
    <x v="121"/>
    <n v="334800"/>
    <x v="569"/>
    <x v="0"/>
    <x v="5"/>
    <x v="11"/>
    <x v="2"/>
    <x v="0"/>
    <s v="Beer"/>
    <x v="3"/>
  </r>
  <r>
    <n v="10797"/>
    <s v="Jones"/>
    <s v="jone.ai@yahoo.com"/>
    <x v="3"/>
    <n v="170"/>
    <n v="250"/>
    <x v="86"/>
    <n v="239750"/>
    <x v="570"/>
    <x v="1"/>
    <x v="0"/>
    <x v="0"/>
    <x v="2"/>
    <x v="0"/>
    <s v="Beer"/>
    <x v="0"/>
  </r>
  <r>
    <n v="10798"/>
    <s v="Morgan"/>
    <s v="morganny@gmail.com"/>
    <x v="4"/>
    <n v="150"/>
    <n v="200"/>
    <x v="275"/>
    <n v="195200"/>
    <x v="571"/>
    <x v="2"/>
    <x v="1"/>
    <x v="1"/>
    <x v="2"/>
    <x v="1"/>
    <s v="Beer"/>
    <x v="0"/>
  </r>
  <r>
    <n v="10799"/>
    <s v="Jones"/>
    <s v="jone.ai@yahoo.com"/>
    <x v="5"/>
    <n v="80"/>
    <n v="150"/>
    <x v="65"/>
    <n v="141000"/>
    <x v="572"/>
    <x v="3"/>
    <x v="2"/>
    <x v="2"/>
    <x v="1"/>
    <x v="1"/>
    <s v="Malt"/>
    <x v="0"/>
  </r>
  <r>
    <n v="10800"/>
    <s v="Parent"/>
    <s v="parentty@uk.com"/>
    <x v="6"/>
    <n v="90"/>
    <n v="150"/>
    <x v="220"/>
    <n v="143400"/>
    <x v="351"/>
    <x v="4"/>
    <x v="3"/>
    <x v="3"/>
    <x v="0"/>
    <x v="1"/>
    <s v="Malt"/>
    <x v="1"/>
  </r>
  <r>
    <n v="10801"/>
    <s v="Kivell"/>
    <s v="kivel_go@yahoo.com"/>
    <x v="0"/>
    <n v="150"/>
    <n v="200"/>
    <x v="258"/>
    <n v="181600"/>
    <x v="573"/>
    <x v="0"/>
    <x v="4"/>
    <x v="4"/>
    <x v="1"/>
    <x v="0"/>
    <s v="Beer"/>
    <x v="1"/>
  </r>
  <r>
    <n v="10802"/>
    <s v="Smith"/>
    <s v="smithMan@yahoo.com"/>
    <x v="1"/>
    <n v="250"/>
    <n v="500"/>
    <x v="261"/>
    <n v="433000"/>
    <x v="574"/>
    <x v="1"/>
    <x v="5"/>
    <x v="5"/>
    <x v="1"/>
    <x v="0"/>
    <s v="Beer"/>
    <x v="1"/>
  </r>
  <r>
    <n v="10803"/>
    <s v="Parent"/>
    <s v="parentty@uk.com"/>
    <x v="2"/>
    <n v="180"/>
    <n v="450"/>
    <x v="167"/>
    <n v="330750"/>
    <x v="364"/>
    <x v="2"/>
    <x v="0"/>
    <x v="6"/>
    <x v="0"/>
    <x v="1"/>
    <s v="Beer"/>
    <x v="2"/>
  </r>
  <r>
    <n v="10804"/>
    <s v="Gill"/>
    <s v="gillhell@uk.com"/>
    <x v="3"/>
    <n v="170"/>
    <n v="250"/>
    <x v="255"/>
    <n v="200500"/>
    <x v="575"/>
    <x v="3"/>
    <x v="1"/>
    <x v="7"/>
    <x v="2"/>
    <x v="1"/>
    <s v="Beer"/>
    <x v="2"/>
  </r>
  <r>
    <n v="10805"/>
    <s v="Smith"/>
    <s v="smithMan@yahoo.com"/>
    <x v="4"/>
    <n v="150"/>
    <n v="200"/>
    <x v="275"/>
    <n v="195200"/>
    <x v="571"/>
    <x v="4"/>
    <x v="2"/>
    <x v="8"/>
    <x v="1"/>
    <x v="1"/>
    <s v="Beer"/>
    <x v="2"/>
  </r>
  <r>
    <n v="10806"/>
    <s v="Jones"/>
    <s v="jone.ai@yahoo.com"/>
    <x v="5"/>
    <n v="80"/>
    <n v="150"/>
    <x v="103"/>
    <n v="137100"/>
    <x v="508"/>
    <x v="0"/>
    <x v="3"/>
    <x v="9"/>
    <x v="2"/>
    <x v="0"/>
    <s v="Malt"/>
    <x v="3"/>
  </r>
  <r>
    <n v="10807"/>
    <s v="Sorvino"/>
    <s v="sorvi2000@gmail.com"/>
    <x v="6"/>
    <n v="90"/>
    <n v="150"/>
    <x v="35"/>
    <n v="123150"/>
    <x v="576"/>
    <x v="1"/>
    <x v="4"/>
    <x v="10"/>
    <x v="2"/>
    <x v="0"/>
    <s v="Malt"/>
    <x v="3"/>
  </r>
  <r>
    <n v="10808"/>
    <s v="Jardine"/>
    <s v="jard@gmail.com"/>
    <x v="0"/>
    <n v="150"/>
    <n v="200"/>
    <x v="32"/>
    <n v="160800"/>
    <x v="368"/>
    <x v="2"/>
    <x v="5"/>
    <x v="11"/>
    <x v="2"/>
    <x v="1"/>
    <s v="Beer"/>
    <x v="3"/>
  </r>
  <r>
    <n v="10809"/>
    <s v="Andrews"/>
    <s v="andy@gmail.com"/>
    <x v="1"/>
    <n v="250"/>
    <n v="500"/>
    <x v="73"/>
    <n v="473000"/>
    <x v="577"/>
    <x v="3"/>
    <x v="0"/>
    <x v="0"/>
    <x v="2"/>
    <x v="1"/>
    <s v="Beer"/>
    <x v="0"/>
  </r>
  <r>
    <n v="10810"/>
    <s v="Howard"/>
    <s v="howard_freeman@yahoo.com"/>
    <x v="2"/>
    <n v="180"/>
    <n v="450"/>
    <x v="194"/>
    <n v="448650"/>
    <x v="277"/>
    <x v="4"/>
    <x v="1"/>
    <x v="1"/>
    <x v="0"/>
    <x v="1"/>
    <s v="Beer"/>
    <x v="0"/>
  </r>
  <r>
    <n v="10811"/>
    <s v="Gill"/>
    <s v="gillhell@uk.com"/>
    <x v="3"/>
    <n v="170"/>
    <n v="250"/>
    <x v="224"/>
    <n v="192500"/>
    <x v="578"/>
    <x v="0"/>
    <x v="2"/>
    <x v="2"/>
    <x v="0"/>
    <x v="0"/>
    <s v="Beer"/>
    <x v="0"/>
  </r>
  <r>
    <n v="10812"/>
    <s v="Gill"/>
    <s v="gillhell@uk.com"/>
    <x v="4"/>
    <n v="150"/>
    <n v="200"/>
    <x v="109"/>
    <n v="180200"/>
    <x v="123"/>
    <x v="1"/>
    <x v="3"/>
    <x v="3"/>
    <x v="2"/>
    <x v="0"/>
    <s v="Beer"/>
    <x v="1"/>
  </r>
  <r>
    <n v="10813"/>
    <s v="Kivell"/>
    <s v="kivel_go@yahoo.com"/>
    <x v="5"/>
    <n v="80"/>
    <n v="150"/>
    <x v="48"/>
    <n v="107850"/>
    <x v="373"/>
    <x v="2"/>
    <x v="4"/>
    <x v="4"/>
    <x v="0"/>
    <x v="1"/>
    <s v="Malt"/>
    <x v="1"/>
  </r>
  <r>
    <n v="10814"/>
    <s v="Jones"/>
    <s v="jone.ai@yahoo.com"/>
    <x v="6"/>
    <n v="90"/>
    <n v="150"/>
    <x v="188"/>
    <n v="139950"/>
    <x v="262"/>
    <x v="3"/>
    <x v="5"/>
    <x v="5"/>
    <x v="1"/>
    <x v="1"/>
    <s v="Malt"/>
    <x v="1"/>
  </r>
  <r>
    <n v="10815"/>
    <s v="Morgan"/>
    <s v="morganny@gmail.com"/>
    <x v="0"/>
    <n v="150"/>
    <n v="200"/>
    <x v="116"/>
    <n v="198400"/>
    <x v="340"/>
    <x v="4"/>
    <x v="0"/>
    <x v="6"/>
    <x v="2"/>
    <x v="1"/>
    <s v="Beer"/>
    <x v="2"/>
  </r>
  <r>
    <n v="10816"/>
    <s v="Kivell"/>
    <s v="kivel_go@yahoo.com"/>
    <x v="1"/>
    <n v="250"/>
    <n v="500"/>
    <x v="159"/>
    <n v="409000"/>
    <x v="579"/>
    <x v="0"/>
    <x v="1"/>
    <x v="7"/>
    <x v="1"/>
    <x v="0"/>
    <s v="Beer"/>
    <x v="2"/>
  </r>
  <r>
    <n v="10817"/>
    <s v="Sorvino"/>
    <s v="sorvi2000@gmail.com"/>
    <x v="2"/>
    <n v="180"/>
    <n v="450"/>
    <x v="91"/>
    <n v="372600"/>
    <x v="542"/>
    <x v="1"/>
    <x v="2"/>
    <x v="8"/>
    <x v="2"/>
    <x v="0"/>
    <s v="Beer"/>
    <x v="2"/>
  </r>
  <r>
    <n v="10818"/>
    <s v="Gill"/>
    <s v="gillhell@uk.com"/>
    <x v="3"/>
    <n v="170"/>
    <n v="250"/>
    <x v="276"/>
    <n v="189500"/>
    <x v="580"/>
    <x v="2"/>
    <x v="3"/>
    <x v="9"/>
    <x v="2"/>
    <x v="1"/>
    <s v="Beer"/>
    <x v="3"/>
  </r>
  <r>
    <n v="10819"/>
    <s v="Sorvino"/>
    <s v="sorvi2000@gmail.com"/>
    <x v="4"/>
    <n v="150"/>
    <n v="200"/>
    <x v="226"/>
    <n v="157400"/>
    <x v="581"/>
    <x v="3"/>
    <x v="4"/>
    <x v="10"/>
    <x v="1"/>
    <x v="1"/>
    <s v="Beer"/>
    <x v="3"/>
  </r>
  <r>
    <n v="10820"/>
    <s v="Thompson"/>
    <s v="thomp@uk.com"/>
    <x v="5"/>
    <n v="80"/>
    <n v="150"/>
    <x v="202"/>
    <n v="139350"/>
    <x v="455"/>
    <x v="4"/>
    <x v="5"/>
    <x v="11"/>
    <x v="0"/>
    <x v="1"/>
    <s v="Malt"/>
    <x v="3"/>
  </r>
  <r>
    <n v="10821"/>
    <s v="Andrews"/>
    <s v="andy@gmail.com"/>
    <x v="6"/>
    <n v="90"/>
    <n v="150"/>
    <x v="277"/>
    <n v="117750"/>
    <x v="582"/>
    <x v="0"/>
    <x v="0"/>
    <x v="0"/>
    <x v="0"/>
    <x v="0"/>
    <s v="Malt"/>
    <x v="0"/>
  </r>
  <r>
    <n v="10822"/>
    <s v="Jardine"/>
    <s v="jard@gmail.com"/>
    <x v="0"/>
    <n v="150"/>
    <n v="200"/>
    <x v="76"/>
    <n v="140200"/>
    <x v="583"/>
    <x v="1"/>
    <x v="1"/>
    <x v="1"/>
    <x v="2"/>
    <x v="0"/>
    <s v="Beer"/>
    <x v="0"/>
  </r>
  <r>
    <n v="10823"/>
    <s v="Jardine"/>
    <s v="jard@gmail.com"/>
    <x v="1"/>
    <n v="250"/>
    <n v="500"/>
    <x v="250"/>
    <n v="378500"/>
    <x v="584"/>
    <x v="2"/>
    <x v="2"/>
    <x v="2"/>
    <x v="0"/>
    <x v="1"/>
    <s v="Beer"/>
    <x v="0"/>
  </r>
  <r>
    <n v="10824"/>
    <s v="Andrews"/>
    <s v="andy@gmail.com"/>
    <x v="2"/>
    <n v="180"/>
    <n v="450"/>
    <x v="106"/>
    <n v="364500"/>
    <x v="585"/>
    <x v="3"/>
    <x v="3"/>
    <x v="3"/>
    <x v="0"/>
    <x v="1"/>
    <s v="Beer"/>
    <x v="1"/>
  </r>
  <r>
    <n v="10825"/>
    <s v="Jones"/>
    <s v="jone.ai@yahoo.com"/>
    <x v="3"/>
    <n v="170"/>
    <n v="250"/>
    <x v="98"/>
    <n v="218500"/>
    <x v="464"/>
    <x v="4"/>
    <x v="4"/>
    <x v="4"/>
    <x v="2"/>
    <x v="1"/>
    <s v="Beer"/>
    <x v="1"/>
  </r>
  <r>
    <n v="10826"/>
    <s v="Morgan"/>
    <s v="morganny@gmail.com"/>
    <x v="4"/>
    <n v="150"/>
    <n v="200"/>
    <x v="82"/>
    <n v="164000"/>
    <x v="86"/>
    <x v="0"/>
    <x v="5"/>
    <x v="5"/>
    <x v="1"/>
    <x v="0"/>
    <s v="Beer"/>
    <x v="1"/>
  </r>
  <r>
    <n v="10827"/>
    <s v="Kivell"/>
    <s v="kivel_go@yahoo.com"/>
    <x v="5"/>
    <n v="80"/>
    <n v="150"/>
    <x v="98"/>
    <n v="131100"/>
    <x v="459"/>
    <x v="1"/>
    <x v="0"/>
    <x v="6"/>
    <x v="1"/>
    <x v="0"/>
    <s v="Malt"/>
    <x v="2"/>
  </r>
  <r>
    <n v="10828"/>
    <s v="Sorvino"/>
    <s v="sorvi2000@gmail.com"/>
    <x v="6"/>
    <n v="90"/>
    <n v="150"/>
    <x v="189"/>
    <n v="143700"/>
    <x v="586"/>
    <x v="2"/>
    <x v="1"/>
    <x v="7"/>
    <x v="0"/>
    <x v="1"/>
    <s v="Malt"/>
    <x v="2"/>
  </r>
  <r>
    <n v="10829"/>
    <s v="Gill"/>
    <s v="gillhell@uk.com"/>
    <x v="0"/>
    <n v="150"/>
    <n v="200"/>
    <x v="148"/>
    <n v="148400"/>
    <x v="175"/>
    <x v="3"/>
    <x v="2"/>
    <x v="8"/>
    <x v="1"/>
    <x v="1"/>
    <s v="Beer"/>
    <x v="2"/>
  </r>
  <r>
    <n v="10830"/>
    <s v="Sorvino"/>
    <s v="sorvi2000@gmail.com"/>
    <x v="1"/>
    <n v="250"/>
    <n v="500"/>
    <x v="191"/>
    <n v="486500"/>
    <x v="587"/>
    <x v="4"/>
    <x v="3"/>
    <x v="9"/>
    <x v="1"/>
    <x v="1"/>
    <s v="Beer"/>
    <x v="3"/>
  </r>
  <r>
    <n v="10831"/>
    <s v="Thompson"/>
    <s v="thomp@uk.com"/>
    <x v="2"/>
    <n v="180"/>
    <n v="450"/>
    <x v="130"/>
    <n v="432450"/>
    <x v="148"/>
    <x v="0"/>
    <x v="4"/>
    <x v="10"/>
    <x v="2"/>
    <x v="0"/>
    <s v="Beer"/>
    <x v="3"/>
  </r>
  <r>
    <n v="10832"/>
    <s v="Andrews"/>
    <s v="andy@gmail.com"/>
    <x v="3"/>
    <n v="170"/>
    <n v="250"/>
    <x v="278"/>
    <n v="188000"/>
    <x v="588"/>
    <x v="1"/>
    <x v="5"/>
    <x v="11"/>
    <x v="2"/>
    <x v="0"/>
    <s v="Beer"/>
    <x v="3"/>
  </r>
  <r>
    <n v="10833"/>
    <s v="Jardine"/>
    <s v="jard@gmail.com"/>
    <x v="4"/>
    <n v="150"/>
    <n v="200"/>
    <x v="228"/>
    <n v="187600"/>
    <x v="372"/>
    <x v="2"/>
    <x v="0"/>
    <x v="0"/>
    <x v="1"/>
    <x v="1"/>
    <s v="Beer"/>
    <x v="0"/>
  </r>
  <r>
    <n v="10834"/>
    <s v="Jardine"/>
    <s v="jard@gmail.com"/>
    <x v="5"/>
    <n v="80"/>
    <n v="150"/>
    <x v="96"/>
    <n v="116550"/>
    <x v="589"/>
    <x v="3"/>
    <x v="1"/>
    <x v="1"/>
    <x v="1"/>
    <x v="1"/>
    <s v="Malt"/>
    <x v="0"/>
  </r>
  <r>
    <n v="10835"/>
    <s v="Andrews"/>
    <s v="andy@gmail.com"/>
    <x v="6"/>
    <n v="90"/>
    <n v="150"/>
    <x v="99"/>
    <n v="128250"/>
    <x v="443"/>
    <x v="4"/>
    <x v="2"/>
    <x v="2"/>
    <x v="1"/>
    <x v="1"/>
    <s v="Malt"/>
    <x v="0"/>
  </r>
  <r>
    <n v="10836"/>
    <s v="Jardine"/>
    <s v="jard@gmail.com"/>
    <x v="0"/>
    <n v="150"/>
    <n v="200"/>
    <x v="34"/>
    <n v="174000"/>
    <x v="34"/>
    <x v="0"/>
    <x v="3"/>
    <x v="3"/>
    <x v="2"/>
    <x v="0"/>
    <s v="Beer"/>
    <x v="1"/>
  </r>
  <r>
    <n v="10837"/>
    <s v="Gill"/>
    <s v="gillhell@uk.com"/>
    <x v="1"/>
    <n v="250"/>
    <n v="500"/>
    <x v="169"/>
    <n v="461000"/>
    <x v="590"/>
    <x v="1"/>
    <x v="4"/>
    <x v="4"/>
    <x v="1"/>
    <x v="0"/>
    <s v="Beer"/>
    <x v="1"/>
  </r>
  <r>
    <n v="10838"/>
    <s v="Sorvino"/>
    <s v="sorvi2000@gmail.com"/>
    <x v="2"/>
    <n v="180"/>
    <n v="450"/>
    <x v="88"/>
    <n v="385200"/>
    <x v="370"/>
    <x v="2"/>
    <x v="5"/>
    <x v="5"/>
    <x v="1"/>
    <x v="1"/>
    <s v="Beer"/>
    <x v="1"/>
  </r>
  <r>
    <n v="10839"/>
    <s v="Jones"/>
    <s v="jone.ai@yahoo.com"/>
    <x v="3"/>
    <n v="170"/>
    <n v="250"/>
    <x v="166"/>
    <n v="213000"/>
    <x v="214"/>
    <x v="3"/>
    <x v="0"/>
    <x v="6"/>
    <x v="1"/>
    <x v="1"/>
    <s v="Beer"/>
    <x v="2"/>
  </r>
  <r>
    <n v="10840"/>
    <s v="Andrews"/>
    <s v="andy@gmail.com"/>
    <x v="4"/>
    <n v="150"/>
    <n v="200"/>
    <x v="83"/>
    <n v="196200"/>
    <x v="89"/>
    <x v="4"/>
    <x v="1"/>
    <x v="7"/>
    <x v="1"/>
    <x v="1"/>
    <s v="Beer"/>
    <x v="2"/>
  </r>
  <r>
    <n v="10841"/>
    <s v="Jardine"/>
    <s v="jard@gmail.com"/>
    <x v="5"/>
    <n v="80"/>
    <n v="150"/>
    <x v="17"/>
    <n v="136500"/>
    <x v="333"/>
    <x v="0"/>
    <x v="2"/>
    <x v="8"/>
    <x v="2"/>
    <x v="0"/>
    <s v="Malt"/>
    <x v="2"/>
  </r>
  <r>
    <n v="10842"/>
    <s v="Thompson"/>
    <s v="thomp@uk.com"/>
    <x v="6"/>
    <n v="90"/>
    <n v="150"/>
    <x v="90"/>
    <n v="120750"/>
    <x v="591"/>
    <x v="1"/>
    <x v="3"/>
    <x v="9"/>
    <x v="1"/>
    <x v="0"/>
    <s v="Malt"/>
    <x v="3"/>
  </r>
  <r>
    <n v="10843"/>
    <s v="Jones"/>
    <s v="jone.ai@yahoo.com"/>
    <x v="0"/>
    <n v="150"/>
    <n v="200"/>
    <x v="279"/>
    <n v="186400"/>
    <x v="592"/>
    <x v="2"/>
    <x v="4"/>
    <x v="10"/>
    <x v="1"/>
    <x v="1"/>
    <s v="Beer"/>
    <x v="3"/>
  </r>
  <r>
    <n v="10844"/>
    <s v="Morgan"/>
    <s v="morganny@gmail.com"/>
    <x v="1"/>
    <n v="250"/>
    <n v="500"/>
    <x v="45"/>
    <n v="445500"/>
    <x v="593"/>
    <x v="3"/>
    <x v="5"/>
    <x v="11"/>
    <x v="1"/>
    <x v="1"/>
    <s v="Beer"/>
    <x v="3"/>
  </r>
  <r>
    <n v="10845"/>
    <s v="Howard"/>
    <s v="howard_freeman@yahoo.com"/>
    <x v="2"/>
    <n v="180"/>
    <n v="450"/>
    <x v="139"/>
    <n v="361350"/>
    <x v="594"/>
    <x v="4"/>
    <x v="0"/>
    <x v="0"/>
    <x v="1"/>
    <x v="1"/>
    <s v="Beer"/>
    <x v="0"/>
  </r>
  <r>
    <n v="10846"/>
    <s v="Parent"/>
    <s v="parentty@uk.com"/>
    <x v="3"/>
    <n v="170"/>
    <n v="250"/>
    <x v="159"/>
    <n v="204500"/>
    <x v="385"/>
    <x v="0"/>
    <x v="1"/>
    <x v="1"/>
    <x v="2"/>
    <x v="0"/>
    <s v="Beer"/>
    <x v="0"/>
  </r>
  <r>
    <n v="10847"/>
    <s v="Jones"/>
    <s v="jone.ai@yahoo.com"/>
    <x v="4"/>
    <n v="150"/>
    <n v="200"/>
    <x v="279"/>
    <n v="186400"/>
    <x v="592"/>
    <x v="1"/>
    <x v="2"/>
    <x v="2"/>
    <x v="0"/>
    <x v="0"/>
    <s v="Beer"/>
    <x v="0"/>
  </r>
  <r>
    <n v="10848"/>
    <s v="Smith"/>
    <s v="smithMan@yahoo.com"/>
    <x v="5"/>
    <n v="80"/>
    <n v="150"/>
    <x v="274"/>
    <n v="133950"/>
    <x v="595"/>
    <x v="2"/>
    <x v="3"/>
    <x v="3"/>
    <x v="0"/>
    <x v="1"/>
    <s v="Malt"/>
    <x v="1"/>
  </r>
  <r>
    <n v="10849"/>
    <s v="Jones"/>
    <s v="jone.ai@yahoo.com"/>
    <x v="6"/>
    <n v="90"/>
    <n v="150"/>
    <x v="160"/>
    <n v="123600"/>
    <x v="204"/>
    <x v="3"/>
    <x v="4"/>
    <x v="4"/>
    <x v="0"/>
    <x v="1"/>
    <s v="Malt"/>
    <x v="1"/>
  </r>
  <r>
    <n v="10850"/>
    <s v="Jardine"/>
    <s v="jard@gmail.com"/>
    <x v="0"/>
    <n v="150"/>
    <n v="200"/>
    <x v="58"/>
    <n v="186200"/>
    <x v="352"/>
    <x v="4"/>
    <x v="5"/>
    <x v="5"/>
    <x v="0"/>
    <x v="1"/>
    <s v="Beer"/>
    <x v="1"/>
  </r>
  <r>
    <n v="10851"/>
    <s v="Gill"/>
    <s v="gillhell@uk.com"/>
    <x v="1"/>
    <n v="250"/>
    <n v="500"/>
    <x v="173"/>
    <n v="391500"/>
    <x v="596"/>
    <x v="0"/>
    <x v="0"/>
    <x v="6"/>
    <x v="0"/>
    <x v="0"/>
    <s v="Beer"/>
    <x v="2"/>
  </r>
  <r>
    <n v="10852"/>
    <s v="Sorvino"/>
    <s v="sorvi2000@gmail.com"/>
    <x v="2"/>
    <n v="180"/>
    <n v="450"/>
    <x v="142"/>
    <n v="318600"/>
    <x v="597"/>
    <x v="1"/>
    <x v="1"/>
    <x v="7"/>
    <x v="2"/>
    <x v="0"/>
    <s v="Beer"/>
    <x v="2"/>
  </r>
  <r>
    <n v="10853"/>
    <s v="Jones"/>
    <s v="jone.ai@yahoo.com"/>
    <x v="3"/>
    <n v="170"/>
    <n v="250"/>
    <x v="10"/>
    <n v="215250"/>
    <x v="10"/>
    <x v="2"/>
    <x v="2"/>
    <x v="8"/>
    <x v="2"/>
    <x v="1"/>
    <s v="Beer"/>
    <x v="2"/>
  </r>
  <r>
    <n v="10854"/>
    <s v="Andrews"/>
    <s v="andy@gmail.com"/>
    <x v="4"/>
    <n v="150"/>
    <n v="200"/>
    <x v="5"/>
    <n v="159600"/>
    <x v="598"/>
    <x v="3"/>
    <x v="3"/>
    <x v="9"/>
    <x v="2"/>
    <x v="1"/>
    <s v="Beer"/>
    <x v="3"/>
  </r>
  <r>
    <n v="10855"/>
    <s v="Jardine"/>
    <s v="jard@gmail.com"/>
    <x v="5"/>
    <n v="80"/>
    <n v="150"/>
    <x v="110"/>
    <n v="140100"/>
    <x v="124"/>
    <x v="4"/>
    <x v="4"/>
    <x v="10"/>
    <x v="0"/>
    <x v="1"/>
    <s v="Malt"/>
    <x v="3"/>
  </r>
  <r>
    <n v="10856"/>
    <s v="Thompson"/>
    <s v="thomp@uk.com"/>
    <x v="6"/>
    <n v="90"/>
    <n v="150"/>
    <x v="36"/>
    <n v="142500"/>
    <x v="222"/>
    <x v="0"/>
    <x v="5"/>
    <x v="11"/>
    <x v="2"/>
    <x v="0"/>
    <s v="Malt"/>
    <x v="3"/>
  </r>
  <r>
    <n v="10857"/>
    <s v="Jones"/>
    <s v="jone.ai@yahoo.com"/>
    <x v="0"/>
    <n v="150"/>
    <n v="200"/>
    <x v="227"/>
    <n v="197200"/>
    <x v="599"/>
    <x v="1"/>
    <x v="0"/>
    <x v="0"/>
    <x v="1"/>
    <x v="0"/>
    <s v="Beer"/>
    <x v="0"/>
  </r>
  <r>
    <n v="10858"/>
    <s v="Morgan"/>
    <s v="morganny@gmail.com"/>
    <x v="1"/>
    <n v="250"/>
    <n v="500"/>
    <x v="280"/>
    <n v="383500"/>
    <x v="600"/>
    <x v="2"/>
    <x v="1"/>
    <x v="1"/>
    <x v="2"/>
    <x v="1"/>
    <s v="Beer"/>
    <x v="0"/>
  </r>
  <r>
    <n v="10859"/>
    <s v="Howard"/>
    <s v="howard_freeman@yahoo.com"/>
    <x v="2"/>
    <n v="180"/>
    <n v="450"/>
    <x v="19"/>
    <n v="404100"/>
    <x v="384"/>
    <x v="3"/>
    <x v="2"/>
    <x v="2"/>
    <x v="2"/>
    <x v="1"/>
    <s v="Beer"/>
    <x v="0"/>
  </r>
  <r>
    <n v="10860"/>
    <s v="Parent"/>
    <s v="parentty@uk.com"/>
    <x v="3"/>
    <n v="170"/>
    <n v="250"/>
    <x v="21"/>
    <n v="214750"/>
    <x v="601"/>
    <x v="4"/>
    <x v="3"/>
    <x v="3"/>
    <x v="1"/>
    <x v="1"/>
    <s v="Beer"/>
    <x v="1"/>
  </r>
  <r>
    <n v="10861"/>
    <s v="Jones"/>
    <s v="jone.ai@yahoo.com"/>
    <x v="4"/>
    <n v="150"/>
    <n v="200"/>
    <x v="110"/>
    <n v="186800"/>
    <x v="179"/>
    <x v="0"/>
    <x v="4"/>
    <x v="4"/>
    <x v="0"/>
    <x v="0"/>
    <s v="Beer"/>
    <x v="1"/>
  </r>
  <r>
    <n v="10862"/>
    <s v="Smith"/>
    <s v="smithMan@yahoo.com"/>
    <x v="5"/>
    <n v="80"/>
    <n v="150"/>
    <x v="80"/>
    <n v="131850"/>
    <x v="316"/>
    <x v="1"/>
    <x v="5"/>
    <x v="5"/>
    <x v="2"/>
    <x v="0"/>
    <s v="Malt"/>
    <x v="1"/>
  </r>
  <r>
    <n v="10863"/>
    <s v="Jones"/>
    <s v="jone.ai@yahoo.com"/>
    <x v="6"/>
    <n v="90"/>
    <n v="150"/>
    <x v="55"/>
    <n v="130800"/>
    <x v="602"/>
    <x v="2"/>
    <x v="0"/>
    <x v="6"/>
    <x v="2"/>
    <x v="1"/>
    <s v="Malt"/>
    <x v="2"/>
  </r>
  <r>
    <n v="10864"/>
    <s v="Morgan"/>
    <s v="morganny@gmail.com"/>
    <x v="0"/>
    <n v="150"/>
    <n v="200"/>
    <x v="134"/>
    <n v="198200"/>
    <x v="281"/>
    <x v="3"/>
    <x v="1"/>
    <x v="7"/>
    <x v="1"/>
    <x v="1"/>
    <s v="Beer"/>
    <x v="2"/>
  </r>
  <r>
    <n v="10865"/>
    <s v="Jones"/>
    <s v="jone.ai@yahoo.com"/>
    <x v="1"/>
    <n v="250"/>
    <n v="500"/>
    <x v="172"/>
    <n v="369000"/>
    <x v="603"/>
    <x v="4"/>
    <x v="2"/>
    <x v="8"/>
    <x v="1"/>
    <x v="1"/>
    <s v="Beer"/>
    <x v="2"/>
  </r>
  <r>
    <n v="10866"/>
    <s v="Parent"/>
    <s v="parentty@uk.com"/>
    <x v="2"/>
    <n v="180"/>
    <n v="450"/>
    <x v="85"/>
    <n v="382050"/>
    <x v="91"/>
    <x v="0"/>
    <x v="3"/>
    <x v="9"/>
    <x v="1"/>
    <x v="0"/>
    <s v="Beer"/>
    <x v="3"/>
  </r>
  <r>
    <n v="10867"/>
    <s v="Kivell"/>
    <s v="kivel_go@yahoo.com"/>
    <x v="3"/>
    <n v="170"/>
    <n v="250"/>
    <x v="194"/>
    <n v="249250"/>
    <x v="604"/>
    <x v="1"/>
    <x v="4"/>
    <x v="10"/>
    <x v="2"/>
    <x v="0"/>
    <s v="Beer"/>
    <x v="3"/>
  </r>
  <r>
    <n v="10868"/>
    <s v="Smith"/>
    <s v="smithMan@yahoo.com"/>
    <x v="4"/>
    <n v="150"/>
    <n v="200"/>
    <x v="215"/>
    <n v="168400"/>
    <x v="605"/>
    <x v="2"/>
    <x v="5"/>
    <x v="11"/>
    <x v="2"/>
    <x v="1"/>
    <s v="Beer"/>
    <x v="3"/>
  </r>
  <r>
    <n v="10869"/>
    <s v="Parent"/>
    <s v="parentty@uk.com"/>
    <x v="5"/>
    <n v="80"/>
    <n v="150"/>
    <x v="261"/>
    <n v="129900"/>
    <x v="606"/>
    <x v="3"/>
    <x v="0"/>
    <x v="0"/>
    <x v="0"/>
    <x v="1"/>
    <s v="Malt"/>
    <x v="0"/>
  </r>
  <r>
    <n v="10870"/>
    <s v="Gill"/>
    <s v="gillhell@uk.com"/>
    <x v="6"/>
    <n v="90"/>
    <n v="150"/>
    <x v="281"/>
    <n v="135600"/>
    <x v="607"/>
    <x v="4"/>
    <x v="1"/>
    <x v="1"/>
    <x v="1"/>
    <x v="1"/>
    <s v="Malt"/>
    <x v="0"/>
  </r>
  <r>
    <n v="10871"/>
    <s v="Smith"/>
    <s v="smithMan@yahoo.com"/>
    <x v="0"/>
    <n v="150"/>
    <n v="200"/>
    <x v="245"/>
    <n v="195400"/>
    <x v="476"/>
    <x v="0"/>
    <x v="2"/>
    <x v="2"/>
    <x v="1"/>
    <x v="0"/>
    <s v="Beer"/>
    <x v="0"/>
  </r>
  <r>
    <n v="10872"/>
    <s v="Jones"/>
    <s v="jone.ai@yahoo.com"/>
    <x v="1"/>
    <n v="250"/>
    <n v="500"/>
    <x v="97"/>
    <n v="424000"/>
    <x v="608"/>
    <x v="1"/>
    <x v="3"/>
    <x v="3"/>
    <x v="2"/>
    <x v="0"/>
    <s v="Beer"/>
    <x v="1"/>
  </r>
  <r>
    <n v="10873"/>
    <s v="Sorvino"/>
    <s v="sorvi2000@gmail.com"/>
    <x v="2"/>
    <n v="180"/>
    <n v="450"/>
    <x v="120"/>
    <n v="415800"/>
    <x v="609"/>
    <x v="2"/>
    <x v="4"/>
    <x v="4"/>
    <x v="2"/>
    <x v="1"/>
    <s v="Beer"/>
    <x v="1"/>
  </r>
  <r>
    <n v="10874"/>
    <s v="Jardine"/>
    <s v="jard@gmail.com"/>
    <x v="3"/>
    <n v="170"/>
    <n v="250"/>
    <x v="245"/>
    <n v="244250"/>
    <x v="610"/>
    <x v="3"/>
    <x v="5"/>
    <x v="5"/>
    <x v="0"/>
    <x v="1"/>
    <s v="Beer"/>
    <x v="1"/>
  </r>
  <r>
    <n v="10875"/>
    <s v="Andrews"/>
    <s v="andy@gmail.com"/>
    <x v="4"/>
    <n v="150"/>
    <n v="200"/>
    <x v="282"/>
    <n v="154200"/>
    <x v="611"/>
    <x v="4"/>
    <x v="0"/>
    <x v="6"/>
    <x v="2"/>
    <x v="1"/>
    <s v="Beer"/>
    <x v="2"/>
  </r>
  <r>
    <n v="10876"/>
    <s v="Howard"/>
    <s v="howard_freeman@yahoo.com"/>
    <x v="5"/>
    <n v="80"/>
    <n v="150"/>
    <x v="183"/>
    <n v="129300"/>
    <x v="255"/>
    <x v="0"/>
    <x v="1"/>
    <x v="7"/>
    <x v="2"/>
    <x v="0"/>
    <s v="Malt"/>
    <x v="2"/>
  </r>
  <r>
    <n v="10877"/>
    <s v="Gill"/>
    <s v="gillhell@uk.com"/>
    <x v="6"/>
    <n v="90"/>
    <n v="150"/>
    <x v="199"/>
    <n v="107400"/>
    <x v="286"/>
    <x v="1"/>
    <x v="2"/>
    <x v="8"/>
    <x v="0"/>
    <x v="0"/>
    <s v="Malt"/>
    <x v="2"/>
  </r>
  <r>
    <n v="10878"/>
    <s v="Gill"/>
    <s v="gillhell@uk.com"/>
    <x v="0"/>
    <n v="150"/>
    <n v="200"/>
    <x v="283"/>
    <n v="184600"/>
    <x v="612"/>
    <x v="2"/>
    <x v="3"/>
    <x v="9"/>
    <x v="2"/>
    <x v="1"/>
    <s v="Beer"/>
    <x v="3"/>
  </r>
  <r>
    <n v="10879"/>
    <s v="Kivell"/>
    <s v="kivel_go@yahoo.com"/>
    <x v="1"/>
    <n v="250"/>
    <n v="500"/>
    <x v="72"/>
    <n v="364500"/>
    <x v="95"/>
    <x v="3"/>
    <x v="4"/>
    <x v="10"/>
    <x v="1"/>
    <x v="1"/>
    <s v="Beer"/>
    <x v="3"/>
  </r>
  <r>
    <n v="10880"/>
    <s v="Jones"/>
    <s v="jone.ai@yahoo.com"/>
    <x v="2"/>
    <n v="180"/>
    <n v="450"/>
    <x v="51"/>
    <n v="344700"/>
    <x v="613"/>
    <x v="4"/>
    <x v="5"/>
    <x v="11"/>
    <x v="2"/>
    <x v="1"/>
    <s v="Beer"/>
    <x v="3"/>
  </r>
  <r>
    <n v="10881"/>
    <s v="Morgan"/>
    <s v="morganny@gmail.com"/>
    <x v="3"/>
    <n v="170"/>
    <n v="250"/>
    <x v="79"/>
    <n v="176000"/>
    <x v="614"/>
    <x v="0"/>
    <x v="0"/>
    <x v="0"/>
    <x v="0"/>
    <x v="0"/>
    <s v="Beer"/>
    <x v="0"/>
  </r>
  <r>
    <n v="10882"/>
    <s v="Kivell"/>
    <s v="kivel_go@yahoo.com"/>
    <x v="4"/>
    <n v="150"/>
    <n v="200"/>
    <x v="284"/>
    <n v="164600"/>
    <x v="615"/>
    <x v="1"/>
    <x v="1"/>
    <x v="1"/>
    <x v="1"/>
    <x v="0"/>
    <s v="Beer"/>
    <x v="0"/>
  </r>
  <r>
    <n v="10883"/>
    <s v="Sorvino"/>
    <s v="sorvi2000@gmail.com"/>
    <x v="5"/>
    <n v="80"/>
    <n v="150"/>
    <x v="67"/>
    <n v="130350"/>
    <x v="87"/>
    <x v="2"/>
    <x v="2"/>
    <x v="2"/>
    <x v="2"/>
    <x v="1"/>
    <s v="Malt"/>
    <x v="0"/>
  </r>
  <r>
    <n v="10884"/>
    <s v="Gill"/>
    <s v="gillhell@uk.com"/>
    <x v="6"/>
    <n v="90"/>
    <n v="150"/>
    <x v="178"/>
    <n v="139200"/>
    <x v="616"/>
    <x v="3"/>
    <x v="3"/>
    <x v="3"/>
    <x v="0"/>
    <x v="1"/>
    <s v="Malt"/>
    <x v="1"/>
  </r>
  <r>
    <n v="10885"/>
    <s v="Sorvino"/>
    <s v="sorvi2000@gmail.com"/>
    <x v="0"/>
    <n v="150"/>
    <n v="200"/>
    <x v="93"/>
    <n v="180600"/>
    <x v="617"/>
    <x v="4"/>
    <x v="4"/>
    <x v="4"/>
    <x v="0"/>
    <x v="1"/>
    <s v="Beer"/>
    <x v="1"/>
  </r>
  <r>
    <n v="10886"/>
    <s v="Thompson"/>
    <s v="thomp@uk.com"/>
    <x v="1"/>
    <n v="250"/>
    <n v="500"/>
    <x v="236"/>
    <n v="458000"/>
    <x v="618"/>
    <x v="0"/>
    <x v="5"/>
    <x v="5"/>
    <x v="1"/>
    <x v="0"/>
    <s v="Beer"/>
    <x v="1"/>
  </r>
  <r>
    <n v="10887"/>
    <s v="Andrews"/>
    <s v="andy@gmail.com"/>
    <x v="2"/>
    <n v="180"/>
    <n v="450"/>
    <x v="272"/>
    <n v="444600"/>
    <x v="619"/>
    <x v="1"/>
    <x v="0"/>
    <x v="6"/>
    <x v="1"/>
    <x v="0"/>
    <s v="Beer"/>
    <x v="2"/>
  </r>
  <r>
    <n v="10888"/>
    <s v="Jardine"/>
    <s v="jard@gmail.com"/>
    <x v="3"/>
    <n v="170"/>
    <n v="250"/>
    <x v="262"/>
    <n v="226250"/>
    <x v="620"/>
    <x v="2"/>
    <x v="1"/>
    <x v="7"/>
    <x v="2"/>
    <x v="1"/>
    <s v="Beer"/>
    <x v="2"/>
  </r>
  <r>
    <n v="10889"/>
    <s v="Jardine"/>
    <s v="jard@gmail.com"/>
    <x v="4"/>
    <n v="150"/>
    <n v="200"/>
    <x v="146"/>
    <n v="189400"/>
    <x v="621"/>
    <x v="3"/>
    <x v="2"/>
    <x v="8"/>
    <x v="1"/>
    <x v="1"/>
    <s v="Beer"/>
    <x v="2"/>
  </r>
  <r>
    <n v="10890"/>
    <s v="Andrews"/>
    <s v="andy@gmail.com"/>
    <x v="5"/>
    <n v="80"/>
    <n v="150"/>
    <x v="217"/>
    <n v="138900"/>
    <x v="622"/>
    <x v="4"/>
    <x v="3"/>
    <x v="9"/>
    <x v="2"/>
    <x v="1"/>
    <s v="Malt"/>
    <x v="3"/>
  </r>
  <r>
    <n v="10891"/>
    <s v="Jardine"/>
    <s v="jard@gmail.com"/>
    <x v="6"/>
    <n v="90"/>
    <n v="150"/>
    <x v="175"/>
    <n v="136050"/>
    <x v="235"/>
    <x v="0"/>
    <x v="4"/>
    <x v="10"/>
    <x v="0"/>
    <x v="0"/>
    <s v="Malt"/>
    <x v="3"/>
  </r>
  <r>
    <n v="10892"/>
    <s v="Gill"/>
    <s v="gillhell@uk.com"/>
    <x v="0"/>
    <n v="150"/>
    <n v="200"/>
    <x v="97"/>
    <n v="169600"/>
    <x v="623"/>
    <x v="1"/>
    <x v="5"/>
    <x v="11"/>
    <x v="0"/>
    <x v="0"/>
    <s v="Beer"/>
    <x v="3"/>
  </r>
  <r>
    <n v="10893"/>
    <s v="Sorvino"/>
    <s v="sorvi2000@gmail.com"/>
    <x v="1"/>
    <n v="250"/>
    <n v="500"/>
    <x v="49"/>
    <n v="439000"/>
    <x v="500"/>
    <x v="2"/>
    <x v="0"/>
    <x v="0"/>
    <x v="2"/>
    <x v="1"/>
    <s v="Beer"/>
    <x v="0"/>
  </r>
  <r>
    <n v="10894"/>
    <s v="Jones"/>
    <s v="jone.ai@yahoo.com"/>
    <x v="2"/>
    <n v="180"/>
    <n v="450"/>
    <x v="162"/>
    <n v="317700"/>
    <x v="624"/>
    <x v="3"/>
    <x v="1"/>
    <x v="1"/>
    <x v="1"/>
    <x v="1"/>
    <s v="Beer"/>
    <x v="0"/>
  </r>
  <r>
    <n v="10895"/>
    <s v="Andrews"/>
    <s v="andy@gmail.com"/>
    <x v="3"/>
    <n v="170"/>
    <n v="250"/>
    <x v="46"/>
    <n v="195250"/>
    <x v="201"/>
    <x v="4"/>
    <x v="2"/>
    <x v="2"/>
    <x v="0"/>
    <x v="1"/>
    <s v="Beer"/>
    <x v="0"/>
  </r>
  <r>
    <n v="10896"/>
    <s v="Jardine"/>
    <s v="jard@gmail.com"/>
    <x v="4"/>
    <n v="150"/>
    <n v="200"/>
    <x v="159"/>
    <n v="163600"/>
    <x v="625"/>
    <x v="0"/>
    <x v="3"/>
    <x v="3"/>
    <x v="2"/>
    <x v="0"/>
    <s v="Beer"/>
    <x v="1"/>
  </r>
  <r>
    <n v="10897"/>
    <s v="Thompson"/>
    <s v="thomp@uk.com"/>
    <x v="5"/>
    <n v="80"/>
    <n v="150"/>
    <x v="166"/>
    <n v="127800"/>
    <x v="339"/>
    <x v="1"/>
    <x v="4"/>
    <x v="4"/>
    <x v="2"/>
    <x v="0"/>
    <s v="Malt"/>
    <x v="1"/>
  </r>
  <r>
    <n v="10898"/>
    <s v="Jones"/>
    <s v="jone.ai@yahoo.com"/>
    <x v="6"/>
    <n v="90"/>
    <n v="150"/>
    <x v="150"/>
    <n v="117900"/>
    <x v="280"/>
    <x v="2"/>
    <x v="5"/>
    <x v="5"/>
    <x v="0"/>
    <x v="1"/>
    <s v="Malt"/>
    <x v="1"/>
  </r>
  <r>
    <n v="10899"/>
    <s v="Morgan"/>
    <s v="morganny@gmail.com"/>
    <x v="0"/>
    <n v="150"/>
    <n v="200"/>
    <x v="31"/>
    <n v="200000"/>
    <x v="31"/>
    <x v="3"/>
    <x v="0"/>
    <x v="6"/>
    <x v="1"/>
    <x v="1"/>
    <s v="Beer"/>
    <x v="2"/>
  </r>
  <r>
    <n v="10900"/>
    <s v="Howard"/>
    <s v="howard_freeman@yahoo.com"/>
    <x v="1"/>
    <n v="250"/>
    <n v="500"/>
    <x v="44"/>
    <n v="476000"/>
    <x v="626"/>
    <x v="4"/>
    <x v="1"/>
    <x v="7"/>
    <x v="2"/>
    <x v="1"/>
    <s v="Beer"/>
    <x v="2"/>
  </r>
  <r>
    <n v="10901"/>
    <s v="Parent"/>
    <s v="parentty@uk.com"/>
    <x v="2"/>
    <n v="180"/>
    <n v="450"/>
    <x v="285"/>
    <n v="377550"/>
    <x v="627"/>
    <x v="0"/>
    <x v="2"/>
    <x v="8"/>
    <x v="1"/>
    <x v="0"/>
    <s v="Beer"/>
    <x v="2"/>
  </r>
  <r>
    <n v="10902"/>
    <s v="Jones"/>
    <s v="jone.ai@yahoo.com"/>
    <x v="3"/>
    <n v="170"/>
    <n v="250"/>
    <x v="44"/>
    <n v="238000"/>
    <x v="314"/>
    <x v="1"/>
    <x v="3"/>
    <x v="9"/>
    <x v="2"/>
    <x v="0"/>
    <s v="Beer"/>
    <x v="3"/>
  </r>
  <r>
    <n v="10903"/>
    <s v="Smith"/>
    <s v="smithMan@yahoo.com"/>
    <x v="4"/>
    <n v="150"/>
    <n v="200"/>
    <x v="96"/>
    <n v="155400"/>
    <x v="104"/>
    <x v="2"/>
    <x v="4"/>
    <x v="10"/>
    <x v="2"/>
    <x v="1"/>
    <s v="Beer"/>
    <x v="3"/>
  </r>
  <r>
    <n v="10904"/>
    <s v="Jones"/>
    <s v="jone.ai@yahoo.com"/>
    <x v="5"/>
    <n v="80"/>
    <n v="150"/>
    <x v="273"/>
    <n v="129600"/>
    <x v="296"/>
    <x v="3"/>
    <x v="5"/>
    <x v="11"/>
    <x v="1"/>
    <x v="1"/>
    <s v="Malt"/>
    <x v="3"/>
  </r>
  <r>
    <n v="10905"/>
    <s v="Morgan"/>
    <s v="morganny@gmail.com"/>
    <x v="6"/>
    <n v="90"/>
    <n v="150"/>
    <x v="110"/>
    <n v="140100"/>
    <x v="628"/>
    <x v="4"/>
    <x v="0"/>
    <x v="0"/>
    <x v="2"/>
    <x v="1"/>
    <s v="Malt"/>
    <x v="0"/>
  </r>
  <r>
    <n v="10906"/>
    <s v="Jones"/>
    <s v="jone.ai@yahoo.com"/>
    <x v="0"/>
    <n v="150"/>
    <n v="200"/>
    <x v="11"/>
    <n v="180400"/>
    <x v="11"/>
    <x v="0"/>
    <x v="1"/>
    <x v="1"/>
    <x v="1"/>
    <x v="0"/>
    <s v="Beer"/>
    <x v="0"/>
  </r>
  <r>
    <n v="10907"/>
    <s v="Parent"/>
    <s v="parentty@uk.com"/>
    <x v="1"/>
    <n v="250"/>
    <n v="500"/>
    <x v="254"/>
    <n v="396500"/>
    <x v="629"/>
    <x v="1"/>
    <x v="2"/>
    <x v="2"/>
    <x v="2"/>
    <x v="0"/>
    <s v="Beer"/>
    <x v="0"/>
  </r>
  <r>
    <n v="10908"/>
    <s v="Kivell"/>
    <s v="kivel_go@yahoo.com"/>
    <x v="2"/>
    <n v="180"/>
    <n v="450"/>
    <x v="167"/>
    <n v="330750"/>
    <x v="364"/>
    <x v="2"/>
    <x v="3"/>
    <x v="3"/>
    <x v="0"/>
    <x v="1"/>
    <s v="Beer"/>
    <x v="1"/>
  </r>
  <r>
    <n v="10909"/>
    <s v="Smith"/>
    <s v="smithMan@yahoo.com"/>
    <x v="3"/>
    <n v="170"/>
    <n v="250"/>
    <x v="33"/>
    <n v="222500"/>
    <x v="630"/>
    <x v="3"/>
    <x v="4"/>
    <x v="4"/>
    <x v="1"/>
    <x v="1"/>
    <s v="Beer"/>
    <x v="1"/>
  </r>
  <r>
    <n v="10910"/>
    <s v="Parent"/>
    <s v="parentty@uk.com"/>
    <x v="4"/>
    <n v="150"/>
    <n v="200"/>
    <x v="265"/>
    <n v="193800"/>
    <x v="520"/>
    <x v="4"/>
    <x v="5"/>
    <x v="5"/>
    <x v="1"/>
    <x v="1"/>
    <s v="Beer"/>
    <x v="1"/>
  </r>
  <r>
    <n v="10911"/>
    <s v="Gill"/>
    <s v="gillhell@uk.com"/>
    <x v="5"/>
    <n v="80"/>
    <n v="150"/>
    <x v="286"/>
    <n v="146700"/>
    <x v="631"/>
    <x v="0"/>
    <x v="0"/>
    <x v="6"/>
    <x v="0"/>
    <x v="0"/>
    <s v="Malt"/>
    <x v="2"/>
  </r>
  <r>
    <n v="10912"/>
    <s v="Smith"/>
    <s v="smithMan@yahoo.com"/>
    <x v="6"/>
    <n v="90"/>
    <n v="150"/>
    <x v="99"/>
    <n v="128250"/>
    <x v="443"/>
    <x v="1"/>
    <x v="1"/>
    <x v="7"/>
    <x v="2"/>
    <x v="0"/>
    <s v="Malt"/>
    <x v="2"/>
  </r>
  <r>
    <n v="10913"/>
    <s v="Jones"/>
    <s v="jone.ai@yahoo.com"/>
    <x v="0"/>
    <n v="150"/>
    <n v="200"/>
    <x v="41"/>
    <n v="167000"/>
    <x v="632"/>
    <x v="2"/>
    <x v="2"/>
    <x v="8"/>
    <x v="2"/>
    <x v="1"/>
    <s v="Beer"/>
    <x v="2"/>
  </r>
  <r>
    <n v="10914"/>
    <s v="Sorvino"/>
    <s v="sorvi2000@gmail.com"/>
    <x v="1"/>
    <n v="250"/>
    <n v="500"/>
    <x v="41"/>
    <n v="417500"/>
    <x v="41"/>
    <x v="3"/>
    <x v="3"/>
    <x v="9"/>
    <x v="0"/>
    <x v="1"/>
    <s v="Beer"/>
    <x v="3"/>
  </r>
  <r>
    <n v="10915"/>
    <s v="Jardine"/>
    <s v="jard@gmail.com"/>
    <x v="2"/>
    <n v="180"/>
    <n v="450"/>
    <x v="116"/>
    <n v="446400"/>
    <x v="633"/>
    <x v="4"/>
    <x v="4"/>
    <x v="10"/>
    <x v="1"/>
    <x v="1"/>
    <s v="Beer"/>
    <x v="3"/>
  </r>
  <r>
    <n v="10916"/>
    <s v="Andrews"/>
    <s v="andy@gmail.com"/>
    <x v="3"/>
    <n v="170"/>
    <n v="250"/>
    <x v="170"/>
    <n v="175500"/>
    <x v="537"/>
    <x v="0"/>
    <x v="5"/>
    <x v="11"/>
    <x v="2"/>
    <x v="0"/>
    <s v="Beer"/>
    <x v="3"/>
  </r>
  <r>
    <n v="10917"/>
    <s v="Howard"/>
    <s v="howard_freeman@yahoo.com"/>
    <x v="4"/>
    <n v="150"/>
    <n v="200"/>
    <x v="246"/>
    <n v="185000"/>
    <x v="634"/>
    <x v="1"/>
    <x v="0"/>
    <x v="0"/>
    <x v="0"/>
    <x v="0"/>
    <s v="Beer"/>
    <x v="0"/>
  </r>
  <r>
    <n v="10918"/>
    <s v="Gill"/>
    <s v="gillhell@uk.com"/>
    <x v="5"/>
    <n v="80"/>
    <n v="150"/>
    <x v="194"/>
    <n v="149550"/>
    <x v="635"/>
    <x v="2"/>
    <x v="1"/>
    <x v="1"/>
    <x v="2"/>
    <x v="1"/>
    <s v="Malt"/>
    <x v="0"/>
  </r>
  <r>
    <n v="10919"/>
    <s v="Gill"/>
    <s v="gillhell@uk.com"/>
    <x v="6"/>
    <n v="90"/>
    <n v="150"/>
    <x v="216"/>
    <n v="119400"/>
    <x v="636"/>
    <x v="3"/>
    <x v="2"/>
    <x v="2"/>
    <x v="0"/>
    <x v="1"/>
    <s v="Malt"/>
    <x v="0"/>
  </r>
  <r>
    <n v="10920"/>
    <s v="Kivell"/>
    <s v="kivel_go@yahoo.com"/>
    <x v="0"/>
    <n v="150"/>
    <n v="200"/>
    <x v="222"/>
    <n v="148200"/>
    <x v="637"/>
    <x v="4"/>
    <x v="3"/>
    <x v="3"/>
    <x v="0"/>
    <x v="1"/>
    <s v="Beer"/>
    <x v="1"/>
  </r>
  <r>
    <n v="10921"/>
    <s v="Jones"/>
    <s v="jone.ai@yahoo.com"/>
    <x v="1"/>
    <n v="250"/>
    <n v="500"/>
    <x v="39"/>
    <n v="413500"/>
    <x v="329"/>
    <x v="0"/>
    <x v="4"/>
    <x v="4"/>
    <x v="1"/>
    <x v="0"/>
    <s v="Beer"/>
    <x v="1"/>
  </r>
  <r>
    <n v="10922"/>
    <s v="Morgan"/>
    <s v="morganny@gmail.com"/>
    <x v="2"/>
    <n v="180"/>
    <n v="450"/>
    <x v="85"/>
    <n v="382050"/>
    <x v="91"/>
    <x v="1"/>
    <x v="5"/>
    <x v="5"/>
    <x v="1"/>
    <x v="0"/>
    <s v="Beer"/>
    <x v="1"/>
  </r>
  <r>
    <n v="10923"/>
    <s v="Kivell"/>
    <s v="kivel_go@yahoo.com"/>
    <x v="3"/>
    <n v="170"/>
    <n v="250"/>
    <x v="148"/>
    <n v="185500"/>
    <x v="105"/>
    <x v="2"/>
    <x v="0"/>
    <x v="6"/>
    <x v="0"/>
    <x v="1"/>
    <s v="Beer"/>
    <x v="2"/>
  </r>
  <r>
    <n v="10924"/>
    <s v="Sorvino"/>
    <s v="sorvi2000@gmail.com"/>
    <x v="4"/>
    <n v="150"/>
    <n v="200"/>
    <x v="263"/>
    <n v="193000"/>
    <x v="513"/>
    <x v="3"/>
    <x v="1"/>
    <x v="7"/>
    <x v="2"/>
    <x v="1"/>
    <s v="Beer"/>
    <x v="2"/>
  </r>
  <r>
    <n v="10925"/>
    <s v="Gill"/>
    <s v="gillhell@uk.com"/>
    <x v="5"/>
    <n v="80"/>
    <n v="150"/>
    <x v="149"/>
    <n v="147450"/>
    <x v="180"/>
    <x v="4"/>
    <x v="2"/>
    <x v="8"/>
    <x v="0"/>
    <x v="1"/>
    <s v="Malt"/>
    <x v="2"/>
  </r>
  <r>
    <n v="10926"/>
    <s v="Sorvino"/>
    <s v="sorvi2000@gmail.com"/>
    <x v="6"/>
    <n v="90"/>
    <n v="150"/>
    <x v="82"/>
    <n v="123000"/>
    <x v="350"/>
    <x v="0"/>
    <x v="3"/>
    <x v="9"/>
    <x v="2"/>
    <x v="0"/>
    <s v="Malt"/>
    <x v="3"/>
  </r>
  <r>
    <n v="10927"/>
    <s v="Thompson"/>
    <s v="thomp@uk.com"/>
    <x v="0"/>
    <n v="150"/>
    <n v="200"/>
    <x v="133"/>
    <n v="170800"/>
    <x v="559"/>
    <x v="1"/>
    <x v="4"/>
    <x v="10"/>
    <x v="1"/>
    <x v="0"/>
    <s v="Beer"/>
    <x v="3"/>
  </r>
  <r>
    <n v="10928"/>
    <s v="Andrews"/>
    <s v="andy@gmail.com"/>
    <x v="1"/>
    <n v="250"/>
    <n v="500"/>
    <x v="59"/>
    <n v="384000"/>
    <x v="553"/>
    <x v="2"/>
    <x v="5"/>
    <x v="11"/>
    <x v="0"/>
    <x v="1"/>
    <s v="Beer"/>
    <x v="3"/>
  </r>
  <r>
    <n v="10929"/>
    <s v="Jardine"/>
    <s v="jard@gmail.com"/>
    <x v="2"/>
    <n v="180"/>
    <n v="450"/>
    <x v="150"/>
    <n v="353700"/>
    <x v="638"/>
    <x v="3"/>
    <x v="0"/>
    <x v="0"/>
    <x v="0"/>
    <x v="1"/>
    <s v="Beer"/>
    <x v="0"/>
  </r>
  <r>
    <n v="10930"/>
    <s v="Jardine"/>
    <s v="jard@gmail.com"/>
    <x v="3"/>
    <n v="170"/>
    <n v="250"/>
    <x v="88"/>
    <n v="214000"/>
    <x v="639"/>
    <x v="4"/>
    <x v="1"/>
    <x v="1"/>
    <x v="0"/>
    <x v="1"/>
    <s v="Beer"/>
    <x v="0"/>
  </r>
  <r>
    <n v="10931"/>
    <s v="Andrews"/>
    <s v="andy@gmail.com"/>
    <x v="4"/>
    <n v="150"/>
    <n v="200"/>
    <x v="256"/>
    <n v="183800"/>
    <x v="640"/>
    <x v="0"/>
    <x v="2"/>
    <x v="2"/>
    <x v="1"/>
    <x v="0"/>
    <s v="Beer"/>
    <x v="0"/>
  </r>
  <r>
    <n v="10932"/>
    <s v="Jones"/>
    <s v="jone.ai@yahoo.com"/>
    <x v="5"/>
    <n v="80"/>
    <n v="150"/>
    <x v="255"/>
    <n v="120300"/>
    <x v="641"/>
    <x v="1"/>
    <x v="3"/>
    <x v="3"/>
    <x v="0"/>
    <x v="0"/>
    <s v="Malt"/>
    <x v="1"/>
  </r>
  <r>
    <n v="10933"/>
    <s v="Morgan"/>
    <s v="morganny@gmail.com"/>
    <x v="6"/>
    <n v="90"/>
    <n v="150"/>
    <x v="273"/>
    <n v="129600"/>
    <x v="642"/>
    <x v="2"/>
    <x v="4"/>
    <x v="4"/>
    <x v="2"/>
    <x v="1"/>
    <s v="Malt"/>
    <x v="1"/>
  </r>
  <r>
    <n v="10934"/>
    <s v="Kivell"/>
    <s v="kivel_go@yahoo.com"/>
    <x v="0"/>
    <n v="150"/>
    <n v="200"/>
    <x v="81"/>
    <n v="198600"/>
    <x v="530"/>
    <x v="3"/>
    <x v="5"/>
    <x v="5"/>
    <x v="1"/>
    <x v="1"/>
    <s v="Beer"/>
    <x v="1"/>
  </r>
  <r>
    <n v="10935"/>
    <s v="Sorvino"/>
    <s v="sorvi2000@gmail.com"/>
    <x v="1"/>
    <n v="250"/>
    <n v="500"/>
    <x v="216"/>
    <n v="398000"/>
    <x v="643"/>
    <x v="4"/>
    <x v="0"/>
    <x v="6"/>
    <x v="2"/>
    <x v="1"/>
    <s v="Beer"/>
    <x v="2"/>
  </r>
  <r>
    <n v="10936"/>
    <s v="Gill"/>
    <s v="gillhell@uk.com"/>
    <x v="2"/>
    <n v="180"/>
    <n v="450"/>
    <x v="283"/>
    <n v="415350"/>
    <x v="644"/>
    <x v="0"/>
    <x v="1"/>
    <x v="7"/>
    <x v="0"/>
    <x v="0"/>
    <s v="Beer"/>
    <x v="2"/>
  </r>
  <r>
    <n v="10937"/>
    <s v="Sorvino"/>
    <s v="sorvi2000@gmail.com"/>
    <x v="3"/>
    <n v="170"/>
    <n v="250"/>
    <x v="92"/>
    <n v="247500"/>
    <x v="645"/>
    <x v="1"/>
    <x v="2"/>
    <x v="8"/>
    <x v="1"/>
    <x v="0"/>
    <s v="Beer"/>
    <x v="2"/>
  </r>
  <r>
    <n v="10938"/>
    <s v="Thompson"/>
    <s v="thomp@uk.com"/>
    <x v="4"/>
    <n v="150"/>
    <n v="200"/>
    <x v="101"/>
    <n v="191400"/>
    <x v="109"/>
    <x v="2"/>
    <x v="3"/>
    <x v="9"/>
    <x v="2"/>
    <x v="1"/>
    <s v="Beer"/>
    <x v="3"/>
  </r>
  <r>
    <n v="10939"/>
    <s v="Andrews"/>
    <s v="andy@gmail.com"/>
    <x v="5"/>
    <n v="80"/>
    <n v="150"/>
    <x v="4"/>
    <n v="125400"/>
    <x v="185"/>
    <x v="3"/>
    <x v="4"/>
    <x v="10"/>
    <x v="1"/>
    <x v="1"/>
    <s v="Malt"/>
    <x v="3"/>
  </r>
  <r>
    <n v="10940"/>
    <s v="Jardine"/>
    <s v="jard@gmail.com"/>
    <x v="6"/>
    <n v="90"/>
    <n v="150"/>
    <x v="145"/>
    <n v="140400"/>
    <x v="537"/>
    <x v="4"/>
    <x v="5"/>
    <x v="11"/>
    <x v="0"/>
    <x v="1"/>
    <s v="Malt"/>
    <x v="3"/>
  </r>
  <r>
    <n v="10941"/>
    <s v="Jardine"/>
    <s v="jard@gmail.com"/>
    <x v="0"/>
    <n v="150"/>
    <n v="200"/>
    <x v="120"/>
    <n v="184800"/>
    <x v="136"/>
    <x v="0"/>
    <x v="0"/>
    <x v="0"/>
    <x v="0"/>
    <x v="0"/>
    <s v="Beer"/>
    <x v="0"/>
  </r>
  <r>
    <n v="10942"/>
    <s v="Andrews"/>
    <s v="andy@gmail.com"/>
    <x v="1"/>
    <n v="250"/>
    <n v="500"/>
    <x v="190"/>
    <n v="499000"/>
    <x v="271"/>
    <x v="1"/>
    <x v="1"/>
    <x v="1"/>
    <x v="2"/>
    <x v="0"/>
    <s v="Beer"/>
    <x v="0"/>
  </r>
  <r>
    <n v="10943"/>
    <s v="Jardine"/>
    <s v="jard@gmail.com"/>
    <x v="2"/>
    <n v="180"/>
    <n v="450"/>
    <x v="183"/>
    <n v="387900"/>
    <x v="646"/>
    <x v="2"/>
    <x v="2"/>
    <x v="2"/>
    <x v="1"/>
    <x v="1"/>
    <s v="Beer"/>
    <x v="0"/>
  </r>
  <r>
    <n v="10944"/>
    <s v="Gill"/>
    <s v="gillhell@uk.com"/>
    <x v="3"/>
    <n v="170"/>
    <n v="250"/>
    <x v="125"/>
    <n v="240750"/>
    <x v="647"/>
    <x v="3"/>
    <x v="3"/>
    <x v="3"/>
    <x v="1"/>
    <x v="1"/>
    <s v="Beer"/>
    <x v="1"/>
  </r>
  <r>
    <n v="10945"/>
    <s v="Sorvino"/>
    <s v="sorvi2000@gmail.com"/>
    <x v="4"/>
    <n v="150"/>
    <n v="200"/>
    <x v="85"/>
    <n v="169800"/>
    <x v="648"/>
    <x v="4"/>
    <x v="4"/>
    <x v="4"/>
    <x v="2"/>
    <x v="1"/>
    <s v="Beer"/>
    <x v="1"/>
  </r>
  <r>
    <n v="10946"/>
    <s v="Jones"/>
    <s v="jone.ai@yahoo.com"/>
    <x v="5"/>
    <n v="80"/>
    <n v="150"/>
    <x v="228"/>
    <n v="140700"/>
    <x v="649"/>
    <x v="0"/>
    <x v="5"/>
    <x v="5"/>
    <x v="2"/>
    <x v="0"/>
    <s v="Malt"/>
    <x v="1"/>
  </r>
  <r>
    <n v="10947"/>
    <s v="Andrews"/>
    <s v="andy@gmail.com"/>
    <x v="6"/>
    <n v="90"/>
    <n v="150"/>
    <x v="62"/>
    <n v="137700"/>
    <x v="650"/>
    <x v="1"/>
    <x v="0"/>
    <x v="6"/>
    <x v="1"/>
    <x v="0"/>
    <s v="Malt"/>
    <x v="2"/>
  </r>
  <r>
    <n v="10948"/>
    <s v="Jardine"/>
    <s v="jard@gmail.com"/>
    <x v="0"/>
    <n v="150"/>
    <n v="200"/>
    <x v="180"/>
    <n v="145600"/>
    <x v="651"/>
    <x v="2"/>
    <x v="1"/>
    <x v="7"/>
    <x v="2"/>
    <x v="1"/>
    <s v="Beer"/>
    <x v="2"/>
  </r>
  <r>
    <n v="10949"/>
    <s v="Thompson"/>
    <s v="thomp@uk.com"/>
    <x v="1"/>
    <n v="250"/>
    <n v="500"/>
    <x v="24"/>
    <n v="499500"/>
    <x v="429"/>
    <x v="3"/>
    <x v="2"/>
    <x v="8"/>
    <x v="0"/>
    <x v="1"/>
    <s v="Beer"/>
    <x v="2"/>
  </r>
  <r>
    <n v="10950"/>
    <s v="Jones"/>
    <s v="jone.ai@yahoo.com"/>
    <x v="2"/>
    <n v="180"/>
    <n v="450"/>
    <x v="206"/>
    <n v="399600"/>
    <x v="652"/>
    <x v="4"/>
    <x v="3"/>
    <x v="9"/>
    <x v="1"/>
    <x v="1"/>
    <s v="Beer"/>
    <x v="3"/>
  </r>
  <r>
    <n v="10951"/>
    <s v="Morgan"/>
    <s v="morganny@gmail.com"/>
    <x v="3"/>
    <n v="170"/>
    <n v="250"/>
    <x v="239"/>
    <n v="186500"/>
    <x v="653"/>
    <x v="0"/>
    <x v="4"/>
    <x v="10"/>
    <x v="1"/>
    <x v="0"/>
    <s v="Beer"/>
    <x v="3"/>
  </r>
  <r>
    <n v="10952"/>
    <s v="Howard"/>
    <s v="howard_freeman@yahoo.com"/>
    <x v="4"/>
    <n v="150"/>
    <n v="200"/>
    <x v="144"/>
    <n v="197800"/>
    <x v="244"/>
    <x v="1"/>
    <x v="5"/>
    <x v="11"/>
    <x v="2"/>
    <x v="0"/>
    <s v="Beer"/>
    <x v="3"/>
  </r>
  <r>
    <n v="10953"/>
    <s v="Parent"/>
    <s v="parentty@uk.com"/>
    <x v="5"/>
    <n v="80"/>
    <n v="150"/>
    <x v="66"/>
    <n v="142200"/>
    <x v="654"/>
    <x v="2"/>
    <x v="0"/>
    <x v="0"/>
    <x v="0"/>
    <x v="1"/>
    <s v="Malt"/>
    <x v="0"/>
  </r>
  <r>
    <n v="10954"/>
    <s v="Jones"/>
    <s v="jone.ai@yahoo.com"/>
    <x v="6"/>
    <n v="90"/>
    <n v="150"/>
    <x v="256"/>
    <n v="137850"/>
    <x v="655"/>
    <x v="3"/>
    <x v="1"/>
    <x v="1"/>
    <x v="0"/>
    <x v="1"/>
    <s v="Malt"/>
    <x v="0"/>
  </r>
  <r>
    <n v="10955"/>
    <s v="Smith"/>
    <s v="smithMan@yahoo.com"/>
    <x v="0"/>
    <n v="150"/>
    <n v="200"/>
    <x v="241"/>
    <n v="177400"/>
    <x v="656"/>
    <x v="4"/>
    <x v="2"/>
    <x v="2"/>
    <x v="2"/>
    <x v="1"/>
    <s v="Beer"/>
    <x v="0"/>
  </r>
  <r>
    <n v="10956"/>
    <s v="Jones"/>
    <s v="jone.ai@yahoo.com"/>
    <x v="1"/>
    <n v="250"/>
    <n v="500"/>
    <x v="37"/>
    <n v="392000"/>
    <x v="657"/>
    <x v="0"/>
    <x v="3"/>
    <x v="3"/>
    <x v="0"/>
    <x v="0"/>
    <s v="Beer"/>
    <x v="1"/>
  </r>
  <r>
    <n v="10957"/>
    <s v="Jardine"/>
    <s v="jard@gmail.com"/>
    <x v="2"/>
    <n v="180"/>
    <n v="450"/>
    <x v="75"/>
    <n v="357750"/>
    <x v="77"/>
    <x v="1"/>
    <x v="4"/>
    <x v="4"/>
    <x v="2"/>
    <x v="0"/>
    <s v="Beer"/>
    <x v="1"/>
  </r>
  <r>
    <n v="10958"/>
    <s v="Gill"/>
    <s v="gillhell@uk.com"/>
    <x v="3"/>
    <n v="170"/>
    <n v="250"/>
    <x v="66"/>
    <n v="237000"/>
    <x v="658"/>
    <x v="2"/>
    <x v="5"/>
    <x v="5"/>
    <x v="0"/>
    <x v="1"/>
    <s v="Beer"/>
    <x v="1"/>
  </r>
  <r>
    <n v="10959"/>
    <s v="Sorvino"/>
    <s v="sorvi2000@gmail.com"/>
    <x v="4"/>
    <n v="150"/>
    <n v="200"/>
    <x v="226"/>
    <n v="157400"/>
    <x v="581"/>
    <x v="3"/>
    <x v="0"/>
    <x v="6"/>
    <x v="0"/>
    <x v="1"/>
    <s v="Beer"/>
    <x v="2"/>
  </r>
  <r>
    <n v="10960"/>
    <s v="Jones"/>
    <s v="jone.ai@yahoo.com"/>
    <x v="5"/>
    <n v="80"/>
    <n v="150"/>
    <x v="245"/>
    <n v="146550"/>
    <x v="425"/>
    <x v="4"/>
    <x v="1"/>
    <x v="7"/>
    <x v="1"/>
    <x v="1"/>
    <s v="Malt"/>
    <x v="2"/>
  </r>
  <r>
    <n v="10961"/>
    <s v="Andrews"/>
    <s v="andy@gmail.com"/>
    <x v="6"/>
    <n v="90"/>
    <n v="150"/>
    <x v="287"/>
    <n v="143250"/>
    <x v="659"/>
    <x v="0"/>
    <x v="2"/>
    <x v="8"/>
    <x v="2"/>
    <x v="0"/>
    <s v="Malt"/>
    <x v="2"/>
  </r>
  <r>
    <n v="10962"/>
    <s v="Jardine"/>
    <s v="jard@gmail.com"/>
    <x v="0"/>
    <n v="150"/>
    <n v="200"/>
    <x v="287"/>
    <n v="191000"/>
    <x v="660"/>
    <x v="1"/>
    <x v="3"/>
    <x v="9"/>
    <x v="1"/>
    <x v="0"/>
    <s v="Beer"/>
    <x v="3"/>
  </r>
  <r>
    <n v="10963"/>
    <s v="Thompson"/>
    <s v="thomp@uk.com"/>
    <x v="1"/>
    <n v="250"/>
    <n v="500"/>
    <x v="3"/>
    <n v="382500"/>
    <x v="661"/>
    <x v="2"/>
    <x v="4"/>
    <x v="10"/>
    <x v="2"/>
    <x v="1"/>
    <s v="Beer"/>
    <x v="3"/>
  </r>
  <r>
    <n v="10964"/>
    <s v="Jones"/>
    <s v="jone.ai@yahoo.com"/>
    <x v="2"/>
    <n v="180"/>
    <n v="450"/>
    <x v="241"/>
    <n v="399150"/>
    <x v="662"/>
    <x v="3"/>
    <x v="5"/>
    <x v="11"/>
    <x v="0"/>
    <x v="1"/>
    <s v="Beer"/>
    <x v="3"/>
  </r>
  <r>
    <n v="10965"/>
    <s v="Morgan"/>
    <s v="morganny@gmail.com"/>
    <x v="3"/>
    <n v="170"/>
    <n v="250"/>
    <x v="72"/>
    <n v="182250"/>
    <x v="149"/>
    <x v="4"/>
    <x v="0"/>
    <x v="0"/>
    <x v="0"/>
    <x v="1"/>
    <s v="Beer"/>
    <x v="0"/>
  </r>
  <r>
    <n v="10966"/>
    <s v="Howard"/>
    <s v="howard_freeman@yahoo.com"/>
    <x v="4"/>
    <n v="150"/>
    <n v="200"/>
    <x v="4"/>
    <n v="167200"/>
    <x v="4"/>
    <x v="0"/>
    <x v="1"/>
    <x v="1"/>
    <x v="0"/>
    <x v="0"/>
    <s v="Beer"/>
    <x v="0"/>
  </r>
  <r>
    <n v="10967"/>
    <s v="Parent"/>
    <s v="parentty@uk.com"/>
    <x v="5"/>
    <n v="80"/>
    <n v="150"/>
    <x v="209"/>
    <n v="119550"/>
    <x v="663"/>
    <x v="1"/>
    <x v="2"/>
    <x v="2"/>
    <x v="1"/>
    <x v="0"/>
    <s v="Malt"/>
    <x v="0"/>
  </r>
  <r>
    <n v="10968"/>
    <s v="Jones"/>
    <s v="jone.ai@yahoo.com"/>
    <x v="6"/>
    <n v="90"/>
    <n v="150"/>
    <x v="114"/>
    <n v="118650"/>
    <x v="664"/>
    <x v="2"/>
    <x v="3"/>
    <x v="3"/>
    <x v="0"/>
    <x v="1"/>
    <s v="Malt"/>
    <x v="1"/>
  </r>
  <r>
    <n v="10969"/>
    <s v="Smith"/>
    <s v="smithMan@yahoo.com"/>
    <x v="0"/>
    <n v="150"/>
    <n v="200"/>
    <x v="77"/>
    <n v="154600"/>
    <x v="79"/>
    <x v="3"/>
    <x v="4"/>
    <x v="4"/>
    <x v="1"/>
    <x v="1"/>
    <s v="Beer"/>
    <x v="1"/>
  </r>
  <r>
    <n v="10970"/>
    <s v="Jones"/>
    <s v="jone.ai@yahoo.com"/>
    <x v="1"/>
    <n v="250"/>
    <n v="500"/>
    <x v="280"/>
    <n v="383500"/>
    <x v="600"/>
    <x v="4"/>
    <x v="5"/>
    <x v="5"/>
    <x v="2"/>
    <x v="1"/>
    <s v="Beer"/>
    <x v="1"/>
  </r>
  <r>
    <n v="10971"/>
    <s v="Morgan"/>
    <s v="morganny@gmail.com"/>
    <x v="2"/>
    <n v="180"/>
    <n v="450"/>
    <x v="14"/>
    <n v="422550"/>
    <x v="416"/>
    <x v="0"/>
    <x v="0"/>
    <x v="6"/>
    <x v="0"/>
    <x v="0"/>
    <s v="Beer"/>
    <x v="2"/>
  </r>
  <r>
    <n v="10972"/>
    <s v="Jones"/>
    <s v="jone.ai@yahoo.com"/>
    <x v="3"/>
    <n v="170"/>
    <n v="250"/>
    <x v="50"/>
    <n v="208000"/>
    <x v="50"/>
    <x v="1"/>
    <x v="1"/>
    <x v="7"/>
    <x v="1"/>
    <x v="0"/>
    <s v="Beer"/>
    <x v="2"/>
  </r>
  <r>
    <n v="10973"/>
    <s v="Parent"/>
    <s v="parentty@uk.com"/>
    <x v="4"/>
    <n v="150"/>
    <n v="200"/>
    <x v="59"/>
    <n v="153600"/>
    <x v="665"/>
    <x v="2"/>
    <x v="2"/>
    <x v="8"/>
    <x v="1"/>
    <x v="1"/>
    <s v="Beer"/>
    <x v="2"/>
  </r>
  <r>
    <n v="10974"/>
    <s v="Kivell"/>
    <s v="kivel_go@yahoo.com"/>
    <x v="5"/>
    <n v="80"/>
    <n v="150"/>
    <x v="189"/>
    <n v="143700"/>
    <x v="666"/>
    <x v="3"/>
    <x v="3"/>
    <x v="9"/>
    <x v="2"/>
    <x v="1"/>
    <s v="Malt"/>
    <x v="3"/>
  </r>
  <r>
    <n v="10975"/>
    <s v="Smith"/>
    <s v="smithMan@yahoo.com"/>
    <x v="6"/>
    <n v="90"/>
    <n v="150"/>
    <x v="189"/>
    <n v="143700"/>
    <x v="586"/>
    <x v="4"/>
    <x v="4"/>
    <x v="10"/>
    <x v="1"/>
    <x v="1"/>
    <s v="Malt"/>
    <x v="3"/>
  </r>
  <r>
    <n v="10976"/>
    <s v="Parent"/>
    <s v="parentty@uk.com"/>
    <x v="0"/>
    <n v="150"/>
    <n v="200"/>
    <x v="271"/>
    <n v="185400"/>
    <x v="667"/>
    <x v="0"/>
    <x v="5"/>
    <x v="11"/>
    <x v="0"/>
    <x v="0"/>
    <s v="Beer"/>
    <x v="3"/>
  </r>
  <r>
    <n v="10977"/>
    <s v="Gill"/>
    <s v="gillhell@uk.com"/>
    <x v="1"/>
    <n v="250"/>
    <n v="500"/>
    <x v="256"/>
    <n v="459500"/>
    <x v="668"/>
    <x v="1"/>
    <x v="0"/>
    <x v="0"/>
    <x v="0"/>
    <x v="0"/>
    <s v="Beer"/>
    <x v="0"/>
  </r>
  <r>
    <n v="10978"/>
    <s v="Smith"/>
    <s v="smithMan@yahoo.com"/>
    <x v="2"/>
    <n v="180"/>
    <n v="450"/>
    <x v="266"/>
    <n v="373500"/>
    <x v="669"/>
    <x v="2"/>
    <x v="1"/>
    <x v="1"/>
    <x v="1"/>
    <x v="1"/>
    <s v="Beer"/>
    <x v="0"/>
  </r>
  <r>
    <n v="10979"/>
    <s v="Jones"/>
    <s v="jone.ai@yahoo.com"/>
    <x v="3"/>
    <n v="170"/>
    <n v="250"/>
    <x v="98"/>
    <n v="218500"/>
    <x v="464"/>
    <x v="3"/>
    <x v="2"/>
    <x v="2"/>
    <x v="1"/>
    <x v="1"/>
    <s v="Beer"/>
    <x v="0"/>
  </r>
  <r>
    <n v="10980"/>
    <s v="Sorvino"/>
    <s v="sorvi2000@gmail.com"/>
    <x v="4"/>
    <n v="150"/>
    <n v="200"/>
    <x v="6"/>
    <n v="190800"/>
    <x v="670"/>
    <x v="4"/>
    <x v="3"/>
    <x v="3"/>
    <x v="2"/>
    <x v="1"/>
    <s v="Beer"/>
    <x v="1"/>
  </r>
  <r>
    <n v="10981"/>
    <s v="Jardine"/>
    <s v="jard@gmail.com"/>
    <x v="5"/>
    <n v="80"/>
    <n v="150"/>
    <x v="256"/>
    <n v="137850"/>
    <x v="671"/>
    <x v="0"/>
    <x v="4"/>
    <x v="4"/>
    <x v="2"/>
    <x v="0"/>
    <s v="Malt"/>
    <x v="1"/>
  </r>
  <r>
    <n v="10982"/>
    <s v="Andrews"/>
    <s v="andy@gmail.com"/>
    <x v="6"/>
    <n v="90"/>
    <n v="150"/>
    <x v="216"/>
    <n v="119400"/>
    <x v="636"/>
    <x v="1"/>
    <x v="5"/>
    <x v="5"/>
    <x v="2"/>
    <x v="0"/>
    <s v="Malt"/>
    <x v="1"/>
  </r>
  <r>
    <n v="10983"/>
    <s v="Howard"/>
    <s v="howard_freeman@yahoo.com"/>
    <x v="0"/>
    <n v="150"/>
    <n v="200"/>
    <x v="77"/>
    <n v="154600"/>
    <x v="79"/>
    <x v="2"/>
    <x v="0"/>
    <x v="6"/>
    <x v="2"/>
    <x v="1"/>
    <s v="Beer"/>
    <x v="2"/>
  </r>
  <r>
    <n v="10984"/>
    <s v="Gill"/>
    <s v="gillhell@uk.com"/>
    <x v="1"/>
    <n v="250"/>
    <n v="500"/>
    <x v="45"/>
    <n v="445500"/>
    <x v="593"/>
    <x v="3"/>
    <x v="1"/>
    <x v="7"/>
    <x v="1"/>
    <x v="1"/>
    <s v="Beer"/>
    <x v="2"/>
  </r>
  <r>
    <n v="10985"/>
    <s v="Gill"/>
    <s v="gillhell@uk.com"/>
    <x v="2"/>
    <n v="180"/>
    <n v="450"/>
    <x v="198"/>
    <n v="350100"/>
    <x v="539"/>
    <x v="4"/>
    <x v="2"/>
    <x v="8"/>
    <x v="2"/>
    <x v="1"/>
    <s v="Beer"/>
    <x v="2"/>
  </r>
  <r>
    <n v="10986"/>
    <s v="Kivell"/>
    <s v="kivel_go@yahoo.com"/>
    <x v="3"/>
    <n v="170"/>
    <n v="250"/>
    <x v="36"/>
    <n v="237500"/>
    <x v="375"/>
    <x v="0"/>
    <x v="3"/>
    <x v="9"/>
    <x v="1"/>
    <x v="0"/>
    <s v="Beer"/>
    <x v="3"/>
  </r>
  <r>
    <n v="10987"/>
    <s v="Jones"/>
    <s v="jone.ai@yahoo.com"/>
    <x v="4"/>
    <n v="150"/>
    <n v="200"/>
    <x v="111"/>
    <n v="168000"/>
    <x v="126"/>
    <x v="1"/>
    <x v="4"/>
    <x v="10"/>
    <x v="2"/>
    <x v="0"/>
    <s v="Beer"/>
    <x v="3"/>
  </r>
  <r>
    <n v="10988"/>
    <s v="Morgan"/>
    <s v="morganny@gmail.com"/>
    <x v="5"/>
    <n v="80"/>
    <n v="150"/>
    <x v="35"/>
    <n v="123150"/>
    <x v="672"/>
    <x v="2"/>
    <x v="5"/>
    <x v="11"/>
    <x v="2"/>
    <x v="1"/>
    <s v="Malt"/>
    <x v="3"/>
  </r>
  <r>
    <n v="10989"/>
    <s v="Kivell"/>
    <s v="kivel_go@yahoo.com"/>
    <x v="6"/>
    <n v="90"/>
    <n v="150"/>
    <x v="95"/>
    <n v="108000"/>
    <x v="562"/>
    <x v="3"/>
    <x v="0"/>
    <x v="0"/>
    <x v="2"/>
    <x v="1"/>
    <s v="Malt"/>
    <x v="0"/>
  </r>
  <r>
    <n v="10990"/>
    <s v="Sorvino"/>
    <s v="sorvi2000@gmail.com"/>
    <x v="0"/>
    <n v="150"/>
    <n v="200"/>
    <x v="162"/>
    <n v="141200"/>
    <x v="223"/>
    <x v="4"/>
    <x v="1"/>
    <x v="1"/>
    <x v="0"/>
    <x v="1"/>
    <s v="Beer"/>
    <x v="0"/>
  </r>
  <r>
    <n v="10991"/>
    <s v="Gill"/>
    <s v="gillhell@uk.com"/>
    <x v="1"/>
    <n v="250"/>
    <n v="500"/>
    <x v="39"/>
    <n v="413500"/>
    <x v="329"/>
    <x v="0"/>
    <x v="2"/>
    <x v="2"/>
    <x v="1"/>
    <x v="0"/>
    <s v="Beer"/>
    <x v="0"/>
  </r>
  <r>
    <n v="10992"/>
    <s v="Sorvino"/>
    <s v="sorvi2000@gmail.com"/>
    <x v="2"/>
    <n v="180"/>
    <n v="450"/>
    <x v="123"/>
    <n v="356400"/>
    <x v="673"/>
    <x v="1"/>
    <x v="3"/>
    <x v="3"/>
    <x v="2"/>
    <x v="0"/>
    <s v="Beer"/>
    <x v="1"/>
  </r>
  <r>
    <n v="10993"/>
    <s v="Thompson"/>
    <s v="thomp@uk.com"/>
    <x v="3"/>
    <n v="170"/>
    <n v="250"/>
    <x v="132"/>
    <n v="221250"/>
    <x v="674"/>
    <x v="2"/>
    <x v="4"/>
    <x v="4"/>
    <x v="2"/>
    <x v="1"/>
    <s v="Beer"/>
    <x v="1"/>
  </r>
  <r>
    <n v="10994"/>
    <s v="Andrews"/>
    <s v="andy@gmail.com"/>
    <x v="4"/>
    <n v="150"/>
    <n v="200"/>
    <x v="191"/>
    <n v="194600"/>
    <x v="675"/>
    <x v="3"/>
    <x v="5"/>
    <x v="5"/>
    <x v="0"/>
    <x v="1"/>
    <s v="Beer"/>
    <x v="1"/>
  </r>
  <r>
    <n v="10995"/>
    <s v="Jardine"/>
    <s v="jard@gmail.com"/>
    <x v="5"/>
    <n v="80"/>
    <n v="150"/>
    <x v="245"/>
    <n v="146550"/>
    <x v="425"/>
    <x v="4"/>
    <x v="0"/>
    <x v="6"/>
    <x v="2"/>
    <x v="1"/>
    <s v="Malt"/>
    <x v="2"/>
  </r>
  <r>
    <n v="10996"/>
    <s v="Jardine"/>
    <s v="jard@gmail.com"/>
    <x v="6"/>
    <n v="90"/>
    <n v="150"/>
    <x v="288"/>
    <n v="130950"/>
    <x v="676"/>
    <x v="0"/>
    <x v="1"/>
    <x v="7"/>
    <x v="0"/>
    <x v="0"/>
    <s v="Malt"/>
    <x v="2"/>
  </r>
  <r>
    <n v="10997"/>
    <s v="Andrews"/>
    <s v="andy@gmail.com"/>
    <x v="0"/>
    <n v="150"/>
    <n v="200"/>
    <x v="279"/>
    <n v="186400"/>
    <x v="592"/>
    <x v="1"/>
    <x v="2"/>
    <x v="8"/>
    <x v="2"/>
    <x v="0"/>
    <s v="Beer"/>
    <x v="2"/>
  </r>
  <r>
    <n v="10998"/>
    <s v="Jardine"/>
    <s v="jard@gmail.com"/>
    <x v="1"/>
    <n v="250"/>
    <n v="500"/>
    <x v="76"/>
    <n v="350500"/>
    <x v="677"/>
    <x v="2"/>
    <x v="3"/>
    <x v="9"/>
    <x v="1"/>
    <x v="1"/>
    <s v="Beer"/>
    <x v="3"/>
  </r>
  <r>
    <n v="10999"/>
    <s v="Gill"/>
    <s v="gillhell@uk.com"/>
    <x v="2"/>
    <n v="180"/>
    <n v="450"/>
    <x v="245"/>
    <n v="439650"/>
    <x v="678"/>
    <x v="3"/>
    <x v="4"/>
    <x v="10"/>
    <x v="2"/>
    <x v="1"/>
    <s v="Beer"/>
    <x v="3"/>
  </r>
  <r>
    <n v="11000"/>
    <s v="Sorvino"/>
    <s v="sorvi2000@gmail.com"/>
    <x v="3"/>
    <n v="170"/>
    <n v="250"/>
    <x v="245"/>
    <n v="244250"/>
    <x v="610"/>
    <x v="4"/>
    <x v="5"/>
    <x v="11"/>
    <x v="2"/>
    <x v="1"/>
    <s v="Beer"/>
    <x v="3"/>
  </r>
  <r>
    <n v="11001"/>
    <s v="Jones"/>
    <s v="jone.ai@yahoo.com"/>
    <x v="4"/>
    <n v="150"/>
    <n v="200"/>
    <x v="44"/>
    <n v="190400"/>
    <x v="44"/>
    <x v="0"/>
    <x v="0"/>
    <x v="0"/>
    <x v="0"/>
    <x v="0"/>
    <s v="Beer"/>
    <x v="0"/>
  </r>
  <r>
    <n v="11002"/>
    <s v="Andrews"/>
    <s v="andy@gmail.com"/>
    <x v="5"/>
    <n v="80"/>
    <n v="150"/>
    <x v="140"/>
    <n v="112500"/>
    <x v="164"/>
    <x v="1"/>
    <x v="1"/>
    <x v="1"/>
    <x v="1"/>
    <x v="0"/>
    <s v="Malt"/>
    <x v="0"/>
  </r>
  <r>
    <n v="11003"/>
    <s v="Jardine"/>
    <s v="jard@gmail.com"/>
    <x v="6"/>
    <n v="90"/>
    <n v="150"/>
    <x v="130"/>
    <n v="144150"/>
    <x v="679"/>
    <x v="2"/>
    <x v="2"/>
    <x v="2"/>
    <x v="2"/>
    <x v="1"/>
    <s v="Malt"/>
    <x v="0"/>
  </r>
  <r>
    <n v="11004"/>
    <s v="Thompson"/>
    <s v="thomp@uk.com"/>
    <x v="0"/>
    <n v="150"/>
    <n v="200"/>
    <x v="170"/>
    <n v="140400"/>
    <x v="680"/>
    <x v="3"/>
    <x v="3"/>
    <x v="3"/>
    <x v="1"/>
    <x v="1"/>
    <s v="Beer"/>
    <x v="1"/>
  </r>
  <r>
    <n v="11005"/>
    <s v="Jones"/>
    <s v="jone.ai@yahoo.com"/>
    <x v="1"/>
    <n v="250"/>
    <n v="500"/>
    <x v="108"/>
    <n v="492000"/>
    <x v="681"/>
    <x v="4"/>
    <x v="4"/>
    <x v="4"/>
    <x v="2"/>
    <x v="1"/>
    <s v="Beer"/>
    <x v="1"/>
  </r>
  <r>
    <n v="11006"/>
    <s v="Morgan"/>
    <s v="morganny@gmail.com"/>
    <x v="2"/>
    <n v="180"/>
    <n v="450"/>
    <x v="10"/>
    <n v="387450"/>
    <x v="682"/>
    <x v="0"/>
    <x v="5"/>
    <x v="5"/>
    <x v="2"/>
    <x v="0"/>
    <s v="Beer"/>
    <x v="1"/>
  </r>
  <r>
    <n v="11007"/>
    <s v="Howard"/>
    <s v="howard_freeman@yahoo.com"/>
    <x v="3"/>
    <n v="170"/>
    <n v="250"/>
    <x v="108"/>
    <n v="246000"/>
    <x v="683"/>
    <x v="1"/>
    <x v="0"/>
    <x v="6"/>
    <x v="0"/>
    <x v="0"/>
    <s v="Beer"/>
    <x v="2"/>
  </r>
  <r>
    <n v="11008"/>
    <s v="Parent"/>
    <s v="parentty@uk.com"/>
    <x v="4"/>
    <n v="150"/>
    <n v="200"/>
    <x v="164"/>
    <n v="152000"/>
    <x v="284"/>
    <x v="2"/>
    <x v="1"/>
    <x v="7"/>
    <x v="1"/>
    <x v="1"/>
    <s v="Beer"/>
    <x v="2"/>
  </r>
  <r>
    <n v="11009"/>
    <s v="Jones"/>
    <s v="jone.ai@yahoo.com"/>
    <x v="5"/>
    <n v="80"/>
    <n v="150"/>
    <x v="85"/>
    <n v="127350"/>
    <x v="684"/>
    <x v="3"/>
    <x v="2"/>
    <x v="8"/>
    <x v="0"/>
    <x v="1"/>
    <s v="Malt"/>
    <x v="2"/>
  </r>
  <r>
    <n v="11010"/>
    <s v="Smith"/>
    <s v="smithMan@yahoo.com"/>
    <x v="6"/>
    <n v="90"/>
    <n v="150"/>
    <x v="180"/>
    <n v="109200"/>
    <x v="252"/>
    <x v="4"/>
    <x v="3"/>
    <x v="9"/>
    <x v="2"/>
    <x v="1"/>
    <s v="Malt"/>
    <x v="3"/>
  </r>
  <r>
    <n v="11011"/>
    <s v="Jones"/>
    <s v="jone.ai@yahoo.com"/>
    <x v="0"/>
    <n v="150"/>
    <n v="200"/>
    <x v="215"/>
    <n v="168400"/>
    <x v="605"/>
    <x v="0"/>
    <x v="4"/>
    <x v="10"/>
    <x v="0"/>
    <x v="0"/>
    <s v="Beer"/>
    <x v="3"/>
  </r>
  <r>
    <n v="11012"/>
    <s v="Morgan"/>
    <s v="morganny@gmail.com"/>
    <x v="1"/>
    <n v="250"/>
    <n v="500"/>
    <x v="112"/>
    <n v="483000"/>
    <x v="127"/>
    <x v="1"/>
    <x v="5"/>
    <x v="11"/>
    <x v="2"/>
    <x v="0"/>
    <s v="Beer"/>
    <x v="3"/>
  </r>
  <r>
    <n v="11013"/>
    <s v="Jones"/>
    <s v="jone.ai@yahoo.com"/>
    <x v="2"/>
    <n v="180"/>
    <n v="450"/>
    <x v="269"/>
    <n v="329400"/>
    <x v="685"/>
    <x v="2"/>
    <x v="0"/>
    <x v="0"/>
    <x v="2"/>
    <x v="1"/>
    <s v="Beer"/>
    <x v="0"/>
  </r>
  <r>
    <n v="11014"/>
    <s v="Parent"/>
    <s v="parentty@uk.com"/>
    <x v="3"/>
    <n v="170"/>
    <n v="250"/>
    <x v="18"/>
    <n v="249000"/>
    <x v="686"/>
    <x v="3"/>
    <x v="1"/>
    <x v="1"/>
    <x v="1"/>
    <x v="1"/>
    <s v="Beer"/>
    <x v="0"/>
  </r>
  <r>
    <n v="11015"/>
    <s v="Kivell"/>
    <s v="kivel_go@yahoo.com"/>
    <x v="4"/>
    <n v="150"/>
    <n v="200"/>
    <x v="224"/>
    <n v="154000"/>
    <x v="687"/>
    <x v="4"/>
    <x v="2"/>
    <x v="2"/>
    <x v="0"/>
    <x v="1"/>
    <s v="Beer"/>
    <x v="0"/>
  </r>
  <r>
    <n v="11016"/>
    <s v="Smith"/>
    <s v="smithMan@yahoo.com"/>
    <x v="5"/>
    <n v="80"/>
    <n v="150"/>
    <x v="277"/>
    <n v="117750"/>
    <x v="688"/>
    <x v="0"/>
    <x v="3"/>
    <x v="3"/>
    <x v="2"/>
    <x v="0"/>
    <s v="Malt"/>
    <x v="1"/>
  </r>
  <r>
    <n v="11017"/>
    <s v="Parent"/>
    <s v="parentty@uk.com"/>
    <x v="6"/>
    <n v="90"/>
    <n v="150"/>
    <x v="45"/>
    <n v="133650"/>
    <x v="475"/>
    <x v="1"/>
    <x v="4"/>
    <x v="4"/>
    <x v="2"/>
    <x v="0"/>
    <s v="Malt"/>
    <x v="1"/>
  </r>
  <r>
    <n v="11018"/>
    <s v="Gill"/>
    <s v="gillhell@uk.com"/>
    <x v="0"/>
    <n v="150"/>
    <n v="200"/>
    <x v="254"/>
    <n v="158600"/>
    <x v="689"/>
    <x v="2"/>
    <x v="5"/>
    <x v="5"/>
    <x v="0"/>
    <x v="1"/>
    <s v="Beer"/>
    <x v="1"/>
  </r>
  <r>
    <n v="11019"/>
    <s v="Smith"/>
    <s v="smithMan@yahoo.com"/>
    <x v="1"/>
    <n v="250"/>
    <n v="500"/>
    <x v="274"/>
    <n v="446500"/>
    <x v="690"/>
    <x v="3"/>
    <x v="0"/>
    <x v="6"/>
    <x v="0"/>
    <x v="1"/>
    <s v="Beer"/>
    <x v="2"/>
  </r>
  <r>
    <n v="11020"/>
    <s v="Jones"/>
    <s v="jone.ai@yahoo.com"/>
    <x v="2"/>
    <n v="180"/>
    <n v="450"/>
    <x v="289"/>
    <n v="396000"/>
    <x v="691"/>
    <x v="4"/>
    <x v="1"/>
    <x v="7"/>
    <x v="2"/>
    <x v="1"/>
    <s v="Beer"/>
    <x v="2"/>
  </r>
  <r>
    <n v="11021"/>
    <s v="Sorvino"/>
    <s v="sorvi2000@gmail.com"/>
    <x v="3"/>
    <n v="170"/>
    <n v="250"/>
    <x v="290"/>
    <n v="230250"/>
    <x v="692"/>
    <x v="0"/>
    <x v="2"/>
    <x v="8"/>
    <x v="2"/>
    <x v="0"/>
    <s v="Beer"/>
    <x v="2"/>
  </r>
  <r>
    <n v="11022"/>
    <s v="Jardine"/>
    <s v="jard@gmail.com"/>
    <x v="4"/>
    <n v="150"/>
    <n v="200"/>
    <x v="264"/>
    <n v="170200"/>
    <x v="693"/>
    <x v="1"/>
    <x v="3"/>
    <x v="9"/>
    <x v="0"/>
    <x v="0"/>
    <s v="Beer"/>
    <x v="3"/>
  </r>
  <r>
    <n v="11023"/>
    <s v="Andrews"/>
    <s v="andy@gmail.com"/>
    <x v="5"/>
    <n v="80"/>
    <n v="150"/>
    <x v="20"/>
    <n v="129000"/>
    <x v="694"/>
    <x v="2"/>
    <x v="4"/>
    <x v="10"/>
    <x v="1"/>
    <x v="1"/>
    <s v="Malt"/>
    <x v="3"/>
  </r>
  <r>
    <n v="11024"/>
    <s v="Howard"/>
    <s v="howard_freeman@yahoo.com"/>
    <x v="6"/>
    <n v="90"/>
    <n v="150"/>
    <x v="159"/>
    <n v="122700"/>
    <x v="695"/>
    <x v="3"/>
    <x v="5"/>
    <x v="11"/>
    <x v="1"/>
    <x v="1"/>
    <s v="Malt"/>
    <x v="3"/>
  </r>
  <r>
    <n v="11025"/>
    <s v="Gill"/>
    <s v="gillhell@uk.com"/>
    <x v="0"/>
    <n v="150"/>
    <n v="200"/>
    <x v="223"/>
    <n v="181200"/>
    <x v="696"/>
    <x v="4"/>
    <x v="0"/>
    <x v="0"/>
    <x v="2"/>
    <x v="1"/>
    <s v="Beer"/>
    <x v="0"/>
  </r>
  <r>
    <n v="11026"/>
    <s v="Gill"/>
    <s v="gillhell@uk.com"/>
    <x v="1"/>
    <n v="250"/>
    <n v="500"/>
    <x v="106"/>
    <n v="405000"/>
    <x v="390"/>
    <x v="0"/>
    <x v="1"/>
    <x v="1"/>
    <x v="2"/>
    <x v="0"/>
    <s v="Beer"/>
    <x v="0"/>
  </r>
  <r>
    <n v="11027"/>
    <s v="Kivell"/>
    <s v="kivel_go@yahoo.com"/>
    <x v="2"/>
    <n v="180"/>
    <n v="450"/>
    <x v="57"/>
    <n v="381150"/>
    <x v="446"/>
    <x v="1"/>
    <x v="2"/>
    <x v="2"/>
    <x v="0"/>
    <x v="0"/>
    <s v="Beer"/>
    <x v="0"/>
  </r>
  <r>
    <n v="11028"/>
    <s v="Jones"/>
    <s v="jone.ai@yahoo.com"/>
    <x v="3"/>
    <n v="170"/>
    <n v="250"/>
    <x v="184"/>
    <n v="175750"/>
    <x v="697"/>
    <x v="2"/>
    <x v="3"/>
    <x v="3"/>
    <x v="2"/>
    <x v="1"/>
    <s v="Beer"/>
    <x v="1"/>
  </r>
  <r>
    <n v="11029"/>
    <s v="Morgan"/>
    <s v="morganny@gmail.com"/>
    <x v="4"/>
    <n v="150"/>
    <n v="200"/>
    <x v="199"/>
    <n v="143200"/>
    <x v="698"/>
    <x v="3"/>
    <x v="4"/>
    <x v="4"/>
    <x v="1"/>
    <x v="1"/>
    <s v="Beer"/>
    <x v="1"/>
  </r>
  <r>
    <n v="11030"/>
    <s v="Kivell"/>
    <s v="kivel_go@yahoo.com"/>
    <x v="5"/>
    <n v="80"/>
    <n v="150"/>
    <x v="201"/>
    <n v="134250"/>
    <x v="699"/>
    <x v="4"/>
    <x v="5"/>
    <x v="5"/>
    <x v="0"/>
    <x v="1"/>
    <s v="Malt"/>
    <x v="1"/>
  </r>
  <r>
    <n v="11031"/>
    <s v="Sorvino"/>
    <s v="sorvi2000@gmail.com"/>
    <x v="6"/>
    <n v="90"/>
    <n v="150"/>
    <x v="83"/>
    <n v="147150"/>
    <x v="700"/>
    <x v="0"/>
    <x v="0"/>
    <x v="6"/>
    <x v="0"/>
    <x v="0"/>
    <s v="Malt"/>
    <x v="2"/>
  </r>
  <r>
    <n v="11032"/>
    <s v="Gill"/>
    <s v="gillhell@uk.com"/>
    <x v="0"/>
    <n v="150"/>
    <n v="200"/>
    <x v="291"/>
    <n v="159800"/>
    <x v="701"/>
    <x v="1"/>
    <x v="1"/>
    <x v="7"/>
    <x v="1"/>
    <x v="0"/>
    <s v="Beer"/>
    <x v="2"/>
  </r>
  <r>
    <n v="11033"/>
    <s v="Sorvino"/>
    <s v="sorvi2000@gmail.com"/>
    <x v="1"/>
    <n v="250"/>
    <n v="500"/>
    <x v="115"/>
    <n v="387000"/>
    <x v="702"/>
    <x v="2"/>
    <x v="2"/>
    <x v="8"/>
    <x v="1"/>
    <x v="1"/>
    <s v="Beer"/>
    <x v="2"/>
  </r>
  <r>
    <n v="11034"/>
    <s v="Thompson"/>
    <s v="thomp@uk.com"/>
    <x v="2"/>
    <n v="180"/>
    <n v="450"/>
    <x v="10"/>
    <n v="387450"/>
    <x v="682"/>
    <x v="3"/>
    <x v="3"/>
    <x v="9"/>
    <x v="0"/>
    <x v="1"/>
    <s v="Beer"/>
    <x v="3"/>
  </r>
  <r>
    <n v="11035"/>
    <s v="Andrews"/>
    <s v="andy@gmail.com"/>
    <x v="3"/>
    <n v="170"/>
    <n v="250"/>
    <x v="178"/>
    <n v="232000"/>
    <x v="703"/>
    <x v="4"/>
    <x v="4"/>
    <x v="10"/>
    <x v="2"/>
    <x v="1"/>
    <s v="Beer"/>
    <x v="3"/>
  </r>
  <r>
    <n v="11036"/>
    <s v="Jardine"/>
    <s v="jard@gmail.com"/>
    <x v="4"/>
    <n v="150"/>
    <n v="200"/>
    <x v="162"/>
    <n v="141200"/>
    <x v="223"/>
    <x v="0"/>
    <x v="5"/>
    <x v="11"/>
    <x v="0"/>
    <x v="0"/>
    <s v="Beer"/>
    <x v="3"/>
  </r>
  <r>
    <n v="11037"/>
    <s v="Jardine"/>
    <s v="jard@gmail.com"/>
    <x v="5"/>
    <n v="80"/>
    <n v="150"/>
    <x v="207"/>
    <n v="114150"/>
    <x v="704"/>
    <x v="1"/>
    <x v="0"/>
    <x v="0"/>
    <x v="0"/>
    <x v="0"/>
    <s v="Malt"/>
    <x v="0"/>
  </r>
  <r>
    <n v="11038"/>
    <s v="Andrews"/>
    <s v="andy@gmail.com"/>
    <x v="6"/>
    <n v="90"/>
    <n v="150"/>
    <x v="85"/>
    <n v="127350"/>
    <x v="705"/>
    <x v="2"/>
    <x v="1"/>
    <x v="1"/>
    <x v="2"/>
    <x v="1"/>
    <s v="Malt"/>
    <x v="0"/>
  </r>
  <r>
    <n v="11039"/>
    <s v="Jones"/>
    <s v="jone.ai@yahoo.com"/>
    <x v="0"/>
    <n v="150"/>
    <n v="200"/>
    <x v="103"/>
    <n v="182800"/>
    <x v="116"/>
    <x v="3"/>
    <x v="2"/>
    <x v="2"/>
    <x v="0"/>
    <x v="1"/>
    <s v="Beer"/>
    <x v="0"/>
  </r>
  <r>
    <n v="11040"/>
    <s v="Morgan"/>
    <s v="morganny@gmail.com"/>
    <x v="1"/>
    <n v="250"/>
    <n v="500"/>
    <x v="240"/>
    <n v="471000"/>
    <x v="468"/>
    <x v="4"/>
    <x v="3"/>
    <x v="3"/>
    <x v="1"/>
    <x v="1"/>
    <s v="Beer"/>
    <x v="1"/>
  </r>
  <r>
    <n v="11041"/>
    <s v="Kivell"/>
    <s v="kivel_go@yahoo.com"/>
    <x v="2"/>
    <n v="180"/>
    <n v="450"/>
    <x v="128"/>
    <n v="418500"/>
    <x v="706"/>
    <x v="0"/>
    <x v="4"/>
    <x v="4"/>
    <x v="2"/>
    <x v="0"/>
    <s v="Beer"/>
    <x v="1"/>
  </r>
  <r>
    <n v="11042"/>
    <s v="Sorvino"/>
    <s v="sorvi2000@gmail.com"/>
    <x v="3"/>
    <n v="170"/>
    <n v="250"/>
    <x v="28"/>
    <n v="236250"/>
    <x v="707"/>
    <x v="1"/>
    <x v="5"/>
    <x v="5"/>
    <x v="1"/>
    <x v="0"/>
    <s v="Beer"/>
    <x v="1"/>
  </r>
  <r>
    <n v="11043"/>
    <s v="Gill"/>
    <s v="gillhell@uk.com"/>
    <x v="4"/>
    <n v="150"/>
    <n v="200"/>
    <x v="200"/>
    <n v="155000"/>
    <x v="287"/>
    <x v="2"/>
    <x v="0"/>
    <x v="6"/>
    <x v="2"/>
    <x v="1"/>
    <s v="Beer"/>
    <x v="2"/>
  </r>
  <r>
    <n v="11044"/>
    <s v="Sorvino"/>
    <s v="sorvi2000@gmail.com"/>
    <x v="5"/>
    <n v="80"/>
    <n v="150"/>
    <x v="72"/>
    <n v="109350"/>
    <x v="708"/>
    <x v="3"/>
    <x v="1"/>
    <x v="7"/>
    <x v="2"/>
    <x v="1"/>
    <s v="Malt"/>
    <x v="2"/>
  </r>
  <r>
    <n v="11045"/>
    <s v="Thompson"/>
    <s v="thomp@uk.com"/>
    <x v="6"/>
    <n v="90"/>
    <n v="150"/>
    <x v="127"/>
    <n v="141150"/>
    <x v="709"/>
    <x v="4"/>
    <x v="2"/>
    <x v="8"/>
    <x v="0"/>
    <x v="1"/>
    <s v="Malt"/>
    <x v="2"/>
  </r>
  <r>
    <n v="11046"/>
    <s v="Andrews"/>
    <s v="andy@gmail.com"/>
    <x v="0"/>
    <n v="150"/>
    <n v="200"/>
    <x v="167"/>
    <n v="147000"/>
    <x v="710"/>
    <x v="0"/>
    <x v="3"/>
    <x v="9"/>
    <x v="2"/>
    <x v="0"/>
    <s v="Beer"/>
    <x v="3"/>
  </r>
  <r>
    <n v="11047"/>
    <s v="Jardine"/>
    <s v="jard@gmail.com"/>
    <x v="1"/>
    <n v="250"/>
    <n v="500"/>
    <x v="68"/>
    <n v="363500"/>
    <x v="113"/>
    <x v="1"/>
    <x v="4"/>
    <x v="10"/>
    <x v="1"/>
    <x v="0"/>
    <s v="Beer"/>
    <x v="3"/>
  </r>
  <r>
    <n v="11048"/>
    <s v="Jardine"/>
    <s v="jard@gmail.com"/>
    <x v="2"/>
    <n v="180"/>
    <n v="450"/>
    <x v="21"/>
    <n v="386550"/>
    <x v="711"/>
    <x v="2"/>
    <x v="5"/>
    <x v="11"/>
    <x v="1"/>
    <x v="1"/>
    <s v="Beer"/>
    <x v="3"/>
  </r>
  <r>
    <n v="11049"/>
    <s v="Andrews"/>
    <s v="andy@gmail.com"/>
    <x v="3"/>
    <n v="170"/>
    <n v="250"/>
    <x v="123"/>
    <n v="198000"/>
    <x v="712"/>
    <x v="3"/>
    <x v="0"/>
    <x v="0"/>
    <x v="2"/>
    <x v="1"/>
    <s v="Beer"/>
    <x v="0"/>
  </r>
  <r>
    <n v="11050"/>
    <s v="Jardine"/>
    <s v="jard@gmail.com"/>
    <x v="4"/>
    <n v="150"/>
    <n v="200"/>
    <x v="98"/>
    <n v="174800"/>
    <x v="713"/>
    <x v="4"/>
    <x v="1"/>
    <x v="1"/>
    <x v="2"/>
    <x v="1"/>
    <s v="Beer"/>
    <x v="0"/>
  </r>
  <r>
    <n v="11051"/>
    <s v="Gill"/>
    <s v="gillhell@uk.com"/>
    <x v="5"/>
    <n v="80"/>
    <n v="150"/>
    <x v="123"/>
    <n v="118800"/>
    <x v="714"/>
    <x v="0"/>
    <x v="2"/>
    <x v="2"/>
    <x v="0"/>
    <x v="0"/>
    <s v="Malt"/>
    <x v="0"/>
  </r>
  <r>
    <n v="11052"/>
    <s v="Sorvino"/>
    <s v="sorvi2000@gmail.com"/>
    <x v="6"/>
    <n v="90"/>
    <n v="150"/>
    <x v="249"/>
    <n v="123300"/>
    <x v="460"/>
    <x v="1"/>
    <x v="3"/>
    <x v="3"/>
    <x v="1"/>
    <x v="0"/>
    <s v="Malt"/>
    <x v="1"/>
  </r>
  <r>
    <n v="11053"/>
    <s v="Jones"/>
    <s v="jone.ai@yahoo.com"/>
    <x v="0"/>
    <n v="150"/>
    <n v="200"/>
    <x v="158"/>
    <n v="182400"/>
    <x v="198"/>
    <x v="2"/>
    <x v="4"/>
    <x v="4"/>
    <x v="2"/>
    <x v="1"/>
    <s v="Beer"/>
    <x v="1"/>
  </r>
  <r>
    <n v="11054"/>
    <s v="Andrews"/>
    <s v="andy@gmail.com"/>
    <x v="1"/>
    <n v="250"/>
    <n v="500"/>
    <x v="203"/>
    <n v="379500"/>
    <x v="462"/>
    <x v="3"/>
    <x v="5"/>
    <x v="5"/>
    <x v="2"/>
    <x v="1"/>
    <s v="Beer"/>
    <x v="1"/>
  </r>
  <r>
    <n v="11055"/>
    <s v="Jardine"/>
    <s v="jard@gmail.com"/>
    <x v="2"/>
    <n v="180"/>
    <n v="450"/>
    <x v="292"/>
    <n v="386100"/>
    <x v="715"/>
    <x v="4"/>
    <x v="0"/>
    <x v="6"/>
    <x v="2"/>
    <x v="1"/>
    <s v="Beer"/>
    <x v="2"/>
  </r>
  <r>
    <n v="11056"/>
    <s v="Thompson"/>
    <s v="thomp@uk.com"/>
    <x v="3"/>
    <n v="170"/>
    <n v="250"/>
    <x v="290"/>
    <n v="230250"/>
    <x v="692"/>
    <x v="0"/>
    <x v="1"/>
    <x v="7"/>
    <x v="1"/>
    <x v="0"/>
    <s v="Beer"/>
    <x v="2"/>
  </r>
  <r>
    <n v="11057"/>
    <s v="Jones"/>
    <s v="jone.ai@yahoo.com"/>
    <x v="4"/>
    <n v="150"/>
    <n v="200"/>
    <x v="293"/>
    <n v="174200"/>
    <x v="716"/>
    <x v="1"/>
    <x v="2"/>
    <x v="8"/>
    <x v="0"/>
    <x v="0"/>
    <s v="Beer"/>
    <x v="2"/>
  </r>
  <r>
    <n v="11058"/>
    <s v="Morgan"/>
    <s v="morganny@gmail.com"/>
    <x v="5"/>
    <n v="80"/>
    <n v="150"/>
    <x v="4"/>
    <n v="125400"/>
    <x v="185"/>
    <x v="2"/>
    <x v="3"/>
    <x v="9"/>
    <x v="1"/>
    <x v="1"/>
    <s v="Malt"/>
    <x v="3"/>
  </r>
  <r>
    <n v="11059"/>
    <s v="Howard"/>
    <s v="howard_freeman@yahoo.com"/>
    <x v="6"/>
    <n v="90"/>
    <n v="150"/>
    <x v="10"/>
    <n v="129150"/>
    <x v="293"/>
    <x v="3"/>
    <x v="4"/>
    <x v="10"/>
    <x v="0"/>
    <x v="1"/>
    <s v="Malt"/>
    <x v="3"/>
  </r>
  <r>
    <n v="11060"/>
    <s v="Parent"/>
    <s v="parentty@uk.com"/>
    <x v="0"/>
    <n v="150"/>
    <n v="200"/>
    <x v="181"/>
    <n v="142200"/>
    <x v="717"/>
    <x v="4"/>
    <x v="5"/>
    <x v="11"/>
    <x v="0"/>
    <x v="1"/>
    <s v="Beer"/>
    <x v="3"/>
  </r>
  <r>
    <n v="11061"/>
    <s v="Jones"/>
    <s v="jone.ai@yahoo.com"/>
    <x v="1"/>
    <n v="250"/>
    <n v="500"/>
    <x v="267"/>
    <n v="417000"/>
    <x v="718"/>
    <x v="0"/>
    <x v="0"/>
    <x v="0"/>
    <x v="0"/>
    <x v="0"/>
    <s v="Beer"/>
    <x v="0"/>
  </r>
  <r>
    <n v="11062"/>
    <s v="Smith"/>
    <s v="smithMan@yahoo.com"/>
    <x v="2"/>
    <n v="180"/>
    <n v="450"/>
    <x v="294"/>
    <n v="440550"/>
    <x v="719"/>
    <x v="1"/>
    <x v="1"/>
    <x v="1"/>
    <x v="1"/>
    <x v="0"/>
    <s v="Beer"/>
    <x v="0"/>
  </r>
  <r>
    <n v="11063"/>
    <s v="Jones"/>
    <s v="jone.ai@yahoo.com"/>
    <x v="3"/>
    <n v="170"/>
    <n v="250"/>
    <x v="292"/>
    <n v="214500"/>
    <x v="720"/>
    <x v="2"/>
    <x v="2"/>
    <x v="2"/>
    <x v="0"/>
    <x v="1"/>
    <s v="Beer"/>
    <x v="0"/>
  </r>
  <r>
    <n v="11064"/>
    <s v="Jardine"/>
    <s v="jard@gmail.com"/>
    <x v="4"/>
    <n v="150"/>
    <n v="200"/>
    <x v="252"/>
    <n v="147400"/>
    <x v="461"/>
    <x v="3"/>
    <x v="3"/>
    <x v="3"/>
    <x v="2"/>
    <x v="1"/>
    <s v="Beer"/>
    <x v="1"/>
  </r>
  <r>
    <n v="11065"/>
    <s v="Gill"/>
    <s v="gillhell@uk.com"/>
    <x v="5"/>
    <n v="80"/>
    <n v="150"/>
    <x v="295"/>
    <n v="120000"/>
    <x v="543"/>
    <x v="4"/>
    <x v="4"/>
    <x v="4"/>
    <x v="1"/>
    <x v="1"/>
    <s v="Malt"/>
    <x v="1"/>
  </r>
  <r>
    <n v="11066"/>
    <s v="Sorvino"/>
    <s v="sorvi2000@gmail.com"/>
    <x v="6"/>
    <n v="90"/>
    <n v="150"/>
    <x v="78"/>
    <n v="133800"/>
    <x v="81"/>
    <x v="0"/>
    <x v="5"/>
    <x v="5"/>
    <x v="1"/>
    <x v="0"/>
    <s v="Malt"/>
    <x v="1"/>
  </r>
  <r>
    <n v="11067"/>
    <s v="Jones"/>
    <s v="jone.ai@yahoo.com"/>
    <x v="0"/>
    <n v="150"/>
    <n v="200"/>
    <x v="276"/>
    <n v="151600"/>
    <x v="721"/>
    <x v="1"/>
    <x v="0"/>
    <x v="6"/>
    <x v="1"/>
    <x v="0"/>
    <s v="Beer"/>
    <x v="2"/>
  </r>
  <r>
    <n v="11068"/>
    <s v="Andrews"/>
    <s v="andy@gmail.com"/>
    <x v="1"/>
    <n v="250"/>
    <n v="500"/>
    <x v="0"/>
    <n v="362500"/>
    <x v="722"/>
    <x v="2"/>
    <x v="1"/>
    <x v="7"/>
    <x v="2"/>
    <x v="1"/>
    <s v="Beer"/>
    <x v="2"/>
  </r>
  <r>
    <n v="11069"/>
    <s v="Jardine"/>
    <s v="jard@gmail.com"/>
    <x v="2"/>
    <n v="180"/>
    <n v="450"/>
    <x v="14"/>
    <n v="422550"/>
    <x v="416"/>
    <x v="3"/>
    <x v="2"/>
    <x v="8"/>
    <x v="1"/>
    <x v="1"/>
    <s v="Beer"/>
    <x v="2"/>
  </r>
  <r>
    <n v="11070"/>
    <s v="Thompson"/>
    <s v="thomp@uk.com"/>
    <x v="3"/>
    <n v="170"/>
    <n v="250"/>
    <x v="264"/>
    <n v="212750"/>
    <x v="517"/>
    <x v="4"/>
    <x v="3"/>
    <x v="9"/>
    <x v="2"/>
    <x v="1"/>
    <s v="Beer"/>
    <x v="3"/>
  </r>
  <r>
    <n v="11071"/>
    <s v="Jones"/>
    <s v="jone.ai@yahoo.com"/>
    <x v="4"/>
    <n v="150"/>
    <n v="200"/>
    <x v="135"/>
    <n v="162800"/>
    <x v="158"/>
    <x v="0"/>
    <x v="4"/>
    <x v="10"/>
    <x v="1"/>
    <x v="0"/>
    <s v="Beer"/>
    <x v="3"/>
  </r>
  <r>
    <n v="11072"/>
    <s v="Morgan"/>
    <s v="morganny@gmail.com"/>
    <x v="5"/>
    <n v="80"/>
    <n v="150"/>
    <x v="50"/>
    <n v="124800"/>
    <x v="723"/>
    <x v="1"/>
    <x v="5"/>
    <x v="11"/>
    <x v="1"/>
    <x v="0"/>
    <s v="Malt"/>
    <x v="3"/>
  </r>
  <r>
    <n v="11073"/>
    <s v="Howard"/>
    <s v="howard_freeman@yahoo.com"/>
    <x v="6"/>
    <n v="90"/>
    <n v="150"/>
    <x v="271"/>
    <n v="139050"/>
    <x v="724"/>
    <x v="2"/>
    <x v="0"/>
    <x v="0"/>
    <x v="2"/>
    <x v="1"/>
    <s v="Malt"/>
    <x v="0"/>
  </r>
  <r>
    <n v="11074"/>
    <s v="Parent"/>
    <s v="parentty@uk.com"/>
    <x v="0"/>
    <n v="150"/>
    <n v="200"/>
    <x v="193"/>
    <n v="165000"/>
    <x v="725"/>
    <x v="3"/>
    <x v="1"/>
    <x v="1"/>
    <x v="1"/>
    <x v="1"/>
    <s v="Beer"/>
    <x v="0"/>
  </r>
  <r>
    <n v="11075"/>
    <s v="Jones"/>
    <s v="jone.ai@yahoo.com"/>
    <x v="1"/>
    <n v="250"/>
    <n v="500"/>
    <x v="110"/>
    <n v="467000"/>
    <x v="422"/>
    <x v="4"/>
    <x v="2"/>
    <x v="2"/>
    <x v="1"/>
    <x v="1"/>
    <s v="Beer"/>
    <x v="0"/>
  </r>
  <r>
    <n v="11076"/>
    <s v="Smith"/>
    <s v="smithMan@yahoo.com"/>
    <x v="2"/>
    <n v="180"/>
    <n v="450"/>
    <x v="40"/>
    <n v="350550"/>
    <x v="726"/>
    <x v="0"/>
    <x v="3"/>
    <x v="3"/>
    <x v="0"/>
    <x v="0"/>
    <s v="Beer"/>
    <x v="1"/>
  </r>
  <r>
    <n v="11077"/>
    <s v="Jones"/>
    <s v="jone.ai@yahoo.com"/>
    <x v="3"/>
    <n v="170"/>
    <n v="250"/>
    <x v="162"/>
    <n v="176500"/>
    <x v="208"/>
    <x v="1"/>
    <x v="4"/>
    <x v="4"/>
    <x v="0"/>
    <x v="0"/>
    <s v="Beer"/>
    <x v="1"/>
  </r>
  <r>
    <n v="11078"/>
    <s v="Morgan"/>
    <s v="morganny@gmail.com"/>
    <x v="4"/>
    <n v="150"/>
    <n v="200"/>
    <x v="259"/>
    <n v="148600"/>
    <x v="727"/>
    <x v="2"/>
    <x v="5"/>
    <x v="5"/>
    <x v="2"/>
    <x v="1"/>
    <s v="Beer"/>
    <x v="1"/>
  </r>
  <r>
    <n v="11079"/>
    <s v="Jones"/>
    <s v="jone.ai@yahoo.com"/>
    <x v="5"/>
    <n v="80"/>
    <n v="150"/>
    <x v="256"/>
    <n v="137850"/>
    <x v="671"/>
    <x v="3"/>
    <x v="0"/>
    <x v="6"/>
    <x v="2"/>
    <x v="1"/>
    <s v="Malt"/>
    <x v="2"/>
  </r>
  <r>
    <n v="11080"/>
    <s v="Parent"/>
    <s v="parentty@uk.com"/>
    <x v="6"/>
    <n v="90"/>
    <n v="150"/>
    <x v="134"/>
    <n v="148650"/>
    <x v="388"/>
    <x v="4"/>
    <x v="1"/>
    <x v="7"/>
    <x v="0"/>
    <x v="1"/>
    <s v="Malt"/>
    <x v="2"/>
  </r>
  <r>
    <n v="11081"/>
    <s v="Kivell"/>
    <s v="kivel_go@yahoo.com"/>
    <x v="0"/>
    <n v="150"/>
    <n v="200"/>
    <x v="4"/>
    <n v="167200"/>
    <x v="4"/>
    <x v="0"/>
    <x v="2"/>
    <x v="8"/>
    <x v="1"/>
    <x v="0"/>
    <s v="Beer"/>
    <x v="2"/>
  </r>
  <r>
    <n v="11082"/>
    <s v="Smith"/>
    <s v="smithMan@yahoo.com"/>
    <x v="1"/>
    <n v="250"/>
    <n v="500"/>
    <x v="254"/>
    <n v="396500"/>
    <x v="629"/>
    <x v="1"/>
    <x v="3"/>
    <x v="9"/>
    <x v="2"/>
    <x v="0"/>
    <s v="Beer"/>
    <x v="3"/>
  </r>
  <r>
    <n v="11083"/>
    <s v="Parent"/>
    <s v="parentty@uk.com"/>
    <x v="2"/>
    <n v="180"/>
    <n v="450"/>
    <x v="56"/>
    <n v="373950"/>
    <x v="728"/>
    <x v="2"/>
    <x v="4"/>
    <x v="10"/>
    <x v="0"/>
    <x v="1"/>
    <s v="Beer"/>
    <x v="3"/>
  </r>
  <r>
    <n v="11084"/>
    <s v="Gill"/>
    <s v="gillhell@uk.com"/>
    <x v="3"/>
    <n v="170"/>
    <n v="250"/>
    <x v="57"/>
    <n v="211750"/>
    <x v="729"/>
    <x v="3"/>
    <x v="5"/>
    <x v="11"/>
    <x v="2"/>
    <x v="1"/>
    <s v="Beer"/>
    <x v="3"/>
  </r>
  <r>
    <n v="11085"/>
    <s v="Smith"/>
    <s v="smithMan@yahoo.com"/>
    <x v="4"/>
    <n v="150"/>
    <n v="200"/>
    <x v="81"/>
    <n v="198600"/>
    <x v="530"/>
    <x v="4"/>
    <x v="0"/>
    <x v="0"/>
    <x v="2"/>
    <x v="1"/>
    <s v="Beer"/>
    <x v="0"/>
  </r>
  <r>
    <n v="11086"/>
    <s v="Jones"/>
    <s v="jone.ai@yahoo.com"/>
    <x v="5"/>
    <n v="80"/>
    <n v="150"/>
    <x v="281"/>
    <n v="135600"/>
    <x v="730"/>
    <x v="0"/>
    <x v="1"/>
    <x v="1"/>
    <x v="0"/>
    <x v="0"/>
    <s v="Malt"/>
    <x v="0"/>
  </r>
  <r>
    <n v="11087"/>
    <s v="Sorvino"/>
    <s v="sorvi2000@gmail.com"/>
    <x v="6"/>
    <n v="90"/>
    <n v="150"/>
    <x v="50"/>
    <n v="124800"/>
    <x v="125"/>
    <x v="1"/>
    <x v="2"/>
    <x v="2"/>
    <x v="1"/>
    <x v="0"/>
    <s v="Malt"/>
    <x v="0"/>
  </r>
  <r>
    <n v="11088"/>
    <s v="Jardine"/>
    <s v="jard@gmail.com"/>
    <x v="0"/>
    <n v="150"/>
    <n v="200"/>
    <x v="104"/>
    <n v="152600"/>
    <x v="465"/>
    <x v="2"/>
    <x v="3"/>
    <x v="3"/>
    <x v="2"/>
    <x v="1"/>
    <s v="Beer"/>
    <x v="1"/>
  </r>
  <r>
    <n v="11089"/>
    <s v="Andrews"/>
    <s v="andy@gmail.com"/>
    <x v="1"/>
    <n v="250"/>
    <n v="500"/>
    <x v="158"/>
    <n v="456000"/>
    <x v="731"/>
    <x v="3"/>
    <x v="4"/>
    <x v="4"/>
    <x v="0"/>
    <x v="1"/>
    <s v="Beer"/>
    <x v="1"/>
  </r>
  <r>
    <n v="11090"/>
    <s v="Howard"/>
    <s v="howard_freeman@yahoo.com"/>
    <x v="2"/>
    <n v="180"/>
    <n v="450"/>
    <x v="267"/>
    <n v="375300"/>
    <x v="732"/>
    <x v="4"/>
    <x v="5"/>
    <x v="5"/>
    <x v="1"/>
    <x v="1"/>
    <s v="Beer"/>
    <x v="1"/>
  </r>
  <r>
    <n v="11091"/>
    <s v="Gill"/>
    <s v="gillhell@uk.com"/>
    <x v="3"/>
    <n v="170"/>
    <n v="250"/>
    <x v="103"/>
    <n v="228500"/>
    <x v="733"/>
    <x v="0"/>
    <x v="0"/>
    <x v="6"/>
    <x v="0"/>
    <x v="0"/>
    <s v="Beer"/>
    <x v="2"/>
  </r>
  <r>
    <n v="11092"/>
    <s v="Gill"/>
    <s v="gillhell@uk.com"/>
    <x v="4"/>
    <n v="150"/>
    <n v="200"/>
    <x v="136"/>
    <n v="172600"/>
    <x v="734"/>
    <x v="1"/>
    <x v="1"/>
    <x v="7"/>
    <x v="0"/>
    <x v="0"/>
    <s v="Beer"/>
    <x v="2"/>
  </r>
  <r>
    <n v="11093"/>
    <s v="Kivell"/>
    <s v="kivel_go@yahoo.com"/>
    <x v="5"/>
    <n v="80"/>
    <n v="150"/>
    <x v="41"/>
    <n v="125250"/>
    <x v="735"/>
    <x v="2"/>
    <x v="2"/>
    <x v="8"/>
    <x v="2"/>
    <x v="1"/>
    <s v="Malt"/>
    <x v="2"/>
  </r>
  <r>
    <n v="11094"/>
    <s v="Jones"/>
    <s v="jone.ai@yahoo.com"/>
    <x v="6"/>
    <n v="90"/>
    <n v="150"/>
    <x v="21"/>
    <n v="128850"/>
    <x v="535"/>
    <x v="3"/>
    <x v="3"/>
    <x v="9"/>
    <x v="0"/>
    <x v="1"/>
    <s v="Malt"/>
    <x v="3"/>
  </r>
  <r>
    <n v="11095"/>
    <s v="Morgan"/>
    <s v="morganny@gmail.com"/>
    <x v="0"/>
    <n v="150"/>
    <n v="200"/>
    <x v="126"/>
    <n v="199000"/>
    <x v="736"/>
    <x v="4"/>
    <x v="4"/>
    <x v="10"/>
    <x v="2"/>
    <x v="1"/>
    <s v="Beer"/>
    <x v="3"/>
  </r>
  <r>
    <n v="11096"/>
    <s v="Kivell"/>
    <s v="kivel_go@yahoo.com"/>
    <x v="1"/>
    <n v="250"/>
    <n v="500"/>
    <x v="126"/>
    <n v="497500"/>
    <x v="737"/>
    <x v="0"/>
    <x v="5"/>
    <x v="11"/>
    <x v="1"/>
    <x v="0"/>
    <s v="Beer"/>
    <x v="3"/>
  </r>
  <r>
    <n v="11097"/>
    <s v="Sorvino"/>
    <s v="sorvi2000@gmail.com"/>
    <x v="2"/>
    <n v="180"/>
    <n v="450"/>
    <x v="60"/>
    <n v="331200"/>
    <x v="325"/>
    <x v="1"/>
    <x v="0"/>
    <x v="0"/>
    <x v="0"/>
    <x v="0"/>
    <s v="Beer"/>
    <x v="0"/>
  </r>
  <r>
    <n v="11098"/>
    <s v="Gill"/>
    <s v="gillhell@uk.com"/>
    <x v="3"/>
    <n v="170"/>
    <n v="250"/>
    <x v="22"/>
    <n v="214250"/>
    <x v="738"/>
    <x v="2"/>
    <x v="1"/>
    <x v="1"/>
    <x v="1"/>
    <x v="1"/>
    <s v="Beer"/>
    <x v="0"/>
  </r>
  <r>
    <n v="11099"/>
    <s v="Sorvino"/>
    <s v="sorvi2000@gmail.com"/>
    <x v="4"/>
    <n v="150"/>
    <n v="200"/>
    <x v="228"/>
    <n v="187600"/>
    <x v="372"/>
    <x v="3"/>
    <x v="2"/>
    <x v="2"/>
    <x v="1"/>
    <x v="1"/>
    <s v="Beer"/>
    <x v="0"/>
  </r>
  <r>
    <n v="11100"/>
    <s v="Thompson"/>
    <s v="thomp@uk.com"/>
    <x v="5"/>
    <n v="80"/>
    <n v="150"/>
    <x v="277"/>
    <n v="117750"/>
    <x v="688"/>
    <x v="4"/>
    <x v="3"/>
    <x v="3"/>
    <x v="1"/>
    <x v="1"/>
    <s v="Malt"/>
    <x v="1"/>
  </r>
  <r>
    <n v="11101"/>
    <s v="Andrews"/>
    <s v="andy@gmail.com"/>
    <x v="6"/>
    <n v="90"/>
    <n v="150"/>
    <x v="17"/>
    <n v="136500"/>
    <x v="739"/>
    <x v="0"/>
    <x v="4"/>
    <x v="4"/>
    <x v="1"/>
    <x v="0"/>
    <s v="Malt"/>
    <x v="1"/>
  </r>
  <r>
    <n v="11102"/>
    <s v="Jardine"/>
    <s v="jard@gmail.com"/>
    <x v="0"/>
    <n v="150"/>
    <n v="200"/>
    <x v="124"/>
    <n v="167600"/>
    <x v="220"/>
    <x v="1"/>
    <x v="5"/>
    <x v="5"/>
    <x v="0"/>
    <x v="0"/>
    <s v="Beer"/>
    <x v="1"/>
  </r>
  <r>
    <n v="11103"/>
    <s v="Jardine"/>
    <s v="jard@gmail.com"/>
    <x v="1"/>
    <n v="250"/>
    <n v="500"/>
    <x v="213"/>
    <n v="471500"/>
    <x v="374"/>
    <x v="2"/>
    <x v="0"/>
    <x v="6"/>
    <x v="0"/>
    <x v="1"/>
    <s v="Beer"/>
    <x v="2"/>
  </r>
  <r>
    <n v="11104"/>
    <s v="Andrews"/>
    <s v="andy@gmail.com"/>
    <x v="2"/>
    <n v="180"/>
    <n v="450"/>
    <x v="282"/>
    <n v="346950"/>
    <x v="740"/>
    <x v="3"/>
    <x v="1"/>
    <x v="7"/>
    <x v="0"/>
    <x v="1"/>
    <s v="Beer"/>
    <x v="2"/>
  </r>
  <r>
    <n v="11105"/>
    <s v="Jardine"/>
    <s v="jard@gmail.com"/>
    <x v="3"/>
    <n v="170"/>
    <n v="250"/>
    <x v="117"/>
    <n v="220250"/>
    <x v="168"/>
    <x v="4"/>
    <x v="2"/>
    <x v="8"/>
    <x v="2"/>
    <x v="1"/>
    <s v="Beer"/>
    <x v="2"/>
  </r>
  <r>
    <n v="11106"/>
    <s v="Gill"/>
    <s v="gillhell@uk.com"/>
    <x v="4"/>
    <n v="150"/>
    <n v="200"/>
    <x v="191"/>
    <n v="194600"/>
    <x v="675"/>
    <x v="0"/>
    <x v="3"/>
    <x v="9"/>
    <x v="2"/>
    <x v="0"/>
    <s v="Beer"/>
    <x v="3"/>
  </r>
  <r>
    <n v="11107"/>
    <s v="Sorvino"/>
    <s v="sorvi2000@gmail.com"/>
    <x v="5"/>
    <n v="80"/>
    <n v="150"/>
    <x v="150"/>
    <n v="117900"/>
    <x v="741"/>
    <x v="1"/>
    <x v="4"/>
    <x v="10"/>
    <x v="2"/>
    <x v="0"/>
    <s v="Malt"/>
    <x v="3"/>
  </r>
  <r>
    <n v="11108"/>
    <s v="Jones"/>
    <s v="jone.ai@yahoo.com"/>
    <x v="6"/>
    <n v="90"/>
    <n v="150"/>
    <x v="281"/>
    <n v="135600"/>
    <x v="607"/>
    <x v="2"/>
    <x v="5"/>
    <x v="11"/>
    <x v="1"/>
    <x v="1"/>
    <s v="Malt"/>
    <x v="3"/>
  </r>
  <r>
    <n v="11109"/>
    <s v="Andrews"/>
    <s v="andy@gmail.com"/>
    <x v="0"/>
    <n v="150"/>
    <n v="200"/>
    <x v="158"/>
    <n v="182400"/>
    <x v="198"/>
    <x v="3"/>
    <x v="0"/>
    <x v="0"/>
    <x v="1"/>
    <x v="1"/>
    <s v="Beer"/>
    <x v="0"/>
  </r>
  <r>
    <n v="11110"/>
    <s v="Jardine"/>
    <s v="jard@gmail.com"/>
    <x v="1"/>
    <n v="250"/>
    <n v="500"/>
    <x v="237"/>
    <n v="367000"/>
    <x v="742"/>
    <x v="4"/>
    <x v="1"/>
    <x v="1"/>
    <x v="1"/>
    <x v="1"/>
    <s v="Beer"/>
    <x v="0"/>
  </r>
  <r>
    <n v="11111"/>
    <s v="Thompson"/>
    <s v="thomp@uk.com"/>
    <x v="2"/>
    <n v="180"/>
    <n v="450"/>
    <x v="245"/>
    <n v="439650"/>
    <x v="678"/>
    <x v="0"/>
    <x v="2"/>
    <x v="2"/>
    <x v="2"/>
    <x v="0"/>
    <s v="Beer"/>
    <x v="0"/>
  </r>
  <r>
    <n v="11112"/>
    <s v="Jones"/>
    <s v="jone.ai@yahoo.com"/>
    <x v="3"/>
    <n v="170"/>
    <n v="250"/>
    <x v="181"/>
    <n v="177750"/>
    <x v="253"/>
    <x v="1"/>
    <x v="3"/>
    <x v="3"/>
    <x v="2"/>
    <x v="0"/>
    <s v="Beer"/>
    <x v="1"/>
  </r>
  <r>
    <n v="11113"/>
    <s v="Morgan"/>
    <s v="morganny@gmail.com"/>
    <x v="4"/>
    <n v="150"/>
    <n v="200"/>
    <x v="68"/>
    <n v="145400"/>
    <x v="743"/>
    <x v="2"/>
    <x v="4"/>
    <x v="4"/>
    <x v="2"/>
    <x v="1"/>
    <s v="Beer"/>
    <x v="1"/>
  </r>
  <r>
    <n v="11114"/>
    <s v="Howard"/>
    <s v="howard_freeman@yahoo.com"/>
    <x v="5"/>
    <n v="80"/>
    <n v="150"/>
    <x v="269"/>
    <n v="109800"/>
    <x v="345"/>
    <x v="3"/>
    <x v="5"/>
    <x v="5"/>
    <x v="2"/>
    <x v="1"/>
    <s v="Malt"/>
    <x v="1"/>
  </r>
  <r>
    <n v="11115"/>
    <s v="Parent"/>
    <s v="parentty@uk.com"/>
    <x v="6"/>
    <n v="90"/>
    <n v="150"/>
    <x v="258"/>
    <n v="136200"/>
    <x v="744"/>
    <x v="4"/>
    <x v="0"/>
    <x v="6"/>
    <x v="1"/>
    <x v="1"/>
    <s v="Malt"/>
    <x v="2"/>
  </r>
  <r>
    <n v="11116"/>
    <s v="Jones"/>
    <s v="jone.ai@yahoo.com"/>
    <x v="0"/>
    <n v="150"/>
    <n v="200"/>
    <x v="280"/>
    <n v="153400"/>
    <x v="745"/>
    <x v="0"/>
    <x v="1"/>
    <x v="7"/>
    <x v="2"/>
    <x v="0"/>
    <s v="Beer"/>
    <x v="2"/>
  </r>
  <r>
    <n v="11117"/>
    <s v="Smith"/>
    <s v="smithMan@yahoo.com"/>
    <x v="1"/>
    <n v="250"/>
    <n v="500"/>
    <x v="57"/>
    <n v="423500"/>
    <x v="746"/>
    <x v="1"/>
    <x v="2"/>
    <x v="8"/>
    <x v="0"/>
    <x v="0"/>
    <s v="Beer"/>
    <x v="2"/>
  </r>
  <r>
    <n v="11118"/>
    <s v="Jones"/>
    <s v="jone.ai@yahoo.com"/>
    <x v="2"/>
    <n v="180"/>
    <n v="450"/>
    <x v="113"/>
    <n v="435600"/>
    <x v="747"/>
    <x v="2"/>
    <x v="3"/>
    <x v="9"/>
    <x v="0"/>
    <x v="1"/>
    <s v="Beer"/>
    <x v="3"/>
  </r>
  <r>
    <n v="11119"/>
    <s v="Morgan"/>
    <s v="morganny@gmail.com"/>
    <x v="3"/>
    <n v="170"/>
    <n v="250"/>
    <x v="50"/>
    <n v="208000"/>
    <x v="50"/>
    <x v="3"/>
    <x v="4"/>
    <x v="10"/>
    <x v="1"/>
    <x v="1"/>
    <s v="Beer"/>
    <x v="3"/>
  </r>
  <r>
    <n v="11120"/>
    <s v="Jones"/>
    <s v="jone.ai@yahoo.com"/>
    <x v="4"/>
    <n v="150"/>
    <n v="200"/>
    <x v="104"/>
    <n v="152600"/>
    <x v="465"/>
    <x v="4"/>
    <x v="5"/>
    <x v="11"/>
    <x v="1"/>
    <x v="1"/>
    <s v="Beer"/>
    <x v="3"/>
  </r>
  <r>
    <n v="11121"/>
    <s v="Parent"/>
    <s v="parentty@uk.com"/>
    <x v="5"/>
    <n v="80"/>
    <n v="150"/>
    <x v="215"/>
    <n v="126300"/>
    <x v="748"/>
    <x v="0"/>
    <x v="0"/>
    <x v="0"/>
    <x v="2"/>
    <x v="0"/>
    <s v="Malt"/>
    <x v="0"/>
  </r>
  <r>
    <n v="11122"/>
    <s v="Kivell"/>
    <s v="kivel_go@yahoo.com"/>
    <x v="6"/>
    <n v="90"/>
    <n v="150"/>
    <x v="97"/>
    <n v="127200"/>
    <x v="749"/>
    <x v="1"/>
    <x v="1"/>
    <x v="1"/>
    <x v="1"/>
    <x v="0"/>
    <s v="Malt"/>
    <x v="0"/>
  </r>
  <r>
    <n v="11123"/>
    <s v="Smith"/>
    <s v="smithMan@yahoo.com"/>
    <x v="0"/>
    <n v="150"/>
    <n v="200"/>
    <x v="272"/>
    <n v="197600"/>
    <x v="750"/>
    <x v="2"/>
    <x v="2"/>
    <x v="2"/>
    <x v="1"/>
    <x v="1"/>
    <s v="Beer"/>
    <x v="0"/>
  </r>
  <r>
    <n v="11124"/>
    <s v="Parent"/>
    <s v="parentty@uk.com"/>
    <x v="1"/>
    <n v="250"/>
    <n v="500"/>
    <x v="296"/>
    <n v="438000"/>
    <x v="751"/>
    <x v="3"/>
    <x v="3"/>
    <x v="3"/>
    <x v="1"/>
    <x v="1"/>
    <s v="Beer"/>
    <x v="1"/>
  </r>
  <r>
    <n v="11125"/>
    <s v="Gill"/>
    <s v="gillhell@uk.com"/>
    <x v="2"/>
    <n v="180"/>
    <n v="450"/>
    <x v="230"/>
    <n v="405000"/>
    <x v="170"/>
    <x v="4"/>
    <x v="4"/>
    <x v="4"/>
    <x v="0"/>
    <x v="1"/>
    <s v="Beer"/>
    <x v="1"/>
  </r>
  <r>
    <n v="11126"/>
    <s v="Smith"/>
    <s v="smithMan@yahoo.com"/>
    <x v="3"/>
    <n v="170"/>
    <n v="250"/>
    <x v="228"/>
    <n v="234500"/>
    <x v="555"/>
    <x v="0"/>
    <x v="5"/>
    <x v="5"/>
    <x v="0"/>
    <x v="0"/>
    <s v="Beer"/>
    <x v="1"/>
  </r>
  <r>
    <n v="11127"/>
    <s v="Jones"/>
    <s v="jone.ai@yahoo.com"/>
    <x v="4"/>
    <n v="150"/>
    <n v="200"/>
    <x v="12"/>
    <n v="146200"/>
    <x v="332"/>
    <x v="1"/>
    <x v="0"/>
    <x v="6"/>
    <x v="1"/>
    <x v="0"/>
    <s v="Beer"/>
    <x v="2"/>
  </r>
  <r>
    <n v="11128"/>
    <s v="Sorvino"/>
    <s v="sorvi2000@gmail.com"/>
    <x v="5"/>
    <n v="80"/>
    <n v="150"/>
    <x v="40"/>
    <n v="116850"/>
    <x v="752"/>
    <x v="2"/>
    <x v="1"/>
    <x v="7"/>
    <x v="2"/>
    <x v="1"/>
    <s v="Malt"/>
    <x v="2"/>
  </r>
  <r>
    <n v="11129"/>
    <s v="Jardine"/>
    <s v="jard@gmail.com"/>
    <x v="6"/>
    <n v="90"/>
    <n v="150"/>
    <x v="230"/>
    <n v="135000"/>
    <x v="753"/>
    <x v="3"/>
    <x v="2"/>
    <x v="8"/>
    <x v="0"/>
    <x v="1"/>
    <s v="Malt"/>
    <x v="2"/>
  </r>
  <r>
    <n v="11130"/>
    <s v="Andrews"/>
    <s v="andy@gmail.com"/>
    <x v="0"/>
    <n v="150"/>
    <n v="200"/>
    <x v="257"/>
    <n v="190600"/>
    <x v="754"/>
    <x v="4"/>
    <x v="3"/>
    <x v="9"/>
    <x v="2"/>
    <x v="1"/>
    <s v="Beer"/>
    <x v="3"/>
  </r>
  <r>
    <n v="11131"/>
    <s v="Howard"/>
    <s v="howard_freeman@yahoo.com"/>
    <x v="1"/>
    <n v="250"/>
    <n v="500"/>
    <x v="8"/>
    <n v="350000"/>
    <x v="8"/>
    <x v="0"/>
    <x v="4"/>
    <x v="10"/>
    <x v="0"/>
    <x v="0"/>
    <s v="Beer"/>
    <x v="3"/>
  </r>
  <r>
    <n v="11132"/>
    <s v="Gill"/>
    <s v="gillhell@uk.com"/>
    <x v="2"/>
    <n v="180"/>
    <n v="450"/>
    <x v="155"/>
    <n v="324450"/>
    <x v="755"/>
    <x v="1"/>
    <x v="5"/>
    <x v="11"/>
    <x v="1"/>
    <x v="0"/>
    <s v="Beer"/>
    <x v="3"/>
  </r>
  <r>
    <n v="11133"/>
    <s v="Gill"/>
    <s v="gillhell@uk.com"/>
    <x v="3"/>
    <n v="170"/>
    <n v="250"/>
    <x v="143"/>
    <n v="243000"/>
    <x v="232"/>
    <x v="2"/>
    <x v="0"/>
    <x v="0"/>
    <x v="0"/>
    <x v="1"/>
    <s v="Beer"/>
    <x v="0"/>
  </r>
  <r>
    <n v="11134"/>
    <s v="Kivell"/>
    <s v="kivel_go@yahoo.com"/>
    <x v="4"/>
    <n v="150"/>
    <n v="200"/>
    <x v="20"/>
    <n v="172000"/>
    <x v="20"/>
    <x v="3"/>
    <x v="1"/>
    <x v="1"/>
    <x v="1"/>
    <x v="1"/>
    <s v="Beer"/>
    <x v="0"/>
  </r>
  <r>
    <n v="11135"/>
    <s v="Jones"/>
    <s v="jone.ai@yahoo.com"/>
    <x v="5"/>
    <n v="80"/>
    <n v="150"/>
    <x v="248"/>
    <n v="121650"/>
    <x v="756"/>
    <x v="4"/>
    <x v="2"/>
    <x v="2"/>
    <x v="0"/>
    <x v="1"/>
    <s v="Malt"/>
    <x v="0"/>
  </r>
  <r>
    <n v="11136"/>
    <s v="Morgan"/>
    <s v="morganny@gmail.com"/>
    <x v="6"/>
    <n v="90"/>
    <n v="150"/>
    <x v="125"/>
    <n v="144450"/>
    <x v="757"/>
    <x v="0"/>
    <x v="3"/>
    <x v="3"/>
    <x v="0"/>
    <x v="0"/>
    <s v="Malt"/>
    <x v="1"/>
  </r>
  <r>
    <n v="11137"/>
    <s v="Kivell"/>
    <s v="kivel_go@yahoo.com"/>
    <x v="0"/>
    <n v="150"/>
    <n v="200"/>
    <x v="70"/>
    <n v="194800"/>
    <x v="72"/>
    <x v="1"/>
    <x v="4"/>
    <x v="4"/>
    <x v="2"/>
    <x v="0"/>
    <s v="Beer"/>
    <x v="1"/>
  </r>
  <r>
    <n v="11138"/>
    <s v="Sorvino"/>
    <s v="sorvi2000@gmail.com"/>
    <x v="1"/>
    <n v="250"/>
    <n v="500"/>
    <x v="285"/>
    <n v="419500"/>
    <x v="758"/>
    <x v="2"/>
    <x v="5"/>
    <x v="5"/>
    <x v="0"/>
    <x v="1"/>
    <s v="Beer"/>
    <x v="1"/>
  </r>
  <r>
    <n v="11139"/>
    <s v="Gill"/>
    <s v="gillhell@uk.com"/>
    <x v="2"/>
    <n v="180"/>
    <n v="450"/>
    <x v="175"/>
    <n v="408150"/>
    <x v="360"/>
    <x v="3"/>
    <x v="0"/>
    <x v="6"/>
    <x v="2"/>
    <x v="1"/>
    <s v="Beer"/>
    <x v="2"/>
  </r>
  <r>
    <n v="11140"/>
    <s v="Sorvino"/>
    <s v="sorvi2000@gmail.com"/>
    <x v="3"/>
    <n v="170"/>
    <n v="250"/>
    <x v="186"/>
    <n v="237250"/>
    <x v="259"/>
    <x v="4"/>
    <x v="1"/>
    <x v="7"/>
    <x v="2"/>
    <x v="1"/>
    <s v="Beer"/>
    <x v="2"/>
  </r>
  <r>
    <n v="11141"/>
    <s v="Thompson"/>
    <s v="thomp@uk.com"/>
    <x v="4"/>
    <n v="150"/>
    <n v="200"/>
    <x v="93"/>
    <n v="180600"/>
    <x v="617"/>
    <x v="0"/>
    <x v="2"/>
    <x v="8"/>
    <x v="0"/>
    <x v="0"/>
    <s v="Beer"/>
    <x v="2"/>
  </r>
  <r>
    <n v="11142"/>
    <s v="Andrews"/>
    <s v="andy@gmail.com"/>
    <x v="5"/>
    <n v="80"/>
    <n v="150"/>
    <x v="234"/>
    <n v="111000"/>
    <x v="759"/>
    <x v="1"/>
    <x v="3"/>
    <x v="9"/>
    <x v="1"/>
    <x v="0"/>
    <s v="Malt"/>
    <x v="3"/>
  </r>
  <r>
    <n v="11143"/>
    <s v="Jardine"/>
    <s v="jard@gmail.com"/>
    <x v="6"/>
    <n v="90"/>
    <n v="150"/>
    <x v="53"/>
    <n v="144300"/>
    <x v="53"/>
    <x v="2"/>
    <x v="4"/>
    <x v="10"/>
    <x v="2"/>
    <x v="1"/>
    <s v="Malt"/>
    <x v="3"/>
  </r>
  <r>
    <n v="11144"/>
    <s v="Jardine"/>
    <s v="jard@gmail.com"/>
    <x v="0"/>
    <n v="150"/>
    <n v="200"/>
    <x v="78"/>
    <n v="178400"/>
    <x v="760"/>
    <x v="3"/>
    <x v="5"/>
    <x v="11"/>
    <x v="2"/>
    <x v="1"/>
    <s v="Beer"/>
    <x v="3"/>
  </r>
  <r>
    <n v="11145"/>
    <s v="Andrews"/>
    <s v="andy@gmail.com"/>
    <x v="1"/>
    <n v="250"/>
    <n v="500"/>
    <x v="177"/>
    <n v="408000"/>
    <x v="536"/>
    <x v="4"/>
    <x v="0"/>
    <x v="0"/>
    <x v="0"/>
    <x v="1"/>
    <s v="Beer"/>
    <x v="0"/>
  </r>
  <r>
    <n v="11146"/>
    <s v="Jones"/>
    <s v="jone.ai@yahoo.com"/>
    <x v="2"/>
    <n v="180"/>
    <n v="450"/>
    <x v="14"/>
    <n v="422550"/>
    <x v="416"/>
    <x v="0"/>
    <x v="1"/>
    <x v="1"/>
    <x v="2"/>
    <x v="0"/>
    <s v="Beer"/>
    <x v="0"/>
  </r>
  <r>
    <n v="11147"/>
    <s v="Morgan"/>
    <s v="morganny@gmail.com"/>
    <x v="3"/>
    <n v="170"/>
    <n v="250"/>
    <x v="297"/>
    <n v="233750"/>
    <x v="761"/>
    <x v="1"/>
    <x v="2"/>
    <x v="2"/>
    <x v="0"/>
    <x v="0"/>
    <s v="Bee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84FFCA-6474-48DE-AA69-87664FF3733A}" name="PivotTable4"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Countries">
  <location ref="F10:G15" firstHeaderRow="1" firstDataRow="1" firstDataCol="1" rowPageCount="1" colPageCount="1"/>
  <pivotFields count="16">
    <pivotField showAll="0"/>
    <pivotField showAll="0"/>
    <pivotField showAll="0"/>
    <pivotField showAll="0"/>
    <pivotField numFmtId="164" showAll="0"/>
    <pivotField numFmtId="164" showAll="0"/>
    <pivotField numFmtId="2" showAll="0"/>
    <pivotField numFmtId="164" showAll="0"/>
    <pivotField dataField="1" numFmtId="164" showAll="0"/>
    <pivotField axis="axisRow" showAll="0">
      <items count="6">
        <item x="3"/>
        <item x="0"/>
        <item x="1"/>
        <item x="4"/>
        <item x="2"/>
        <item t="default"/>
      </items>
    </pivotField>
    <pivotField showAll="0"/>
    <pivotField showAll="0"/>
    <pivotField axis="axisPage" multipleItemSelectionAllowed="1" showAll="0">
      <items count="4">
        <item x="2"/>
        <item x="1"/>
        <item x="0"/>
        <item t="default"/>
      </items>
    </pivotField>
    <pivotField showAll="0"/>
    <pivotField showAll="0"/>
    <pivotField showAll="0"/>
  </pivotFields>
  <rowFields count="1">
    <field x="9"/>
  </rowFields>
  <rowItems count="5">
    <i>
      <x/>
    </i>
    <i>
      <x v="1"/>
    </i>
    <i>
      <x v="2"/>
    </i>
    <i>
      <x v="3"/>
    </i>
    <i>
      <x v="4"/>
    </i>
  </rowItems>
  <colItems count="1">
    <i/>
  </colItems>
  <pageFields count="1">
    <pageField fld="12" hier="-1"/>
  </pageFields>
  <dataFields count="1">
    <dataField name="Total Profit" fld="8" baseField="9"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8203A2-D20A-4758-8701-CE9FF62A0403}" name="PivotTable1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Brands">
  <location ref="A85:B93" firstHeaderRow="1" firstDataRow="1" firstDataCol="1" rowPageCount="2" colPageCount="1"/>
  <pivotFields count="16">
    <pivotField showAll="0"/>
    <pivotField showAll="0"/>
    <pivotField showAll="0"/>
    <pivotField axis="axisRow" showAll="0" sortType="descending">
      <items count="8">
        <item x="5"/>
        <item x="1"/>
        <item x="2"/>
        <item x="3"/>
        <item x="6"/>
        <item x="4"/>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2" showAll="0"/>
    <pivotField numFmtId="164" showAll="0"/>
    <pivotField numFmtId="164" showAll="0"/>
    <pivotField axis="axisPage" multipleItemSelectionAllowed="1" showAll="0">
      <items count="6">
        <item h="1" x="3"/>
        <item h="1" x="0"/>
        <item x="1"/>
        <item h="1" x="4"/>
        <item h="1" x="2"/>
        <item t="default"/>
      </items>
    </pivotField>
    <pivotField axis="axisPage" multipleItemSelectionAllowed="1" showAll="0">
      <items count="7">
        <item h="1" x="5"/>
        <item h="1" x="4"/>
        <item h="1" x="3"/>
        <item h="1" x="0"/>
        <item x="2"/>
        <item h="1" x="1"/>
        <item t="default"/>
      </items>
    </pivotField>
    <pivotField showAll="0"/>
    <pivotField showAll="0"/>
    <pivotField showAll="0"/>
    <pivotField showAll="0"/>
    <pivotField showAll="0"/>
  </pivotFields>
  <rowFields count="1">
    <field x="3"/>
  </rowFields>
  <rowItems count="8">
    <i>
      <x v="3"/>
    </i>
    <i>
      <x v="6"/>
    </i>
    <i>
      <x v="5"/>
    </i>
    <i>
      <x v="1"/>
    </i>
    <i>
      <x v="2"/>
    </i>
    <i>
      <x/>
    </i>
    <i>
      <x v="4"/>
    </i>
    <i t="grand">
      <x/>
    </i>
  </rowItems>
  <colItems count="1">
    <i/>
  </colItems>
  <pageFields count="2">
    <pageField fld="10" hier="-1"/>
    <pageField fld="9" hier="-1"/>
  </pageFields>
  <dataFields count="1">
    <dataField name="Total Quantity" fld="6" baseField="3"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45C50A-58F5-4654-9B9B-E591DAE3C6F7}" name="PivotTable16"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Territory" colHeaderCaption="Years">
  <location ref="A7:B9" firstHeaderRow="1" firstDataRow="1" firstDataCol="1" rowPageCount="1" colPageCount="1"/>
  <pivotFields count="16">
    <pivotField showAll="0"/>
    <pivotField showAll="0"/>
    <pivotField showAll="0"/>
    <pivotField showAll="0"/>
    <pivotField numFmtId="164" showAll="0"/>
    <pivotField numFmtId="164" showAll="0"/>
    <pivotField numFmtId="2" showAll="0"/>
    <pivotField numFmtId="164" showAll="0"/>
    <pivotField dataField="1" numFmtId="164" showAll="0"/>
    <pivotField showAll="0"/>
    <pivotField showAll="0"/>
    <pivotField showAll="0"/>
    <pivotField axis="axisPage" multipleItemSelectionAllowed="1" showAll="0">
      <items count="4">
        <item x="2"/>
        <item x="1"/>
        <item x="0"/>
        <item t="default"/>
      </items>
    </pivotField>
    <pivotField axis="axisRow" showAll="0">
      <items count="3">
        <item x="0"/>
        <item x="1"/>
        <item t="default"/>
      </items>
    </pivotField>
    <pivotField showAll="0"/>
    <pivotField showAll="0"/>
  </pivotFields>
  <rowFields count="1">
    <field x="13"/>
  </rowFields>
  <rowItems count="2">
    <i>
      <x/>
    </i>
    <i>
      <x v="1"/>
    </i>
  </rowItems>
  <colItems count="1">
    <i/>
  </colItems>
  <pageFields count="1">
    <pageField fld="12" hier="-1"/>
  </pageFields>
  <dataFields count="1">
    <dataField name="Total Profit" fld="8" baseField="13"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7D0687-71A9-4B6E-87B8-8E5D9F13C890}" name="PivotTable17" cacheId="2"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rowHeaderCaption="Brands">
  <location ref="K68:N76" firstHeaderRow="0" firstDataRow="1" firstDataCol="1" rowPageCount="1" colPageCount="1"/>
  <pivotFields count="16">
    <pivotField showAll="0"/>
    <pivotField showAll="0"/>
    <pivotField showAll="0"/>
    <pivotField axis="axisRow" showAll="0">
      <items count="8">
        <item x="0"/>
        <item x="4"/>
        <item x="6"/>
        <item x="3"/>
        <item x="2"/>
        <item x="1"/>
        <item x="5"/>
        <item t="default"/>
      </items>
    </pivotField>
    <pivotField numFmtId="164" showAll="0"/>
    <pivotField numFmtId="164" showAll="0"/>
    <pivotField dataField="1" numFmtId="2" showAll="0"/>
    <pivotField dataField="1" numFmtId="164" showAll="0"/>
    <pivotField dataField="1" numFmtId="164" showAll="0">
      <items count="763">
        <item x="328"/>
        <item x="583"/>
        <item x="680"/>
        <item x="236"/>
        <item x="473"/>
        <item x="223"/>
        <item x="386"/>
        <item x="431"/>
        <item x="205"/>
        <item x="717"/>
        <item x="65"/>
        <item x="444"/>
        <item x="698"/>
        <item x="254"/>
        <item x="401"/>
        <item x="260"/>
        <item x="0"/>
        <item x="743"/>
        <item x="651"/>
        <item x="146"/>
        <item x="356"/>
        <item x="332"/>
        <item x="546"/>
        <item x="710"/>
        <item x="61"/>
        <item x="461"/>
        <item x="523"/>
        <item x="82"/>
        <item x="637"/>
        <item x="175"/>
        <item x="727"/>
        <item x="399"/>
        <item x="165"/>
        <item x="101"/>
        <item x="192"/>
        <item x="450"/>
        <item x="721"/>
        <item x="291"/>
        <item x="284"/>
        <item x="465"/>
        <item x="186"/>
        <item x="51"/>
        <item x="745"/>
        <item x="665"/>
        <item x="687"/>
        <item x="611"/>
        <item x="79"/>
        <item x="509"/>
        <item x="287"/>
        <item x="556"/>
        <item x="104"/>
        <item x="40"/>
        <item x="270"/>
        <item x="181"/>
        <item x="581"/>
        <item x="492"/>
        <item x="294"/>
        <item x="130"/>
        <item x="139"/>
        <item x="689"/>
        <item x="344"/>
        <item x="427"/>
        <item x="598"/>
        <item x="701"/>
        <item x="189"/>
        <item x="368"/>
        <item x="119"/>
        <item x="7"/>
        <item x="494"/>
        <item x="158"/>
        <item x="239"/>
        <item x="94"/>
        <item x="625"/>
        <item x="209"/>
        <item x="86"/>
        <item x="552"/>
        <item x="438"/>
        <item x="615"/>
        <item x="393"/>
        <item x="725"/>
        <item x="302"/>
        <item x="305"/>
        <item x="527"/>
        <item x="632"/>
        <item x="4"/>
        <item x="220"/>
        <item x="126"/>
        <item x="605"/>
        <item x="433"/>
        <item x="533"/>
        <item x="256"/>
        <item x="382"/>
        <item x="47"/>
        <item x="317"/>
        <item x="58"/>
        <item x="623"/>
        <item x="648"/>
        <item x="538"/>
        <item x="693"/>
        <item x="111"/>
        <item x="559"/>
        <item x="215"/>
        <item x="247"/>
        <item x="275"/>
        <item x="286"/>
        <item x="20"/>
        <item x="327"/>
        <item x="403"/>
        <item x="734"/>
        <item x="562"/>
        <item x="251"/>
        <item x="191"/>
        <item x="497"/>
        <item x="323"/>
        <item x="412"/>
        <item x="229"/>
        <item x="34"/>
        <item x="716"/>
        <item x="211"/>
        <item x="252"/>
        <item x="713"/>
        <item x="74"/>
        <item x="27"/>
        <item x="318"/>
        <item x="132"/>
        <item x="217"/>
        <item x="153"/>
        <item x="656"/>
        <item x="297"/>
        <item x="309"/>
        <item x="760"/>
        <item x="240"/>
        <item x="568"/>
        <item x="334"/>
        <item x="502"/>
        <item x="389"/>
        <item x="123"/>
        <item x="11"/>
        <item x="617"/>
        <item x="138"/>
        <item x="696"/>
        <item x="454"/>
        <item x="573"/>
        <item x="202"/>
        <item x="504"/>
        <item x="198"/>
        <item x="312"/>
        <item x="298"/>
        <item x="116"/>
        <item x="174"/>
        <item x="152"/>
        <item x="112"/>
        <item x="421"/>
        <item x="640"/>
        <item x="54"/>
        <item x="60"/>
        <item x="434"/>
        <item x="612"/>
        <item x="136"/>
        <item x="634"/>
        <item x="346"/>
        <item x="667"/>
        <item x="448"/>
        <item x="263"/>
        <item x="352"/>
        <item x="519"/>
        <item x="592"/>
        <item x="179"/>
        <item x="145"/>
        <item x="458"/>
        <item x="46"/>
        <item x="372"/>
        <item x="14"/>
        <item x="493"/>
        <item x="143"/>
        <item x="582"/>
        <item x="480"/>
        <item x="280"/>
        <item x="150"/>
        <item x="367"/>
        <item x="75"/>
        <item x="621"/>
        <item x="68"/>
        <item x="664"/>
        <item x="378"/>
        <item x="515"/>
        <item x="44"/>
        <item x="414"/>
        <item x="754"/>
        <item x="670"/>
        <item x="660"/>
        <item x="636"/>
        <item x="311"/>
        <item x="109"/>
        <item x="267"/>
        <item x="92"/>
        <item x="162"/>
        <item x="246"/>
        <item x="257"/>
        <item x="551"/>
        <item x="513"/>
        <item x="591"/>
        <item x="315"/>
        <item x="520"/>
        <item x="418"/>
        <item x="675"/>
        <item x="485"/>
        <item x="72"/>
        <item x="529"/>
        <item x="571"/>
        <item x="476"/>
        <item x="549"/>
        <item x="304"/>
        <item x="89"/>
        <item x="695"/>
        <item x="196"/>
        <item x="395"/>
        <item x="350"/>
        <item x="233"/>
        <item x="576"/>
        <item x="203"/>
        <item x="599"/>
        <item x="460"/>
        <item x="750"/>
        <item x="204"/>
        <item x="244"/>
        <item x="98"/>
        <item x="281"/>
        <item x="169"/>
        <item x="340"/>
        <item x="39"/>
        <item x="402"/>
        <item x="530"/>
        <item x="335"/>
        <item x="736"/>
        <item x="303"/>
        <item x="18"/>
        <item x="387"/>
        <item x="228"/>
        <item x="437"/>
        <item x="73"/>
        <item x="125"/>
        <item x="24"/>
        <item x="31"/>
        <item x="261"/>
        <item x="373"/>
        <item x="13"/>
        <item x="52"/>
        <item x="749"/>
        <item x="705"/>
        <item x="514"/>
        <item x="708"/>
        <item x="12"/>
        <item x="345"/>
        <item x="443"/>
        <item x="93"/>
        <item x="398"/>
        <item x="310"/>
        <item x="535"/>
        <item x="544"/>
        <item x="293"/>
        <item x="759"/>
        <item x="642"/>
        <item x="357"/>
        <item x="137"/>
        <item x="407"/>
        <item x="602"/>
        <item x="274"/>
        <item x="676"/>
        <item x="534"/>
        <item x="106"/>
        <item x="164"/>
        <item x="503"/>
        <item x="550"/>
        <item x="558"/>
        <item x="366"/>
        <item x="704"/>
        <item x="567"/>
        <item x="210"/>
        <item x="33"/>
        <item x="117"/>
        <item x="475"/>
        <item x="81"/>
        <item x="292"/>
        <item x="66"/>
        <item x="110"/>
        <item x="19"/>
        <item x="362"/>
        <item x="753"/>
        <item x="279"/>
        <item x="88"/>
        <item x="100"/>
        <item x="607"/>
        <item x="499"/>
        <item x="589"/>
        <item x="235"/>
        <item x="285"/>
        <item x="744"/>
        <item x="752"/>
        <item x="739"/>
        <item x="227"/>
        <item x="268"/>
        <item x="688"/>
        <item x="741"/>
        <item x="650"/>
        <item x="655"/>
        <item x="26"/>
        <item x="322"/>
        <item x="432"/>
        <item x="714"/>
        <item x="466"/>
        <item x="724"/>
        <item x="616"/>
        <item x="663"/>
        <item x="5"/>
        <item x="262"/>
        <item x="543"/>
        <item x="628"/>
        <item x="80"/>
        <item x="78"/>
        <item x="641"/>
        <item x="537"/>
        <item x="163"/>
        <item x="467"/>
        <item x="697"/>
        <item x="32"/>
        <item x="614"/>
        <item x="377"/>
        <item x="67"/>
        <item x="709"/>
        <item x="208"/>
        <item x="408"/>
        <item x="419"/>
        <item x="394"/>
        <item x="157"/>
        <item x="756"/>
        <item x="43"/>
        <item x="253"/>
        <item x="361"/>
        <item x="222"/>
        <item x="118"/>
        <item x="420"/>
        <item x="23"/>
        <item x="6"/>
        <item x="659"/>
        <item x="351"/>
        <item x="672"/>
        <item x="586"/>
        <item x="103"/>
        <item x="679"/>
        <item x="53"/>
        <item x="757"/>
        <item x="234"/>
        <item x="216"/>
        <item x="269"/>
        <item x="426"/>
        <item x="557"/>
        <item x="99"/>
        <item x="723"/>
        <item x="149"/>
        <item x="735"/>
        <item x="185"/>
        <item x="540"/>
        <item x="184"/>
        <item x="498"/>
        <item x="700"/>
        <item x="195"/>
        <item x="358"/>
        <item x="748"/>
        <item x="565"/>
        <item x="226"/>
        <item x="545"/>
        <item x="424"/>
        <item x="105"/>
        <item x="684"/>
        <item x="491"/>
        <item x="388"/>
        <item x="197"/>
        <item x="131"/>
        <item x="339"/>
        <item x="653"/>
        <item x="413"/>
        <item x="161"/>
        <item x="343"/>
        <item x="221"/>
        <item x="588"/>
        <item x="694"/>
        <item x="255"/>
        <item x="507"/>
        <item x="296"/>
        <item x="606"/>
        <item x="580"/>
        <item x="190"/>
        <item x="87"/>
        <item x="526"/>
        <item x="417"/>
        <item x="459"/>
        <item x="3"/>
        <item x="64"/>
        <item x="316"/>
        <item x="578"/>
        <item x="381"/>
        <item x="283"/>
        <item x="178"/>
        <item x="135"/>
        <item x="376"/>
        <item x="45"/>
        <item x="201"/>
        <item x="595"/>
        <item x="38"/>
        <item x="496"/>
        <item x="699"/>
        <item x="37"/>
        <item x="156"/>
        <item x="481"/>
        <item x="278"/>
        <item x="566"/>
        <item x="730"/>
        <item x="712"/>
        <item x="250"/>
        <item x="333"/>
        <item x="508"/>
        <item x="442"/>
        <item x="575"/>
        <item x="331"/>
        <item x="671"/>
        <item x="622"/>
        <item x="489"/>
        <item x="455"/>
        <item x="144"/>
        <item x="59"/>
        <item x="124"/>
        <item x="385"/>
        <item x="649"/>
        <item x="541"/>
        <item x="572"/>
        <item x="484"/>
        <item x="449"/>
        <item x="30"/>
        <item x="479"/>
        <item x="97"/>
        <item x="173"/>
        <item x="654"/>
        <item x="57"/>
        <item x="50"/>
        <item x="71"/>
        <item x="532"/>
        <item x="371"/>
        <item x="355"/>
        <item x="666"/>
        <item x="188"/>
        <item x="326"/>
        <item x="474"/>
        <item x="457"/>
        <item x="729"/>
        <item x="517"/>
        <item x="214"/>
        <item x="425"/>
        <item x="631"/>
        <item x="639"/>
        <item x="738"/>
        <item x="720"/>
        <item x="151"/>
        <item x="601"/>
        <item x="25"/>
        <item x="441"/>
        <item x="180"/>
        <item x="10"/>
        <item x="518"/>
        <item x="115"/>
        <item x="528"/>
        <item x="245"/>
        <item x="635"/>
        <item x="464"/>
        <item x="512"/>
        <item x="238"/>
        <item x="168"/>
        <item x="365"/>
        <item x="674"/>
        <item x="447"/>
        <item x="630"/>
        <item x="321"/>
        <item x="453"/>
        <item x="522"/>
        <item x="620"/>
        <item x="488"/>
        <item x="392"/>
        <item x="17"/>
        <item x="430"/>
        <item x="472"/>
        <item x="733"/>
        <item x="397"/>
        <item x="692"/>
        <item x="219"/>
        <item x="703"/>
        <item x="290"/>
        <item x="411"/>
        <item x="406"/>
        <item x="761"/>
        <item x="172"/>
        <item x="555"/>
        <item x="308"/>
        <item x="338"/>
        <item x="707"/>
        <item x="658"/>
        <item x="259"/>
        <item x="375"/>
        <item x="314"/>
        <item x="266"/>
        <item x="349"/>
        <item x="570"/>
        <item x="647"/>
        <item x="129"/>
        <item x="108"/>
        <item x="232"/>
        <item x="273"/>
        <item x="122"/>
        <item x="610"/>
        <item x="301"/>
        <item x="243"/>
        <item x="683"/>
        <item x="561"/>
        <item x="645"/>
        <item x="155"/>
        <item x="85"/>
        <item x="142"/>
        <item x="686"/>
        <item x="604"/>
        <item x="8"/>
        <item x="677"/>
        <item x="224"/>
        <item x="83"/>
        <item x="15"/>
        <item x="313"/>
        <item x="353"/>
        <item x="48"/>
        <item x="456"/>
        <item x="439"/>
        <item x="90"/>
        <item x="212"/>
        <item x="722"/>
        <item x="113"/>
        <item x="95"/>
        <item x="505"/>
        <item x="742"/>
        <item x="603"/>
        <item x="76"/>
        <item x="379"/>
        <item x="510"/>
        <item x="230"/>
        <item x="584"/>
        <item x="462"/>
        <item x="410"/>
        <item x="404"/>
        <item x="624"/>
        <item x="597"/>
        <item x="661"/>
        <item x="167"/>
        <item x="600"/>
        <item x="553"/>
        <item x="547"/>
        <item x="307"/>
        <item x="702"/>
        <item x="237"/>
        <item x="55"/>
        <item x="242"/>
        <item x="415"/>
        <item x="755"/>
        <item x="62"/>
        <item x="596"/>
        <item x="657"/>
        <item x="70"/>
        <item x="383"/>
        <item x="685"/>
        <item x="134"/>
        <item x="629"/>
        <item x="364"/>
        <item x="325"/>
        <item x="451"/>
        <item x="643"/>
        <item x="400"/>
        <item x="391"/>
        <item x="241"/>
        <item x="482"/>
        <item x="569"/>
        <item x="9"/>
        <item x="258"/>
        <item x="347"/>
        <item x="390"/>
        <item x="478"/>
        <item x="423"/>
        <item x="1"/>
        <item x="330"/>
        <item x="536"/>
        <item x="579"/>
        <item x="35"/>
        <item x="299"/>
        <item x="276"/>
        <item x="563"/>
        <item x="329"/>
        <item x="613"/>
        <item x="114"/>
        <item x="295"/>
        <item x="740"/>
        <item x="363"/>
        <item x="525"/>
        <item x="718"/>
        <item x="41"/>
        <item x="486"/>
        <item x="300"/>
        <item x="140"/>
        <item x="354"/>
        <item x="758"/>
        <item x="539"/>
        <item x="726"/>
        <item x="182"/>
        <item x="548"/>
        <item x="746"/>
        <item x="608"/>
        <item x="638"/>
        <item x="324"/>
        <item x="521"/>
        <item x="166"/>
        <item x="249"/>
        <item x="154"/>
        <item x="320"/>
        <item x="673"/>
        <item x="29"/>
        <item x="77"/>
        <item x="21"/>
        <item x="396"/>
        <item x="288"/>
        <item x="159"/>
        <item x="42"/>
        <item x="574"/>
        <item x="594"/>
        <item x="69"/>
        <item x="96"/>
        <item x="511"/>
        <item x="306"/>
        <item x="585"/>
        <item x="436"/>
        <item x="751"/>
        <item x="500"/>
        <item x="469"/>
        <item x="199"/>
        <item x="218"/>
        <item x="471"/>
        <item x="200"/>
        <item x="524"/>
        <item x="501"/>
        <item x="120"/>
        <item x="409"/>
        <item x="593"/>
        <item x="690"/>
        <item x="542"/>
        <item x="160"/>
        <item x="669"/>
        <item x="728"/>
        <item x="128"/>
        <item x="732"/>
        <item x="176"/>
        <item x="319"/>
        <item x="16"/>
        <item x="359"/>
        <item x="627"/>
        <item x="177"/>
        <item x="147"/>
        <item x="342"/>
        <item x="731"/>
        <item x="206"/>
        <item x="470"/>
        <item x="446"/>
        <item x="618"/>
        <item x="91"/>
        <item x="668"/>
        <item x="187"/>
        <item x="590"/>
        <item x="107"/>
        <item x="370"/>
        <item x="22"/>
        <item x="428"/>
        <item x="715"/>
        <item x="711"/>
        <item x="248"/>
        <item x="682"/>
        <item x="646"/>
        <item x="564"/>
        <item x="422"/>
        <item x="194"/>
        <item x="193"/>
        <item x="445"/>
        <item x="531"/>
        <item x="56"/>
        <item x="468"/>
        <item x="374"/>
        <item x="28"/>
        <item x="577"/>
        <item x="463"/>
        <item x="477"/>
        <item x="49"/>
        <item x="84"/>
        <item x="691"/>
        <item x="626"/>
        <item x="348"/>
        <item x="435"/>
        <item x="662"/>
        <item x="264"/>
        <item x="652"/>
        <item x="341"/>
        <item x="495"/>
        <item x="440"/>
        <item x="127"/>
        <item x="289"/>
        <item x="183"/>
        <item x="384"/>
        <item x="225"/>
        <item x="170"/>
        <item x="587"/>
        <item x="133"/>
        <item x="360"/>
        <item x="336"/>
        <item x="681"/>
        <item x="506"/>
        <item x="369"/>
        <item x="213"/>
        <item x="102"/>
        <item x="63"/>
        <item x="483"/>
        <item x="737"/>
        <item x="265"/>
        <item x="644"/>
        <item x="609"/>
        <item x="271"/>
        <item x="429"/>
        <item x="560"/>
        <item x="554"/>
        <item x="706"/>
        <item x="231"/>
        <item x="380"/>
        <item x="2"/>
        <item x="416"/>
        <item x="452"/>
        <item x="490"/>
        <item x="36"/>
        <item x="272"/>
        <item x="487"/>
        <item x="337"/>
        <item x="148"/>
        <item x="141"/>
        <item x="405"/>
        <item x="747"/>
        <item x="678"/>
        <item x="719"/>
        <item x="207"/>
        <item x="121"/>
        <item x="282"/>
        <item x="619"/>
        <item x="171"/>
        <item x="633"/>
        <item x="516"/>
        <item x="277"/>
        <item t="default"/>
      </items>
    </pivotField>
    <pivotField multipleItemSelectionAllowed="1" showAll="0">
      <items count="6">
        <item h="1" x="3"/>
        <item h="1" x="0"/>
        <item x="1"/>
        <item h="1" x="4"/>
        <item h="1" x="2"/>
        <item t="default"/>
      </items>
    </pivotField>
    <pivotField showAll="0"/>
    <pivotField showAll="0"/>
    <pivotField axis="axisPage" multipleItemSelectionAllowed="1" showAll="0">
      <items count="4">
        <item x="2"/>
        <item x="1"/>
        <item x="0"/>
        <item t="default"/>
      </items>
    </pivotField>
    <pivotField multipleItemSelectionAllowed="1" showAll="0"/>
    <pivotField showAll="0"/>
    <pivotField showAll="0"/>
  </pivotFields>
  <rowFields count="1">
    <field x="3"/>
  </rowFields>
  <rowItems count="8">
    <i>
      <x/>
    </i>
    <i>
      <x v="1"/>
    </i>
    <i>
      <x v="2"/>
    </i>
    <i>
      <x v="3"/>
    </i>
    <i>
      <x v="4"/>
    </i>
    <i>
      <x v="5"/>
    </i>
    <i>
      <x v="6"/>
    </i>
    <i t="grand">
      <x/>
    </i>
  </rowItems>
  <colFields count="1">
    <field x="-2"/>
  </colFields>
  <colItems count="3">
    <i>
      <x/>
    </i>
    <i i="1">
      <x v="1"/>
    </i>
    <i i="2">
      <x v="2"/>
    </i>
  </colItems>
  <pageFields count="1">
    <pageField fld="12" hier="-1"/>
  </pageFields>
  <dataFields count="3">
    <dataField name="Sum of COST" fld="7" baseField="0" baseItem="0"/>
    <dataField name="Sum of QUANTITY" fld="6" baseField="3" baseItem="0" numFmtId="166"/>
    <dataField name="Sum of PROFIT" fld="8" baseField="0" baseItem="0"/>
  </dataFields>
  <formats count="2">
    <format dxfId="2">
      <pivotArea outline="0" collapsedLevelsAreSubtotals="1" fieldPosition="0"/>
    </format>
    <format dxfId="1">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76898B-1E44-4044-A2A6-775C876ADAE4}" name="PivotTable5"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Year">
  <location ref="F29:G32" firstHeaderRow="1" firstDataRow="1" firstDataCol="1"/>
  <pivotFields count="16">
    <pivotField showAll="0"/>
    <pivotField showAll="0"/>
    <pivotField showAll="0"/>
    <pivotField showAll="0"/>
    <pivotField numFmtId="164" showAll="0"/>
    <pivotField numFmtId="164" showAll="0"/>
    <pivotField numFmtId="2" showAll="0"/>
    <pivotField numFmtId="164" showAll="0"/>
    <pivotField dataField="1" numFmtId="164" showAll="0"/>
    <pivotField showAll="0"/>
    <pivotField showAll="0"/>
    <pivotField showAll="0"/>
    <pivotField axis="axisRow" multipleItemSelectionAllowed="1" showAll="0">
      <items count="4">
        <item x="2"/>
        <item x="1"/>
        <item x="0"/>
        <item t="default"/>
      </items>
    </pivotField>
    <pivotField showAll="0"/>
    <pivotField showAll="0"/>
    <pivotField showAll="0"/>
  </pivotFields>
  <rowFields count="1">
    <field x="12"/>
  </rowFields>
  <rowItems count="3">
    <i>
      <x/>
    </i>
    <i>
      <x v="1"/>
    </i>
    <i>
      <x v="2"/>
    </i>
  </rowItems>
  <colItems count="1">
    <i/>
  </colItems>
  <dataFields count="1">
    <dataField name="Sum of PROFIT" fld="8" baseField="1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FEEF16-882E-474F-B9C3-2BEDE4475034}" name="PivotTable1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A100:B106" firstHeaderRow="1" firstDataRow="1" firstDataCol="1" rowPageCount="3" colPageCount="1"/>
  <pivotFields count="16">
    <pivotField showAll="0"/>
    <pivotField showAll="0"/>
    <pivotField showAll="0"/>
    <pivotField axis="axisPage" multipleItemSelectionAllowed="1" showAll="0" sortType="descending">
      <items count="8">
        <item h="1" x="5"/>
        <item x="1"/>
        <item h="1" x="2"/>
        <item h="1" x="3"/>
        <item h="1" x="6"/>
        <item h="1" x="4"/>
        <item h="1" x="0"/>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2" showAll="0"/>
    <pivotField numFmtId="164" showAll="0"/>
    <pivotField numFmtId="164" showAll="0"/>
    <pivotField axis="axisPage" multipleItemSelectionAllowed="1" showAll="0">
      <items count="6">
        <item h="1" x="3"/>
        <item h="1" x="0"/>
        <item x="1"/>
        <item h="1" x="4"/>
        <item h="1" x="2"/>
        <item t="default"/>
      </items>
    </pivotField>
    <pivotField axis="axisRow" multipleItemSelectionAllowed="1" showAll="0">
      <items count="7">
        <item x="1"/>
        <item x="2"/>
        <item x="0"/>
        <item x="3"/>
        <item x="4"/>
        <item x="5"/>
        <item t="default"/>
      </items>
    </pivotField>
    <pivotField showAll="0"/>
    <pivotField axis="axisPage" multipleItemSelectionAllowed="1" showAll="0">
      <items count="4">
        <item h="1" x="2"/>
        <item h="1" x="1"/>
        <item x="0"/>
        <item t="default"/>
      </items>
    </pivotField>
    <pivotField showAll="0"/>
    <pivotField showAll="0"/>
    <pivotField showAll="0"/>
  </pivotFields>
  <rowFields count="1">
    <field x="10"/>
  </rowFields>
  <rowItems count="6">
    <i>
      <x/>
    </i>
    <i>
      <x v="1"/>
    </i>
    <i>
      <x v="2"/>
    </i>
    <i>
      <x v="3"/>
    </i>
    <i>
      <x v="4"/>
    </i>
    <i t="grand">
      <x/>
    </i>
  </rowItems>
  <colItems count="1">
    <i/>
  </colItems>
  <pageFields count="3">
    <pageField fld="3" hier="-1"/>
    <pageField fld="12" hier="-1"/>
    <pageField fld="9" hier="-1"/>
  </pageFields>
  <dataFields count="1">
    <dataField name="consumption" fld="6" baseField="10"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FDE04B-6D15-4D58-9627-AC5B66020D82}" name="PivotTable7"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Year">
  <location ref="A25:B28" firstHeaderRow="1" firstDataRow="1" firstDataCol="1"/>
  <pivotFields count="16">
    <pivotField showAll="0"/>
    <pivotField showAll="0"/>
    <pivotField showAll="0"/>
    <pivotField showAll="0"/>
    <pivotField numFmtId="164" showAll="0"/>
    <pivotField numFmtId="164" showAll="0"/>
    <pivotField numFmtId="2" showAll="0"/>
    <pivotField numFmtId="164" showAll="0"/>
    <pivotField dataField="1" numFmtId="164" showAll="0"/>
    <pivotField showAll="0"/>
    <pivotField showAll="0"/>
    <pivotField showAll="0"/>
    <pivotField axis="axisRow" multipleItemSelectionAllowed="1" showAll="0">
      <items count="4">
        <item x="2"/>
        <item x="1"/>
        <item x="0"/>
        <item t="default"/>
      </items>
    </pivotField>
    <pivotField showAll="0"/>
    <pivotField showAll="0"/>
    <pivotField showAll="0"/>
  </pivotFields>
  <rowFields count="1">
    <field x="12"/>
  </rowFields>
  <rowItems count="3">
    <i>
      <x/>
    </i>
    <i>
      <x v="1"/>
    </i>
    <i>
      <x v="2"/>
    </i>
  </rowItems>
  <colItems count="1">
    <i/>
  </colItems>
  <dataFields count="1">
    <dataField name="Min Profit" fld="8" subtotal="min" baseField="12"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28D1ADF-3B6A-466B-9587-7D21B4760B36}" name="PivotTable10"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Brands">
  <location ref="F57:I62" firstHeaderRow="0" firstDataRow="1" firstDataCol="1" rowPageCount="2" colPageCount="1"/>
  <pivotFields count="16">
    <pivotField showAll="0"/>
    <pivotField showAll="0"/>
    <pivotField showAll="0"/>
    <pivotField axis="axisRow" showAll="0">
      <items count="8">
        <item h="1" x="5"/>
        <item x="1"/>
        <item x="2"/>
        <item x="3"/>
        <item h="1" x="6"/>
        <item x="4"/>
        <item x="0"/>
        <item t="default"/>
      </items>
    </pivotField>
    <pivotField numFmtId="164" showAll="0"/>
    <pivotField numFmtId="164" showAll="0"/>
    <pivotField dataField="1" numFmtId="2" showAll="0">
      <items count="299">
        <item x="8"/>
        <item x="76"/>
        <item x="170"/>
        <item x="184"/>
        <item x="79"/>
        <item x="211"/>
        <item x="162"/>
        <item x="233"/>
        <item x="142"/>
        <item x="15"/>
        <item x="43"/>
        <item x="181"/>
        <item x="64"/>
        <item x="71"/>
        <item x="23"/>
        <item x="199"/>
        <item x="182"/>
        <item x="176"/>
        <item x="48"/>
        <item x="95"/>
        <item x="155"/>
        <item x="84"/>
        <item x="165"/>
        <item x="187"/>
        <item x="0"/>
        <item x="52"/>
        <item x="68"/>
        <item x="180"/>
        <item x="72"/>
        <item x="221"/>
        <item x="12"/>
        <item x="269"/>
        <item x="119"/>
        <item x="237"/>
        <item x="167"/>
        <item x="60"/>
        <item x="252"/>
        <item x="172"/>
        <item x="74"/>
        <item x="234"/>
        <item x="222"/>
        <item x="148"/>
        <item x="259"/>
        <item x="121"/>
        <item x="9"/>
        <item x="239"/>
        <item x="138"/>
        <item x="192"/>
        <item x="268"/>
        <item x="140"/>
        <item x="94"/>
        <item x="278"/>
        <item x="244"/>
        <item x="122"/>
        <item x="156"/>
        <item x="205"/>
        <item x="250"/>
        <item x="276"/>
        <item x="203"/>
        <item x="164"/>
        <item x="207"/>
        <item x="147"/>
        <item x="104"/>
        <item x="152"/>
        <item x="3"/>
        <item x="51"/>
        <item x="280"/>
        <item x="59"/>
        <item x="63"/>
        <item x="224"/>
        <item x="282"/>
        <item x="197"/>
        <item x="77"/>
        <item x="115"/>
        <item x="200"/>
        <item x="54"/>
        <item x="96"/>
        <item x="198"/>
        <item x="40"/>
        <item x="61"/>
        <item x="46"/>
        <item x="270"/>
        <item x="173"/>
        <item x="37"/>
        <item x="277"/>
        <item x="150"/>
        <item x="226"/>
        <item x="179"/>
        <item x="195"/>
        <item x="204"/>
        <item x="114"/>
        <item x="123"/>
        <item x="254"/>
        <item x="29"/>
        <item x="75"/>
        <item x="216"/>
        <item x="209"/>
        <item x="5"/>
        <item x="291"/>
        <item x="295"/>
        <item x="42"/>
        <item x="255"/>
        <item x="139"/>
        <item x="32"/>
        <item x="90"/>
        <item x="185"/>
        <item x="218"/>
        <item x="235"/>
        <item x="106"/>
        <item x="248"/>
        <item x="7"/>
        <item x="260"/>
        <item x="135"/>
        <item x="1"/>
        <item x="177"/>
        <item x="89"/>
        <item x="159"/>
        <item x="163"/>
        <item x="82"/>
        <item x="35"/>
        <item x="249"/>
        <item x="284"/>
        <item x="160"/>
        <item x="193"/>
        <item x="30"/>
        <item x="39"/>
        <item x="91"/>
        <item x="137"/>
        <item x="266"/>
        <item x="56"/>
        <item x="50"/>
        <item x="69"/>
        <item x="267"/>
        <item x="41"/>
        <item x="4"/>
        <item x="16"/>
        <item x="124"/>
        <item x="285"/>
        <item x="111"/>
        <item x="153"/>
        <item x="215"/>
        <item x="13"/>
        <item x="232"/>
        <item x="47"/>
        <item x="251"/>
        <item x="57"/>
        <item x="97"/>
        <item x="85"/>
        <item x="141"/>
        <item x="264"/>
        <item x="166"/>
        <item x="242"/>
        <item x="133"/>
        <item x="99"/>
        <item x="88"/>
        <item x="22"/>
        <item x="292"/>
        <item x="21"/>
        <item x="20"/>
        <item x="10"/>
        <item x="183"/>
        <item x="136"/>
        <item x="273"/>
        <item x="157"/>
        <item x="261"/>
        <item x="154"/>
        <item x="229"/>
        <item x="67"/>
        <item x="34"/>
        <item x="293"/>
        <item x="55"/>
        <item x="288"/>
        <item x="98"/>
        <item x="27"/>
        <item x="296"/>
        <item x="253"/>
        <item x="49"/>
        <item x="80"/>
        <item x="289"/>
        <item x="117"/>
        <item x="168"/>
        <item x="219"/>
        <item x="225"/>
        <item x="132"/>
        <item x="107"/>
        <item x="241"/>
        <item x="206"/>
        <item x="231"/>
        <item x="33"/>
        <item x="45"/>
        <item x="78"/>
        <item x="274"/>
        <item x="38"/>
        <item x="201"/>
        <item x="87"/>
        <item x="151"/>
        <item x="19"/>
        <item x="171"/>
        <item x="230"/>
        <item x="109"/>
        <item x="11"/>
        <item x="93"/>
        <item x="281"/>
        <item x="262"/>
        <item x="223"/>
        <item x="175"/>
        <item x="258"/>
        <item x="129"/>
        <item x="17"/>
        <item x="247"/>
        <item x="158"/>
        <item x="161"/>
        <item x="103"/>
        <item x="236"/>
        <item x="102"/>
        <item x="62"/>
        <item x="256"/>
        <item x="26"/>
        <item x="290"/>
        <item x="169"/>
        <item x="283"/>
        <item x="120"/>
        <item x="246"/>
        <item x="217"/>
        <item x="271"/>
        <item x="178"/>
        <item x="202"/>
        <item x="128"/>
        <item x="58"/>
        <item x="279"/>
        <item x="188"/>
        <item x="110"/>
        <item x="297"/>
        <item x="145"/>
        <item x="2"/>
        <item x="228"/>
        <item x="14"/>
        <item x="65"/>
        <item x="127"/>
        <item x="240"/>
        <item x="213"/>
        <item x="131"/>
        <item x="28"/>
        <item x="73"/>
        <item x="146"/>
        <item x="66"/>
        <item x="186"/>
        <item x="36"/>
        <item x="105"/>
        <item x="44"/>
        <item x="257"/>
        <item x="6"/>
        <item x="287"/>
        <item x="220"/>
        <item x="101"/>
        <item x="189"/>
        <item x="86"/>
        <item x="214"/>
        <item x="130"/>
        <item x="53"/>
        <item x="125"/>
        <item x="238"/>
        <item x="263"/>
        <item x="112"/>
        <item x="210"/>
        <item x="113"/>
        <item x="265"/>
        <item x="243"/>
        <item x="100"/>
        <item x="143"/>
        <item x="191"/>
        <item x="70"/>
        <item x="118"/>
        <item x="275"/>
        <item x="245"/>
        <item x="286"/>
        <item x="294"/>
        <item x="208"/>
        <item x="83"/>
        <item x="25"/>
        <item x="149"/>
        <item x="108"/>
        <item x="174"/>
        <item x="227"/>
        <item x="196"/>
        <item x="272"/>
        <item x="144"/>
        <item x="92"/>
        <item x="134"/>
        <item x="116"/>
        <item x="81"/>
        <item x="212"/>
        <item x="126"/>
        <item x="18"/>
        <item x="194"/>
        <item x="190"/>
        <item x="24"/>
        <item x="31"/>
        <item t="default"/>
      </items>
    </pivotField>
    <pivotField dataField="1" numFmtId="164" showAll="0"/>
    <pivotField dataField="1" numFmtId="164" showAll="0"/>
    <pivotField axis="axisPage" multipleItemSelectionAllowed="1" showAll="0">
      <items count="6">
        <item h="1" x="3"/>
        <item h="1" x="0"/>
        <item x="1"/>
        <item h="1" x="4"/>
        <item h="1" x="2"/>
        <item t="default"/>
      </items>
    </pivotField>
    <pivotField showAll="0"/>
    <pivotField showAll="0"/>
    <pivotField axis="axisPage" multipleItemSelectionAllowed="1" showAll="0">
      <items count="4">
        <item x="2"/>
        <item x="1"/>
        <item x="0"/>
        <item t="default"/>
      </items>
    </pivotField>
    <pivotField showAll="0">
      <items count="3">
        <item x="0"/>
        <item x="1"/>
        <item t="default"/>
      </items>
    </pivotField>
    <pivotField showAll="0"/>
    <pivotField showAll="0"/>
  </pivotFields>
  <rowFields count="1">
    <field x="3"/>
  </rowFields>
  <rowItems count="5">
    <i>
      <x v="1"/>
    </i>
    <i>
      <x v="2"/>
    </i>
    <i>
      <x v="3"/>
    </i>
    <i>
      <x v="5"/>
    </i>
    <i>
      <x v="6"/>
    </i>
  </rowItems>
  <colFields count="1">
    <field x="-2"/>
  </colFields>
  <colItems count="3">
    <i>
      <x/>
    </i>
    <i i="1">
      <x v="1"/>
    </i>
    <i i="2">
      <x v="2"/>
    </i>
  </colItems>
  <pageFields count="2">
    <pageField fld="9" hier="-1"/>
    <pageField fld="12" hier="-1"/>
  </pageFields>
  <dataFields count="3">
    <dataField name="Total Sales" fld="7" baseField="3" baseItem="1" numFmtId="164"/>
    <dataField name="Total Quantity" fld="6" baseField="3" baseItem="1" numFmtId="166"/>
    <dataField name="Total Profit" fld="8" baseField="3" baseItem="1"/>
  </dataFields>
  <formats count="4">
    <format dxfId="6">
      <pivotArea dataOnly="0" labelOnly="1" outline="0" axis="axisValues" fieldPosition="0"/>
    </format>
    <format dxfId="5">
      <pivotArea collapsedLevelsAreSubtotals="1" fieldPosition="0">
        <references count="1">
          <reference field="3" count="1">
            <x v="1"/>
          </reference>
        </references>
      </pivotArea>
    </format>
    <format dxfId="4">
      <pivotArea outline="0" collapsedLevelsAreSubtotals="1" fieldPosition="0"/>
    </format>
    <format dxfId="3">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F04684-1A55-41F8-BB3D-86EC7A68F723}" name="PivotTable9"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Brands">
  <location ref="F40:G41" firstHeaderRow="1" firstDataRow="1" firstDataCol="1" rowPageCount="1" colPageCount="1"/>
  <pivotFields count="16">
    <pivotField showAll="0"/>
    <pivotField showAll="0"/>
    <pivotField showAll="0"/>
    <pivotField axis="axisRow" showAll="0" sortType="descending">
      <items count="8">
        <item h="1" x="5"/>
        <item h="1" x="1"/>
        <item x="2"/>
        <item h="1" x="3"/>
        <item h="1" x="6"/>
        <item h="1" x="4"/>
        <item h="1" x="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2" showAll="0"/>
    <pivotField numFmtId="164" showAll="0"/>
    <pivotField dataField="1" numFmtId="164" showAll="0"/>
    <pivotField axis="axisPage" showAll="0">
      <items count="6">
        <item x="3"/>
        <item x="0"/>
        <item x="1"/>
        <item x="4"/>
        <item x="2"/>
        <item t="default"/>
      </items>
    </pivotField>
    <pivotField showAll="0"/>
    <pivotField showAll="0"/>
    <pivotField multipleItemSelectionAllowed="1" showAll="0"/>
    <pivotField showAll="0"/>
    <pivotField showAll="0"/>
    <pivotField showAll="0"/>
  </pivotFields>
  <rowFields count="1">
    <field x="3"/>
  </rowFields>
  <rowItems count="1">
    <i>
      <x v="2"/>
    </i>
  </rowItems>
  <colItems count="1">
    <i/>
  </colItems>
  <pageFields count="1">
    <pageField fld="9" item="3" hier="-1"/>
  </pageFields>
  <dataFields count="1">
    <dataField name="Total Profit" fld="8" baseField="3"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1D9F236-2EEB-4625-A121-49C51F8EACF4}" name="PivotTable20"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Sales rep">
  <location ref="F117:G118" firstHeaderRow="1" firstDataRow="1" firstDataCol="1" rowPageCount="2" colPageCount="1"/>
  <pivotFields count="15">
    <pivotField showAll="0"/>
    <pivotField axis="axisRow" showAll="0" sortType="descending">
      <items count="12">
        <item h="1" x="4"/>
        <item h="1" x="1"/>
        <item h="1" x="7"/>
        <item h="1" x="0"/>
        <item x="3"/>
        <item h="1" x="10"/>
        <item h="1" x="6"/>
        <item h="1" x="8"/>
        <item h="1" x="9"/>
        <item h="1" x="2"/>
        <item h="1" x="5"/>
        <item t="default"/>
      </items>
      <autoSortScope>
        <pivotArea dataOnly="0" outline="0" fieldPosition="0">
          <references count="1">
            <reference field="4294967294" count="1" selected="0">
              <x v="0"/>
            </reference>
          </references>
        </pivotArea>
      </autoSortScope>
    </pivotField>
    <pivotField showAll="0"/>
    <pivotField axis="axisPage" showAll="0">
      <items count="8">
        <item x="5"/>
        <item x="1"/>
        <item x="2"/>
        <item x="3"/>
        <item x="6"/>
        <item x="4"/>
        <item x="0"/>
        <item t="default"/>
      </items>
    </pivotField>
    <pivotField numFmtId="164" showAll="0"/>
    <pivotField numFmtId="164" showAll="0"/>
    <pivotField showAll="0"/>
    <pivotField dataField="1" numFmtId="164" showAll="0"/>
    <pivotField numFmtId="164" showAll="0"/>
    <pivotField axis="axisPage" multipleItemSelectionAllowed="1" showAll="0">
      <items count="6">
        <item h="1" x="2"/>
        <item x="4"/>
        <item h="1" x="1"/>
        <item h="1" x="0"/>
        <item h="1" x="3"/>
        <item t="default"/>
      </items>
    </pivotField>
    <pivotField showAll="0"/>
    <pivotField showAll="0"/>
    <pivotField showAll="0"/>
    <pivotField showAll="0"/>
    <pivotField multipleItemSelectionAllowed="1" showAll="0">
      <items count="3">
        <item x="0"/>
        <item h="1" x="1"/>
        <item t="default"/>
      </items>
    </pivotField>
  </pivotFields>
  <rowFields count="1">
    <field x="1"/>
  </rowFields>
  <rowItems count="1">
    <i>
      <x v="4"/>
    </i>
  </rowItems>
  <colItems count="1">
    <i/>
  </colItems>
  <pageFields count="2">
    <pageField fld="3" item="1" hier="-1"/>
    <pageField fld="9" hier="-1"/>
  </pageFields>
  <dataFields count="1">
    <dataField name="Total Sales" fld="7" baseField="1" baseItem="4"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7D30C3-50FC-4CC9-B38E-D6D55C986F9E}" name="PivotTable8"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Months">
  <location ref="A32:B44" firstHeaderRow="1" firstDataRow="1" firstDataCol="1"/>
  <pivotFields count="16">
    <pivotField showAll="0"/>
    <pivotField showAll="0"/>
    <pivotField showAll="0"/>
    <pivotField showAll="0"/>
    <pivotField numFmtId="164" showAll="0"/>
    <pivotField numFmtId="164" showAll="0"/>
    <pivotField numFmtId="2" showAll="0"/>
    <pivotField numFmtId="164" showAll="0"/>
    <pivotField dataField="1" numFmtId="164" showAll="0"/>
    <pivotField showAll="0"/>
    <pivotField showAll="0"/>
    <pivotField axis="axisRow" showAll="0" sortType="ascending">
      <items count="13">
        <item x="0"/>
        <item x="1"/>
        <item x="2"/>
        <item x="3"/>
        <item x="4"/>
        <item x="5"/>
        <item x="6"/>
        <item x="7"/>
        <item x="8"/>
        <item x="9"/>
        <item x="10"/>
        <item x="11"/>
        <item t="default"/>
      </items>
    </pivotField>
    <pivotField multipleItemSelectionAllowed="1" showAll="0">
      <items count="4">
        <item x="2"/>
        <item x="1"/>
        <item x="0"/>
        <item t="default"/>
      </items>
    </pivotField>
    <pivotField showAll="0"/>
    <pivotField showAll="0"/>
    <pivotField showAll="0"/>
  </pivotFields>
  <rowFields count="1">
    <field x="11"/>
  </rowFields>
  <rowItems count="12">
    <i>
      <x/>
    </i>
    <i>
      <x v="1"/>
    </i>
    <i>
      <x v="2"/>
    </i>
    <i>
      <x v="3"/>
    </i>
    <i>
      <x v="4"/>
    </i>
    <i>
      <x v="5"/>
    </i>
    <i>
      <x v="6"/>
    </i>
    <i>
      <x v="7"/>
    </i>
    <i>
      <x v="8"/>
    </i>
    <i>
      <x v="9"/>
    </i>
    <i>
      <x v="10"/>
    </i>
    <i>
      <x v="11"/>
    </i>
  </rowItems>
  <colItems count="1">
    <i/>
  </colItems>
  <dataFields count="1">
    <dataField name="Total Profit" fld="8" baseField="11"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97A1089-140D-441B-8AFE-0DE72541B77E}" name="PivotTable12"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Brands">
  <location ref="A78:B79" firstHeaderRow="1" firstDataRow="1" firstDataCol="1" rowPageCount="2" colPageCount="1"/>
  <pivotFields count="16">
    <pivotField showAll="0"/>
    <pivotField showAll="0"/>
    <pivotField showAll="0"/>
    <pivotField axis="axisRow" showAll="0" sortType="descending">
      <items count="8">
        <item h="1" x="5"/>
        <item h="1" x="1"/>
        <item h="1" x="2"/>
        <item h="1" x="3"/>
        <item x="6"/>
        <item h="1" x="4"/>
        <item h="1" x="0"/>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2" showAll="0"/>
    <pivotField numFmtId="164" showAll="0"/>
    <pivotField numFmtId="164" showAll="0"/>
    <pivotField multipleItemSelectionAllowed="1" showAll="0"/>
    <pivotField showAll="0"/>
    <pivotField showAll="0"/>
    <pivotField axis="axisPage" multipleItemSelectionAllowed="1" showAll="0">
      <items count="4">
        <item x="2"/>
        <item x="1"/>
        <item x="0"/>
        <item t="default"/>
      </items>
    </pivotField>
    <pivotField axis="axisPage" multipleItemSelectionAllowed="1" showAll="0">
      <items count="3">
        <item x="0"/>
        <item x="1"/>
        <item t="default"/>
      </items>
    </pivotField>
    <pivotField showAll="0"/>
    <pivotField showAll="0"/>
  </pivotFields>
  <rowFields count="1">
    <field x="3"/>
  </rowFields>
  <rowItems count="1">
    <i>
      <x v="4"/>
    </i>
  </rowItems>
  <colItems count="1">
    <i/>
  </colItems>
  <pageFields count="2">
    <pageField fld="13" hier="-1"/>
    <pageField fld="12" hier="-1"/>
  </pageFields>
  <dataFields count="1">
    <dataField name="Total Quantity" fld="6" baseField="3"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5BEE811-F5DD-40AA-9F0A-F9A920607959}" name="PivotTable19" cacheId="1"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Country">
  <location ref="A117:B118" firstHeaderRow="1" firstDataRow="1" firstDataCol="1" rowPageCount="1" colPageCount="1"/>
  <pivotFields count="15">
    <pivotField showAll="0"/>
    <pivotField showAll="0"/>
    <pivotField showAll="0"/>
    <pivotField showAll="0"/>
    <pivotField numFmtId="164" showAll="0"/>
    <pivotField numFmtId="164" showAll="0"/>
    <pivotField dataField="1" showAll="0"/>
    <pivotField numFmtId="164" showAll="0"/>
    <pivotField numFmtId="164" showAll="0"/>
    <pivotField axis="axisRow" showAll="0" sortType="descending">
      <items count="6">
        <item h="1" x="2"/>
        <item x="4"/>
        <item h="1" x="1"/>
        <item h="1" x="0"/>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Page" multipleItemSelectionAllowed="1" showAll="0">
      <items count="3">
        <item x="0"/>
        <item h="1" x="1"/>
        <item t="default"/>
      </items>
    </pivotField>
  </pivotFields>
  <rowFields count="1">
    <field x="9"/>
  </rowFields>
  <rowItems count="1">
    <i>
      <x v="1"/>
    </i>
  </rowItems>
  <colItems count="1">
    <i/>
  </colItems>
  <pageFields count="1">
    <pageField fld="14" hier="-1"/>
  </pageFields>
  <dataFields count="1">
    <dataField name="Total Quantity" fld="6" baseField="9"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776A58A-7967-406B-BBC2-342C882A79EA}" name="PivotTable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Brands">
  <location ref="A65:B73" firstHeaderRow="1" firstDataRow="1" firstDataCol="1" rowPageCount="1" colPageCount="1"/>
  <pivotFields count="16">
    <pivotField showAll="0"/>
    <pivotField showAll="0"/>
    <pivotField showAll="0"/>
    <pivotField axis="axisRow" showAll="0" sortType="descending">
      <items count="8">
        <item x="5"/>
        <item x="1"/>
        <item x="2"/>
        <item x="3"/>
        <item x="6"/>
        <item x="4"/>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2" showAll="0"/>
    <pivotField numFmtId="164" showAll="0"/>
    <pivotField numFmtId="164" showAll="0"/>
    <pivotField axis="axisPage" multipleItemSelectionAllowed="1" showAll="0">
      <items count="6">
        <item h="1" x="3"/>
        <item x="0"/>
        <item h="1" x="1"/>
        <item h="1" x="4"/>
        <item h="1" x="2"/>
        <item t="default"/>
      </items>
    </pivotField>
    <pivotField showAll="0"/>
    <pivotField showAll="0"/>
    <pivotField showAll="0"/>
    <pivotField showAll="0"/>
    <pivotField showAll="0"/>
    <pivotField showAll="0"/>
  </pivotFields>
  <rowFields count="1">
    <field x="3"/>
  </rowFields>
  <rowItems count="8">
    <i>
      <x v="3"/>
    </i>
    <i>
      <x v="2"/>
    </i>
    <i>
      <x v="5"/>
    </i>
    <i>
      <x v="4"/>
    </i>
    <i>
      <x v="6"/>
    </i>
    <i>
      <x/>
    </i>
    <i>
      <x v="1"/>
    </i>
    <i t="grand">
      <x/>
    </i>
  </rowItems>
  <colItems count="1">
    <i/>
  </colItems>
  <pageFields count="1">
    <pageField fld="9" hier="-1"/>
  </pageFields>
  <dataFields count="1">
    <dataField name="Total Quantity" fld="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5C40147-78DE-4FD9-9A01-ACCE7105AC60}" name="PivotTable1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Region">
  <location ref="F86:G93" firstHeaderRow="1" firstDataRow="1" firstDataCol="1" rowPageCount="2" colPageCount="1"/>
  <pivotFields count="16">
    <pivotField showAll="0"/>
    <pivotField showAll="0"/>
    <pivotField showAll="0"/>
    <pivotField axis="axisPage" multipleItemSelectionAllowed="1" showAll="0" sortType="descending">
      <items count="8">
        <item x="5"/>
        <item x="1"/>
        <item x="2"/>
        <item x="3"/>
        <item x="6"/>
        <item x="4"/>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2" showAll="0"/>
    <pivotField numFmtId="164" showAll="0"/>
    <pivotField numFmtId="164" showAll="0"/>
    <pivotField axis="axisPage" multipleItemSelectionAllowed="1" showAll="0">
      <items count="6">
        <item x="3"/>
        <item x="0"/>
        <item x="1"/>
        <item x="4"/>
        <item x="2"/>
        <item t="default"/>
      </items>
    </pivotField>
    <pivotField axis="axisRow" multipleItemSelectionAllowed="1" showAll="0" sortType="descending">
      <items count="7">
        <item x="5"/>
        <item x="4"/>
        <item x="3"/>
        <item x="0"/>
        <item x="2"/>
        <item x="1"/>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s>
  <rowFields count="1">
    <field x="10"/>
  </rowFields>
  <rowItems count="7">
    <i>
      <x v="4"/>
    </i>
    <i>
      <x v="5"/>
    </i>
    <i>
      <x v="3"/>
    </i>
    <i>
      <x v="1"/>
    </i>
    <i>
      <x/>
    </i>
    <i>
      <x v="2"/>
    </i>
    <i t="grand">
      <x/>
    </i>
  </rowItems>
  <colItems count="1">
    <i/>
  </colItems>
  <pageFields count="2">
    <pageField fld="3" hier="-1"/>
    <pageField fld="9" hier="-1"/>
  </pageFields>
  <dataFields count="1">
    <dataField name="consumption" fld="6" baseField="10"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748A56A-95AF-46F1-9AFA-EB0ABC9A001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Territory">
  <location ref="A15:B18" firstHeaderRow="1" firstDataRow="1" firstDataCol="1" rowPageCount="1" colPageCount="1"/>
  <pivotFields count="14">
    <pivotField showAll="0"/>
    <pivotField showAll="0"/>
    <pivotField showAll="0"/>
    <pivotField showAll="0"/>
    <pivotField numFmtId="164" showAll="0"/>
    <pivotField numFmtId="164" showAll="0"/>
    <pivotField numFmtId="2" showAll="0"/>
    <pivotField numFmtId="164" showAll="0"/>
    <pivotField dataField="1" numFmtId="164" showAll="0"/>
    <pivotField showAll="0"/>
    <pivotField showAll="0"/>
    <pivotField showAll="0"/>
    <pivotField axis="axisPage" multipleItemSelectionAllowed="1" showAll="0">
      <items count="4">
        <item x="2"/>
        <item x="1"/>
        <item x="0"/>
        <item t="default"/>
      </items>
    </pivotField>
    <pivotField axis="axisRow" showAll="0">
      <items count="3">
        <item x="0"/>
        <item x="1"/>
        <item t="default"/>
      </items>
    </pivotField>
  </pivotFields>
  <rowFields count="1">
    <field x="13"/>
  </rowFields>
  <rowItems count="3">
    <i>
      <x/>
    </i>
    <i>
      <x v="1"/>
    </i>
    <i t="grand">
      <x/>
    </i>
  </rowItems>
  <colItems count="1">
    <i/>
  </colItems>
  <pageFields count="1">
    <pageField fld="12" hier="-1"/>
  </pageFields>
  <dataFields count="1">
    <dataField name="Total Profit" fld="8" baseField="13"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6218437-77F7-4F5B-AE47-E99476F8AF1D}" name="PivotTable1" cacheId="2"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rowHeaderCaption="Brands" colHeaderCaption="Countries">
  <location ref="A55:B59" firstHeaderRow="1" firstDataRow="1" firstDataCol="1" rowPageCount="2" colPageCount="1"/>
  <pivotFields count="16">
    <pivotField showAll="0"/>
    <pivotField showAll="0"/>
    <pivotField showAll="0"/>
    <pivotField axis="axisRow" showAll="0" sortType="descending">
      <items count="8">
        <item x="0"/>
        <item x="4"/>
        <item x="6"/>
        <item h="1" x="3"/>
        <item h="1" x="2"/>
        <item h="1" x="1"/>
        <item h="1" x="5"/>
        <item t="default"/>
      </items>
    </pivotField>
    <pivotField numFmtId="164" showAll="0"/>
    <pivotField numFmtId="164" showAll="0"/>
    <pivotField dataField="1" numFmtId="2" showAll="0"/>
    <pivotField numFmtId="164" showAll="0"/>
    <pivotField numFmtId="164" showAll="0"/>
    <pivotField showAll="0"/>
    <pivotField showAll="0"/>
    <pivotField showAll="0"/>
    <pivotField axis="axisPage" multipleItemSelectionAllowed="1" showAll="0">
      <items count="4">
        <item x="2"/>
        <item x="1"/>
        <item x="0"/>
        <item t="default"/>
      </items>
    </pivotField>
    <pivotField axis="axisPage" multipleItemSelectionAllowed="1" showAll="0">
      <items count="3">
        <item h="1" x="0"/>
        <item x="1"/>
        <item t="default"/>
      </items>
    </pivotField>
    <pivotField showAll="0"/>
    <pivotField showAll="0"/>
  </pivotFields>
  <rowFields count="1">
    <field x="3"/>
  </rowFields>
  <rowItems count="4">
    <i>
      <x/>
    </i>
    <i>
      <x v="1"/>
    </i>
    <i>
      <x v="2"/>
    </i>
    <i t="grand">
      <x/>
    </i>
  </rowItems>
  <colItems count="1">
    <i/>
  </colItems>
  <pageFields count="2">
    <pageField fld="12" hier="-1"/>
    <pageField fld="13" hier="-1"/>
  </pageFields>
  <dataFields count="1">
    <dataField name="Total Quantity" fld="6"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3C23816-190C-49A1-B870-8D2F545B471A}" name="PivotTable6"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rowHeaderCaption="Month" colHeaderCaption="Year">
  <location ref="F18:G19" firstHeaderRow="1" firstDataRow="1" firstDataCol="1"/>
  <pivotFields count="16">
    <pivotField showAll="0"/>
    <pivotField showAll="0"/>
    <pivotField showAll="0"/>
    <pivotField showAll="0"/>
    <pivotField numFmtId="164" showAll="0"/>
    <pivotField numFmtId="164" showAll="0"/>
    <pivotField numFmtId="2" showAll="0"/>
    <pivotField numFmtId="164" showAll="0"/>
    <pivotField dataField="1" numFmtId="164" showAll="0"/>
    <pivotField showAll="0"/>
    <pivotField showAll="0"/>
    <pivotField axis="axisRow" showAll="0" measureFilter="1">
      <items count="13">
        <item x="0"/>
        <item x="1"/>
        <item x="2"/>
        <item x="3"/>
        <item x="4"/>
        <item x="5"/>
        <item x="6"/>
        <item x="7"/>
        <item x="8"/>
        <item x="9"/>
        <item x="10"/>
        <item x="11"/>
        <item t="default"/>
      </items>
    </pivotField>
    <pivotField multipleItemSelectionAllowed="1" showAll="0">
      <items count="4">
        <item x="2"/>
        <item x="1"/>
        <item x="0"/>
        <item t="default"/>
      </items>
    </pivotField>
    <pivotField showAll="0"/>
    <pivotField showAll="0"/>
    <pivotField showAll="0"/>
  </pivotFields>
  <rowFields count="1">
    <field x="11"/>
  </rowFields>
  <rowItems count="1">
    <i>
      <x v="3"/>
    </i>
  </rowItems>
  <colItems count="1">
    <i/>
  </colItems>
  <dataFields count="1">
    <dataField name="Least Profit" fld="8" baseField="11" baseItem="3" numFmtId="164"/>
  </dataFields>
  <formats count="1">
    <format dxfId="8">
      <pivotArea outline="0" collapsedLevelsAreSubtotals="1" fieldPosition="0"/>
    </format>
  </formats>
  <pivotTableStyleInfo name="PivotStyleLight16" showRowHeaders="1" showColHeaders="1" showRowStripes="0" showColStripes="0" showLastColumn="1"/>
  <filters count="1">
    <filter fld="11"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64337B5-364E-4A55-A847-87525C99F88F}" name="PivotTable11" cacheId="2" applyNumberFormats="0" applyBorderFormats="0" applyFontFormats="0" applyPatternFormats="0" applyAlignmentFormats="0" applyWidthHeightFormats="1" dataCaption="Values" updatedVersion="7" minRefreshableVersion="3" useAutoFormatting="1" colGrandTotals="0" itemPrintTitles="1" createdVersion="7" indent="0" outline="1" outlineData="1" multipleFieldFilters="0" rowHeaderCaption="Brands">
  <location ref="F69:G77" firstHeaderRow="1" firstDataRow="1" firstDataCol="1" rowPageCount="2" colPageCount="1"/>
  <pivotFields count="16">
    <pivotField showAll="0"/>
    <pivotField showAll="0"/>
    <pivotField showAll="0"/>
    <pivotField axis="axisRow" showAll="0" sortType="descending">
      <items count="8">
        <item x="5"/>
        <item x="1"/>
        <item x="2"/>
        <item x="3"/>
        <item x="6"/>
        <item x="4"/>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2" showAll="0"/>
    <pivotField numFmtId="164" showAll="0"/>
    <pivotField dataField="1" numFmtId="164" showAll="0"/>
    <pivotField axis="axisPage" multipleItemSelectionAllowed="1" showAll="0">
      <items count="6">
        <item h="1" x="3"/>
        <item h="1" x="0"/>
        <item x="1"/>
        <item h="1" x="4"/>
        <item h="1" x="2"/>
        <item t="default"/>
      </items>
    </pivotField>
    <pivotField showAll="0"/>
    <pivotField showAll="0"/>
    <pivotField axis="axisPage" multipleItemSelectionAllowed="1" showAll="0">
      <items count="4">
        <item x="2"/>
        <item x="1"/>
        <item x="0"/>
        <item t="default"/>
      </items>
    </pivotField>
    <pivotField multipleItemSelectionAllowed="1" showAll="0"/>
    <pivotField showAll="0"/>
    <pivotField showAll="0"/>
  </pivotFields>
  <rowFields count="1">
    <field x="3"/>
  </rowFields>
  <rowItems count="8">
    <i>
      <x v="2"/>
    </i>
    <i>
      <x v="1"/>
    </i>
    <i>
      <x v="3"/>
    </i>
    <i>
      <x/>
    </i>
    <i>
      <x v="4"/>
    </i>
    <i>
      <x v="5"/>
    </i>
    <i>
      <x v="6"/>
    </i>
    <i t="grand">
      <x/>
    </i>
  </rowItems>
  <colItems count="1">
    <i/>
  </colItems>
  <pageFields count="2">
    <pageField fld="12" hier="-1"/>
    <pageField fld="9" hier="-1"/>
  </pageFields>
  <dataFields count="1">
    <dataField name="Sum of PROFIT" fld="8"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11D9279-8763-4DBD-BBED-8A12F0A7DDC8}" name="PivotTable21" cacheId="2"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Country">
  <location ref="A125:B130" firstHeaderRow="1" firstDataRow="1" firstDataCol="1" rowPageCount="1" colPageCount="1"/>
  <pivotFields count="16">
    <pivotField showAll="0"/>
    <pivotField showAll="0"/>
    <pivotField showAll="0"/>
    <pivotField showAll="0"/>
    <pivotField numFmtId="164" showAll="0"/>
    <pivotField numFmtId="164" showAll="0"/>
    <pivotField showAll="0"/>
    <pivotField numFmtId="164" showAll="0"/>
    <pivotField dataField="1" numFmtId="164" showAll="0"/>
    <pivotField axis="axisRow" showAll="0" sortType="descending">
      <items count="6">
        <item x="2"/>
        <item x="4"/>
        <item x="1"/>
        <item x="0"/>
        <item x="3"/>
        <item t="default"/>
      </items>
    </pivotField>
    <pivotField showAll="0"/>
    <pivotField showAll="0"/>
    <pivotField axis="axisPage" multipleItemSelectionAllowed="1" showAll="0">
      <items count="4">
        <item x="2"/>
        <item x="1"/>
        <item x="0"/>
        <item t="default"/>
      </items>
    </pivotField>
    <pivotField showAll="0"/>
    <pivotField showAll="0"/>
    <pivotField showAll="0">
      <items count="5">
        <item x="0"/>
        <item x="1"/>
        <item x="2"/>
        <item x="3"/>
        <item t="default"/>
      </items>
    </pivotField>
  </pivotFields>
  <rowFields count="1">
    <field x="9"/>
  </rowFields>
  <rowItems count="5">
    <i>
      <x/>
    </i>
    <i>
      <x v="1"/>
    </i>
    <i>
      <x v="2"/>
    </i>
    <i>
      <x v="3"/>
    </i>
    <i>
      <x v="4"/>
    </i>
  </rowItems>
  <colItems count="1">
    <i/>
  </colItems>
  <pageFields count="1">
    <pageField fld="12" hier="-1"/>
  </pageFields>
  <dataFields count="1">
    <dataField name="Total Profit" fld="8" baseField="9"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E333DD4E-BB74-482C-BA68-DA6D2C9CD363}" sourceName="YEARS">
  <pivotTables>
    <pivotTable tabId="6" name="PivotTable1"/>
    <pivotTable tabId="6" name="PivotTable10"/>
    <pivotTable tabId="6" name="PivotTable11"/>
    <pivotTable tabId="6" name="PivotTable12"/>
    <pivotTable tabId="6" name="PivotTable14"/>
    <pivotTable tabId="6" name="PivotTable17"/>
  </pivotTables>
  <data>
    <tabular pivotCacheId="72062265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S" xr10:uid="{7B4A857C-E216-4586-898D-3AF35B109ECB}" sourceName="BRANDS">
  <pivotTables>
    <pivotTable tabId="6" name="PivotTable14"/>
  </pivotTables>
  <data>
    <tabular pivotCacheId="720622659">
      <items count="7">
        <i x="5" s="1"/>
        <i x="1" s="1"/>
        <i x="2" s="1"/>
        <i x="3" s="1"/>
        <i x="6"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IES" xr10:uid="{B1599AEE-6B7B-4A57-B83A-470B2B6D2AE4}" sourceName="COUNTRIES">
  <pivotTables>
    <pivotTable tabId="6" name="PivotTable14"/>
  </pivotTables>
  <data>
    <tabular pivotCacheId="720622659">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FFF6BF93-590A-45FA-A8EB-30A1C32E5F7B}" sourceName="TERRITORY">
  <pivotTables>
    <pivotTable tabId="6" name="PivotTable12"/>
    <pivotTable tabId="6" name="PivotTable10"/>
  </pivotTables>
  <data>
    <tabular pivotCacheId="72062265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1" xr10:uid="{621D687B-D768-4399-9D8D-E097FA240D9E}" sourceName="YEARS">
  <pivotTables>
    <pivotTable tabId="6" name="PivotTable16"/>
    <pivotTable tabId="6" name="PivotTable6"/>
    <pivotTable tabId="6" name="PivotTable8"/>
    <pivotTable tabId="6" name="PivotTable4"/>
    <pivotTable tabId="6" name="PivotTable7"/>
    <pivotTable tabId="6" name="PivotTable5"/>
  </pivotTables>
  <data>
    <tabular pivotCacheId="720622659">
      <items count="3">
        <i x="2" s="1"/>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IES1" xr10:uid="{BE1A6451-8167-4A9C-B58C-06B8DA6500A6}" sourceName="COUNTRIES">
  <pivotTables>
    <pivotTable tabId="6" name="PivotTable4"/>
  </pivotTables>
  <data>
    <tabular pivotCacheId="720622659">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DBD1472A-2188-4B96-91CA-27E84D056753}" cache="Slicer_YEARS1" caption="YEARS" style="Slicer Style 2" rowHeight="225425"/>
  <slicer name="COUNTRIES 1" xr10:uid="{98DA7FA8-264E-437C-99B8-94FEE47939EE}" cache="Slicer_COUNTRIES1" caption="COUNTRIES" startItem="1" style="Slicer Style 2"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4" xr10:uid="{BBB2FD92-7705-46FE-9203-41DE883B15AF}" cache="Slicer_YEARS" caption="YEARS" style="Slicer Style 2" rowHeight="225425"/>
  <slicer name="BRANDS" xr10:uid="{7CF370CB-C65C-4BB3-86F8-55920C8B1E4F}" cache="Slicer_BRANDS" caption="BRANDS" style="Slicer Style 2" rowHeight="225425"/>
  <slicer name="COUNTRIES" xr10:uid="{76DEEA27-C6B8-44BD-BC09-791D473A47AE}" cache="Slicer_COUNTRIES" caption="COUNTRIES" startItem="3" style="Slicer Style 2" rowHeight="225425"/>
  <slicer name="TERRITORY" xr10:uid="{DE2D7FC7-4A7D-4FBF-9273-510E5E050BE0}" cache="Slicer_TERRITORY" caption="TERRITORY" style="Slicer Style 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EC7837-8D66-43B8-A272-55287FC865AC}" name="MappingTable" displayName="MappingTable" ref="S11:T18" totalsRowShown="0" headerRowDxfId="16">
  <autoFilter ref="S11:T18" xr:uid="{B2EC7837-8D66-43B8-A272-55287FC865AC}"/>
  <tableColumns count="2">
    <tableColumn id="1" xr3:uid="{9251A15A-641D-4751-A791-524C8252B1FA}" name="Brand" dataDxfId="15"/>
    <tableColumn id="2" xr3:uid="{005AEE5B-88A8-47E6-B363-939F75D85374}" name="Brand Type"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BE8390E-3D52-48FB-98DC-B660A22BFE73}" name="MappingTable2" displayName="MappingTable2" ref="S20:T32" totalsRowShown="0" headerRowDxfId="13">
  <autoFilter ref="S20:T32" xr:uid="{5BE8390E-3D52-48FB-98DC-B660A22BFE73}"/>
  <tableColumns count="2">
    <tableColumn id="1" xr3:uid="{85651775-D636-4E7E-9B1A-997787647AC8}" name="Month" dataDxfId="12"/>
    <tableColumn id="2" xr3:uid="{57FCA114-5C3E-4FCC-AF96-572F939B68F6}" name="Quarters" dataDxfId="1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rinterSettings" Target="../printerSettings/printerSettings2.bin"/><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1877B-222E-4EB2-995C-03445C102A84}">
  <sheetPr>
    <tabColor rgb="FF174C54"/>
  </sheetPr>
  <dimension ref="A1"/>
  <sheetViews>
    <sheetView showGridLines="0" showRowColHeaders="0" workbookViewId="0">
      <selection activeCell="E27" sqref="E27"/>
    </sheetView>
  </sheetViews>
  <sheetFormatPr defaultRowHeight="12.75" x14ac:dyDescent="0.2"/>
  <sheetData/>
  <sheetProtection algorithmName="SHA-512" hashValue="dD+prtXIn8Gbrtx2s+McPfObOcf42VBTE2y2rp4JLCJyhVRBH57jd5cPZujRVCe/+8FtGSaOkAaiXACUkD54Lw==" saltValue="5iS4S6kzl10v2SLif24LdA==" spinCount="100000"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499984740745262"/>
    <outlinePr summaryBelow="0" summaryRight="0"/>
  </sheetPr>
  <dimension ref="A1:U1048"/>
  <sheetViews>
    <sheetView zoomScaleNormal="100" workbookViewId="0">
      <selection activeCell="U41" sqref="U41"/>
    </sheetView>
  </sheetViews>
  <sheetFormatPr defaultColWidth="14.42578125" defaultRowHeight="12.75" x14ac:dyDescent="0.2"/>
  <cols>
    <col min="1" max="1" width="12.140625" bestFit="1" customWidth="1"/>
    <col min="2" max="2" width="14.28515625" bestFit="1" customWidth="1"/>
    <col min="3" max="3" width="26" bestFit="1" customWidth="1"/>
    <col min="4" max="4" width="11" bestFit="1" customWidth="1"/>
    <col min="5" max="5" width="15.140625" style="4" bestFit="1" customWidth="1"/>
    <col min="6" max="6" width="13.85546875" style="4" bestFit="1" customWidth="1"/>
    <col min="7" max="7" width="12.28515625" style="8" bestFit="1" customWidth="1"/>
    <col min="8" max="9" width="11.140625" style="4" bestFit="1" customWidth="1"/>
    <col min="10" max="10" width="13.85546875" bestFit="1" customWidth="1"/>
    <col min="11" max="11" width="10.7109375" bestFit="1" customWidth="1"/>
    <col min="12" max="12" width="11.140625" bestFit="1" customWidth="1"/>
    <col min="13" max="13" width="11.28515625" customWidth="1"/>
    <col min="14" max="14" width="12.5703125" customWidth="1"/>
    <col min="15" max="16" width="11" customWidth="1"/>
    <col min="17" max="17" width="15.5703125" customWidth="1"/>
  </cols>
  <sheetData>
    <row r="1" spans="1:21" x14ac:dyDescent="0.2">
      <c r="A1" s="1" t="s">
        <v>0</v>
      </c>
      <c r="B1" s="1" t="s">
        <v>1</v>
      </c>
      <c r="C1" s="1" t="s">
        <v>2</v>
      </c>
      <c r="D1" s="1" t="s">
        <v>3</v>
      </c>
      <c r="E1" s="3" t="s">
        <v>4</v>
      </c>
      <c r="F1" s="3" t="s">
        <v>5</v>
      </c>
      <c r="G1" s="13" t="s">
        <v>6</v>
      </c>
      <c r="H1" s="3" t="s">
        <v>7</v>
      </c>
      <c r="I1" s="3" t="s">
        <v>8</v>
      </c>
      <c r="J1" s="1" t="s">
        <v>9</v>
      </c>
      <c r="K1" s="1" t="s">
        <v>10</v>
      </c>
      <c r="L1" s="1" t="s">
        <v>11</v>
      </c>
      <c r="M1" s="1" t="s">
        <v>12</v>
      </c>
      <c r="N1" s="1" t="s">
        <v>65</v>
      </c>
      <c r="O1" s="1" t="s">
        <v>90</v>
      </c>
      <c r="P1" s="1" t="s">
        <v>106</v>
      </c>
    </row>
    <row r="2" spans="1:21" x14ac:dyDescent="0.2">
      <c r="A2" s="1">
        <v>10101</v>
      </c>
      <c r="B2" s="1" t="s">
        <v>13</v>
      </c>
      <c r="C2" s="1" t="s">
        <v>14</v>
      </c>
      <c r="D2" s="1" t="s">
        <v>15</v>
      </c>
      <c r="E2" s="3">
        <v>150</v>
      </c>
      <c r="F2" s="3">
        <v>200</v>
      </c>
      <c r="G2" s="13">
        <v>725</v>
      </c>
      <c r="H2" s="3">
        <v>145000</v>
      </c>
      <c r="I2" s="3">
        <v>36250</v>
      </c>
      <c r="J2" s="1" t="s">
        <v>16</v>
      </c>
      <c r="K2" s="1" t="s">
        <v>17</v>
      </c>
      <c r="L2" s="1" t="s">
        <v>18</v>
      </c>
      <c r="M2" s="1">
        <v>2019</v>
      </c>
      <c r="N2" s="1" t="str">
        <f t="shared" ref="N2:N65" si="0">IF(ISNUMBER(MATCH(J2,$S$7:$S$8,0)), "Anglophone","Francophone")</f>
        <v>Anglophone</v>
      </c>
      <c r="O2" s="3" t="str">
        <f>_xlfn.XLOOKUP(D:D,MappingTable[Brand],MappingTable[Brand Type], "not found")</f>
        <v>Beer</v>
      </c>
      <c r="P2" t="str">
        <f>_xlfn.XLOOKUP(L:L,MappingTable2[Month],MappingTable2[Quarters],"NIL")</f>
        <v>Q1</v>
      </c>
    </row>
    <row r="3" spans="1:21" x14ac:dyDescent="0.2">
      <c r="A3" s="1">
        <v>10102</v>
      </c>
      <c r="B3" s="1" t="s">
        <v>19</v>
      </c>
      <c r="C3" s="1" t="s">
        <v>20</v>
      </c>
      <c r="D3" s="1" t="s">
        <v>21</v>
      </c>
      <c r="E3" s="3">
        <v>250</v>
      </c>
      <c r="F3" s="3">
        <v>500</v>
      </c>
      <c r="G3" s="13">
        <v>815</v>
      </c>
      <c r="H3" s="3">
        <v>407500</v>
      </c>
      <c r="I3" s="3">
        <v>203750</v>
      </c>
      <c r="J3" s="1" t="s">
        <v>22</v>
      </c>
      <c r="K3" s="1" t="s">
        <v>23</v>
      </c>
      <c r="L3" s="1" t="s">
        <v>24</v>
      </c>
      <c r="M3" s="1">
        <v>2018</v>
      </c>
      <c r="N3" s="1" t="str">
        <f t="shared" si="0"/>
        <v>Anglophone</v>
      </c>
      <c r="O3" s="3" t="str">
        <f>_xlfn.XLOOKUP(D:D,MappingTable[Brand],MappingTable[Brand Type], "not found")</f>
        <v>Beer</v>
      </c>
      <c r="P3" t="str">
        <f>_xlfn.XLOOKUP(L:L,MappingTable2[Month],MappingTable2[Quarters],"NIL")</f>
        <v>Q1</v>
      </c>
    </row>
    <row r="4" spans="1:21" x14ac:dyDescent="0.2">
      <c r="A4" s="1">
        <v>10103</v>
      </c>
      <c r="B4" s="1" t="s">
        <v>25</v>
      </c>
      <c r="C4" s="1" t="s">
        <v>26</v>
      </c>
      <c r="D4" s="1" t="s">
        <v>27</v>
      </c>
      <c r="E4" s="3">
        <v>180</v>
      </c>
      <c r="F4" s="3">
        <v>450</v>
      </c>
      <c r="G4" s="13">
        <v>937</v>
      </c>
      <c r="H4" s="3">
        <v>421650</v>
      </c>
      <c r="I4" s="3">
        <v>252990</v>
      </c>
      <c r="J4" s="1" t="s">
        <v>28</v>
      </c>
      <c r="K4" s="1" t="s">
        <v>29</v>
      </c>
      <c r="L4" s="1" t="s">
        <v>30</v>
      </c>
      <c r="M4" s="1">
        <v>2018</v>
      </c>
      <c r="N4" s="1" t="str">
        <f t="shared" si="0"/>
        <v>Francophone</v>
      </c>
      <c r="O4" s="3" t="str">
        <f>_xlfn.XLOOKUP(D:D,MappingTable[Brand],MappingTable[Brand Type], "not found")</f>
        <v>Beer</v>
      </c>
      <c r="P4" t="str">
        <f>_xlfn.XLOOKUP(L:L,MappingTable2[Month],MappingTable2[Quarters],"NIL")</f>
        <v>Q1</v>
      </c>
      <c r="U4" s="2"/>
    </row>
    <row r="5" spans="1:21" x14ac:dyDescent="0.2">
      <c r="A5" s="1">
        <v>10104</v>
      </c>
      <c r="B5" s="1" t="s">
        <v>31</v>
      </c>
      <c r="C5" s="1" t="s">
        <v>32</v>
      </c>
      <c r="D5" s="1" t="s">
        <v>33</v>
      </c>
      <c r="E5" s="3">
        <v>170</v>
      </c>
      <c r="F5" s="3">
        <v>250</v>
      </c>
      <c r="G5" s="13">
        <v>765</v>
      </c>
      <c r="H5" s="3">
        <v>191250</v>
      </c>
      <c r="I5" s="3">
        <v>61200</v>
      </c>
      <c r="J5" s="1" t="s">
        <v>34</v>
      </c>
      <c r="K5" s="1" t="s">
        <v>35</v>
      </c>
      <c r="L5" s="1" t="s">
        <v>36</v>
      </c>
      <c r="M5" s="1">
        <v>2018</v>
      </c>
      <c r="N5" s="1" t="str">
        <f t="shared" si="0"/>
        <v>Francophone</v>
      </c>
      <c r="O5" s="3" t="str">
        <f>_xlfn.XLOOKUP(D:D,MappingTable[Brand],MappingTable[Brand Type], "not found")</f>
        <v>Beer</v>
      </c>
      <c r="P5" t="str">
        <f>_xlfn.XLOOKUP(L:L,MappingTable2[Month],MappingTable2[Quarters],"NIL")</f>
        <v>Q2</v>
      </c>
      <c r="U5" s="2"/>
    </row>
    <row r="6" spans="1:21" x14ac:dyDescent="0.2">
      <c r="A6" s="1">
        <v>10105</v>
      </c>
      <c r="B6" s="1" t="s">
        <v>37</v>
      </c>
      <c r="C6" s="1" t="s">
        <v>38</v>
      </c>
      <c r="D6" s="1" t="s">
        <v>39</v>
      </c>
      <c r="E6" s="3">
        <v>150</v>
      </c>
      <c r="F6" s="3">
        <v>200</v>
      </c>
      <c r="G6" s="13">
        <v>836</v>
      </c>
      <c r="H6" s="3">
        <v>167200</v>
      </c>
      <c r="I6" s="3">
        <v>41800</v>
      </c>
      <c r="J6" s="1" t="s">
        <v>40</v>
      </c>
      <c r="K6" s="1" t="s">
        <v>41</v>
      </c>
      <c r="L6" s="1" t="s">
        <v>42</v>
      </c>
      <c r="M6" s="1">
        <v>2017</v>
      </c>
      <c r="N6" s="1" t="str">
        <f t="shared" si="0"/>
        <v>Francophone</v>
      </c>
      <c r="O6" s="3" t="str">
        <f>_xlfn.XLOOKUP(D:D,MappingTable[Brand],MappingTable[Brand Type], "not found")</f>
        <v>Beer</v>
      </c>
      <c r="P6" t="str">
        <f>_xlfn.XLOOKUP(L:L,MappingTable2[Month],MappingTable2[Quarters],"NIL")</f>
        <v>Q2</v>
      </c>
      <c r="R6" s="14" t="s">
        <v>113</v>
      </c>
      <c r="S6" s="7" t="s">
        <v>66</v>
      </c>
      <c r="T6" s="7" t="s">
        <v>67</v>
      </c>
    </row>
    <row r="7" spans="1:21" x14ac:dyDescent="0.2">
      <c r="A7" s="1">
        <v>10106</v>
      </c>
      <c r="B7" s="1" t="s">
        <v>13</v>
      </c>
      <c r="C7" s="1" t="s">
        <v>14</v>
      </c>
      <c r="D7" s="1" t="s">
        <v>43</v>
      </c>
      <c r="E7" s="3">
        <v>80</v>
      </c>
      <c r="F7" s="3">
        <v>150</v>
      </c>
      <c r="G7" s="13">
        <v>798</v>
      </c>
      <c r="H7" s="3">
        <v>119700</v>
      </c>
      <c r="I7" s="3">
        <v>55860</v>
      </c>
      <c r="J7" s="1" t="s">
        <v>16</v>
      </c>
      <c r="K7" s="1" t="s">
        <v>44</v>
      </c>
      <c r="L7" s="1" t="s">
        <v>45</v>
      </c>
      <c r="M7" s="1">
        <v>2019</v>
      </c>
      <c r="N7" s="1" t="str">
        <f t="shared" si="0"/>
        <v>Anglophone</v>
      </c>
      <c r="O7" s="3" t="str">
        <f>_xlfn.XLOOKUP(D:D,MappingTable[Brand],MappingTable[Brand Type], "not found")</f>
        <v>Malt</v>
      </c>
      <c r="P7" t="str">
        <f>_xlfn.XLOOKUP(L:L,MappingTable2[Month],MappingTable2[Quarters],"NIL")</f>
        <v>Q2</v>
      </c>
      <c r="R7" s="4">
        <f>SUM(H:H)</f>
        <v>241892650</v>
      </c>
      <c r="S7" s="2" t="s">
        <v>22</v>
      </c>
      <c r="T7" s="1" t="s">
        <v>28</v>
      </c>
    </row>
    <row r="8" spans="1:21" x14ac:dyDescent="0.2">
      <c r="A8" s="1">
        <v>10107</v>
      </c>
      <c r="B8" s="1" t="s">
        <v>46</v>
      </c>
      <c r="C8" s="1" t="s">
        <v>47</v>
      </c>
      <c r="D8" s="1" t="s">
        <v>48</v>
      </c>
      <c r="E8" s="3">
        <v>90</v>
      </c>
      <c r="F8" s="3">
        <v>150</v>
      </c>
      <c r="G8" s="13">
        <v>954</v>
      </c>
      <c r="H8" s="3">
        <v>143100</v>
      </c>
      <c r="I8" s="3">
        <v>57240</v>
      </c>
      <c r="J8" s="1" t="s">
        <v>22</v>
      </c>
      <c r="K8" s="1" t="s">
        <v>17</v>
      </c>
      <c r="L8" s="1" t="s">
        <v>49</v>
      </c>
      <c r="M8" s="1">
        <v>2017</v>
      </c>
      <c r="N8" s="1" t="str">
        <f t="shared" si="0"/>
        <v>Anglophone</v>
      </c>
      <c r="O8" s="3" t="str">
        <f>_xlfn.XLOOKUP(D:D,MappingTable[Brand],MappingTable[Brand Type], "not found")</f>
        <v>Malt</v>
      </c>
      <c r="P8" t="str">
        <f>_xlfn.XLOOKUP(L:L,MappingTable2[Month],MappingTable2[Quarters],"NIL")</f>
        <v>Q3</v>
      </c>
      <c r="R8" s="7" t="s">
        <v>112</v>
      </c>
      <c r="S8" s="1" t="s">
        <v>16</v>
      </c>
      <c r="T8" s="1" t="s">
        <v>34</v>
      </c>
    </row>
    <row r="9" spans="1:21" x14ac:dyDescent="0.2">
      <c r="A9" s="1">
        <v>10108</v>
      </c>
      <c r="B9" s="1" t="s">
        <v>31</v>
      </c>
      <c r="C9" s="1" t="s">
        <v>32</v>
      </c>
      <c r="D9" s="1" t="s">
        <v>15</v>
      </c>
      <c r="E9" s="3">
        <v>150</v>
      </c>
      <c r="F9" s="3">
        <v>200</v>
      </c>
      <c r="G9" s="13">
        <v>812</v>
      </c>
      <c r="H9" s="3">
        <v>162400</v>
      </c>
      <c r="I9" s="3">
        <v>40600</v>
      </c>
      <c r="J9" s="1" t="s">
        <v>28</v>
      </c>
      <c r="K9" s="1" t="s">
        <v>23</v>
      </c>
      <c r="L9" s="1" t="s">
        <v>50</v>
      </c>
      <c r="M9" s="1">
        <v>2018</v>
      </c>
      <c r="N9" s="1" t="str">
        <f t="shared" si="0"/>
        <v>Francophone</v>
      </c>
      <c r="O9" s="3" t="str">
        <f>_xlfn.XLOOKUP(D:D,MappingTable[Brand],MappingTable[Brand Type], "not found")</f>
        <v>Beer</v>
      </c>
      <c r="P9" t="str">
        <f>_xlfn.XLOOKUP(L:L,MappingTable2[Month],MappingTable2[Quarters],"NIL")</f>
        <v>Q3</v>
      </c>
      <c r="R9" s="4">
        <f>SUM(I:I)</f>
        <v>105587420</v>
      </c>
      <c r="T9" s="1" t="s">
        <v>40</v>
      </c>
    </row>
    <row r="10" spans="1:21" x14ac:dyDescent="0.2">
      <c r="A10" s="1">
        <v>10109</v>
      </c>
      <c r="B10" s="1" t="s">
        <v>51</v>
      </c>
      <c r="C10" s="1" t="s">
        <v>52</v>
      </c>
      <c r="D10" s="1" t="s">
        <v>21</v>
      </c>
      <c r="E10" s="3">
        <v>250</v>
      </c>
      <c r="F10" s="3">
        <v>500</v>
      </c>
      <c r="G10" s="13">
        <v>700</v>
      </c>
      <c r="H10" s="3">
        <v>350000</v>
      </c>
      <c r="I10" s="3">
        <v>175000</v>
      </c>
      <c r="J10" s="1" t="s">
        <v>34</v>
      </c>
      <c r="K10" s="1" t="s">
        <v>29</v>
      </c>
      <c r="L10" s="1" t="s">
        <v>53</v>
      </c>
      <c r="M10" s="1">
        <v>2019</v>
      </c>
      <c r="N10" s="1" t="str">
        <f t="shared" si="0"/>
        <v>Francophone</v>
      </c>
      <c r="O10" s="3" t="str">
        <f>_xlfn.XLOOKUP(D:D,MappingTable[Brand],MappingTable[Brand Type], "not found")</f>
        <v>Beer</v>
      </c>
      <c r="P10" t="str">
        <f>_xlfn.XLOOKUP(L:L,MappingTable2[Month],MappingTable2[Quarters],"NIL")</f>
        <v>Q3</v>
      </c>
    </row>
    <row r="11" spans="1:21" x14ac:dyDescent="0.2">
      <c r="A11" s="1">
        <v>10110</v>
      </c>
      <c r="B11" s="1" t="s">
        <v>54</v>
      </c>
      <c r="C11" s="1" t="s">
        <v>55</v>
      </c>
      <c r="D11" s="1" t="s">
        <v>27</v>
      </c>
      <c r="E11" s="3">
        <v>180</v>
      </c>
      <c r="F11" s="3">
        <v>450</v>
      </c>
      <c r="G11" s="13">
        <v>745</v>
      </c>
      <c r="H11" s="3">
        <v>335250</v>
      </c>
      <c r="I11" s="3">
        <v>201150</v>
      </c>
      <c r="J11" s="1" t="s">
        <v>40</v>
      </c>
      <c r="K11" s="1" t="s">
        <v>35</v>
      </c>
      <c r="L11" s="1" t="s">
        <v>56</v>
      </c>
      <c r="M11" s="1">
        <v>2017</v>
      </c>
      <c r="N11" s="1" t="str">
        <f t="shared" si="0"/>
        <v>Francophone</v>
      </c>
      <c r="O11" s="3" t="str">
        <f>_xlfn.XLOOKUP(D:D,MappingTable[Brand],MappingTable[Brand Type], "not found")</f>
        <v>Beer</v>
      </c>
      <c r="P11" t="str">
        <f>_xlfn.XLOOKUP(L:L,MappingTable2[Month],MappingTable2[Quarters],"NIL")</f>
        <v>Q4</v>
      </c>
      <c r="S11" s="14" t="s">
        <v>89</v>
      </c>
      <c r="T11" s="14" t="s">
        <v>90</v>
      </c>
    </row>
    <row r="12" spans="1:21" x14ac:dyDescent="0.2">
      <c r="A12" s="1">
        <v>10111</v>
      </c>
      <c r="B12" s="1" t="s">
        <v>57</v>
      </c>
      <c r="C12" s="1" t="s">
        <v>58</v>
      </c>
      <c r="D12" s="1" t="s">
        <v>33</v>
      </c>
      <c r="E12" s="3">
        <v>170</v>
      </c>
      <c r="F12" s="3">
        <v>250</v>
      </c>
      <c r="G12" s="13">
        <v>861</v>
      </c>
      <c r="H12" s="3">
        <v>215250</v>
      </c>
      <c r="I12" s="3">
        <v>68880</v>
      </c>
      <c r="J12" s="1" t="s">
        <v>16</v>
      </c>
      <c r="K12" s="1" t="s">
        <v>41</v>
      </c>
      <c r="L12" s="1" t="s">
        <v>59</v>
      </c>
      <c r="M12" s="1">
        <v>2017</v>
      </c>
      <c r="N12" s="1" t="str">
        <f t="shared" si="0"/>
        <v>Anglophone</v>
      </c>
      <c r="O12" s="3" t="str">
        <f>_xlfn.XLOOKUP(D:D,MappingTable[Brand],MappingTable[Brand Type], "not found")</f>
        <v>Beer</v>
      </c>
      <c r="P12" t="str">
        <f>_xlfn.XLOOKUP(L:L,MappingTable2[Month],MappingTable2[Quarters],"NIL")</f>
        <v>Q4</v>
      </c>
      <c r="S12" s="1" t="s">
        <v>15</v>
      </c>
      <c r="T12" s="3" t="s">
        <v>91</v>
      </c>
    </row>
    <row r="13" spans="1:21" x14ac:dyDescent="0.2">
      <c r="A13" s="1">
        <v>10112</v>
      </c>
      <c r="B13" s="1" t="s">
        <v>31</v>
      </c>
      <c r="C13" s="1" t="s">
        <v>32</v>
      </c>
      <c r="D13" s="1" t="s">
        <v>39</v>
      </c>
      <c r="E13" s="3">
        <v>150</v>
      </c>
      <c r="F13" s="3">
        <v>200</v>
      </c>
      <c r="G13" s="13">
        <v>902</v>
      </c>
      <c r="H13" s="3">
        <v>180400</v>
      </c>
      <c r="I13" s="3">
        <v>45100</v>
      </c>
      <c r="J13" s="1" t="s">
        <v>22</v>
      </c>
      <c r="K13" s="1" t="s">
        <v>44</v>
      </c>
      <c r="L13" s="1" t="s">
        <v>60</v>
      </c>
      <c r="M13" s="1">
        <v>2019</v>
      </c>
      <c r="N13" s="1" t="str">
        <f t="shared" si="0"/>
        <v>Anglophone</v>
      </c>
      <c r="O13" s="3" t="str">
        <f>_xlfn.XLOOKUP(D:D,MappingTable[Brand],MappingTable[Brand Type], "not found")</f>
        <v>Beer</v>
      </c>
      <c r="P13" t="str">
        <f>_xlfn.XLOOKUP(L:L,MappingTable2[Month],MappingTable2[Quarters],"NIL")</f>
        <v>Q4</v>
      </c>
      <c r="S13" s="1" t="s">
        <v>21</v>
      </c>
      <c r="T13" s="3" t="s">
        <v>91</v>
      </c>
    </row>
    <row r="14" spans="1:21" x14ac:dyDescent="0.2">
      <c r="A14" s="1">
        <v>10113</v>
      </c>
      <c r="B14" s="1" t="s">
        <v>61</v>
      </c>
      <c r="C14" s="1" t="s">
        <v>62</v>
      </c>
      <c r="D14" s="1" t="s">
        <v>43</v>
      </c>
      <c r="E14" s="3">
        <v>80</v>
      </c>
      <c r="F14" s="3">
        <v>150</v>
      </c>
      <c r="G14" s="13">
        <v>731</v>
      </c>
      <c r="H14" s="3">
        <v>109650</v>
      </c>
      <c r="I14" s="3">
        <v>51170</v>
      </c>
      <c r="J14" s="1" t="s">
        <v>28</v>
      </c>
      <c r="K14" s="1" t="s">
        <v>17</v>
      </c>
      <c r="L14" s="1" t="s">
        <v>18</v>
      </c>
      <c r="M14" s="1">
        <v>2018</v>
      </c>
      <c r="N14" s="1" t="str">
        <f t="shared" si="0"/>
        <v>Francophone</v>
      </c>
      <c r="O14" s="3" t="str">
        <f>_xlfn.XLOOKUP(D:D,MappingTable[Brand],MappingTable[Brand Type], "not found")</f>
        <v>Malt</v>
      </c>
      <c r="P14" t="str">
        <f>_xlfn.XLOOKUP(L:L,MappingTable2[Month],MappingTable2[Quarters],"NIL")</f>
        <v>Q1</v>
      </c>
      <c r="S14" s="1" t="s">
        <v>27</v>
      </c>
      <c r="T14" s="3" t="s">
        <v>91</v>
      </c>
    </row>
    <row r="15" spans="1:21" x14ac:dyDescent="0.2">
      <c r="A15" s="1">
        <v>10114</v>
      </c>
      <c r="B15" s="1" t="s">
        <v>31</v>
      </c>
      <c r="C15" s="1" t="s">
        <v>32</v>
      </c>
      <c r="D15" s="1" t="s">
        <v>48</v>
      </c>
      <c r="E15" s="3">
        <v>90</v>
      </c>
      <c r="F15" s="3">
        <v>150</v>
      </c>
      <c r="G15" s="13">
        <v>843</v>
      </c>
      <c r="H15" s="3">
        <v>126450</v>
      </c>
      <c r="I15" s="3">
        <v>50580</v>
      </c>
      <c r="J15" s="1" t="s">
        <v>34</v>
      </c>
      <c r="K15" s="1" t="s">
        <v>23</v>
      </c>
      <c r="L15" s="1" t="s">
        <v>24</v>
      </c>
      <c r="M15" s="1">
        <v>2017</v>
      </c>
      <c r="N15" s="1" t="str">
        <f t="shared" si="0"/>
        <v>Francophone</v>
      </c>
      <c r="O15" s="3" t="str">
        <f>_xlfn.XLOOKUP(D:D,MappingTable[Brand],MappingTable[Brand Type], "not found")</f>
        <v>Malt</v>
      </c>
      <c r="P15" t="str">
        <f>_xlfn.XLOOKUP(L:L,MappingTable2[Month],MappingTable2[Quarters],"NIL")</f>
        <v>Q1</v>
      </c>
      <c r="S15" s="1" t="s">
        <v>33</v>
      </c>
      <c r="T15" s="3" t="s">
        <v>91</v>
      </c>
    </row>
    <row r="16" spans="1:21" x14ac:dyDescent="0.2">
      <c r="A16" s="1">
        <v>10115</v>
      </c>
      <c r="B16" s="1" t="s">
        <v>51</v>
      </c>
      <c r="C16" s="1" t="s">
        <v>52</v>
      </c>
      <c r="D16" s="1" t="s">
        <v>15</v>
      </c>
      <c r="E16" s="3">
        <v>150</v>
      </c>
      <c r="F16" s="3">
        <v>200</v>
      </c>
      <c r="G16" s="13">
        <v>939</v>
      </c>
      <c r="H16" s="3">
        <v>187800</v>
      </c>
      <c r="I16" s="3">
        <v>46950</v>
      </c>
      <c r="J16" s="1" t="s">
        <v>40</v>
      </c>
      <c r="K16" s="1" t="s">
        <v>29</v>
      </c>
      <c r="L16" s="1" t="s">
        <v>30</v>
      </c>
      <c r="M16" s="1">
        <v>2018</v>
      </c>
      <c r="N16" s="1" t="str">
        <f t="shared" si="0"/>
        <v>Francophone</v>
      </c>
      <c r="O16" s="3" t="str">
        <f>_xlfn.XLOOKUP(D:D,MappingTable[Brand],MappingTable[Brand Type], "not found")</f>
        <v>Beer</v>
      </c>
      <c r="P16" t="str">
        <f>_xlfn.XLOOKUP(L:L,MappingTable2[Month],MappingTable2[Quarters],"NIL")</f>
        <v>Q1</v>
      </c>
      <c r="S16" s="1" t="s">
        <v>39</v>
      </c>
      <c r="T16" s="3" t="s">
        <v>91</v>
      </c>
    </row>
    <row r="17" spans="1:20" x14ac:dyDescent="0.2">
      <c r="A17" s="1">
        <v>10116</v>
      </c>
      <c r="B17" s="1" t="s">
        <v>31</v>
      </c>
      <c r="C17" s="1" t="s">
        <v>32</v>
      </c>
      <c r="D17" s="1" t="s">
        <v>21</v>
      </c>
      <c r="E17" s="3">
        <v>250</v>
      </c>
      <c r="F17" s="3">
        <v>500</v>
      </c>
      <c r="G17" s="13">
        <v>709</v>
      </c>
      <c r="H17" s="3">
        <v>354500</v>
      </c>
      <c r="I17" s="3">
        <v>177250</v>
      </c>
      <c r="J17" s="1" t="s">
        <v>16</v>
      </c>
      <c r="K17" s="1" t="s">
        <v>35</v>
      </c>
      <c r="L17" s="1" t="s">
        <v>36</v>
      </c>
      <c r="M17" s="1">
        <v>2019</v>
      </c>
      <c r="N17" s="1" t="str">
        <f t="shared" si="0"/>
        <v>Anglophone</v>
      </c>
      <c r="O17" s="3" t="str">
        <f>_xlfn.XLOOKUP(D:D,MappingTable[Brand],MappingTable[Brand Type], "not found")</f>
        <v>Beer</v>
      </c>
      <c r="P17" t="str">
        <f>_xlfn.XLOOKUP(L:L,MappingTable2[Month],MappingTable2[Quarters],"NIL")</f>
        <v>Q2</v>
      </c>
      <c r="Q17" s="1"/>
      <c r="S17" s="1" t="s">
        <v>43</v>
      </c>
      <c r="T17" s="1" t="s">
        <v>92</v>
      </c>
    </row>
    <row r="18" spans="1:20" x14ac:dyDescent="0.2">
      <c r="A18" s="1">
        <v>10117</v>
      </c>
      <c r="B18" s="1" t="s">
        <v>57</v>
      </c>
      <c r="C18" s="1" t="s">
        <v>58</v>
      </c>
      <c r="D18" s="1" t="s">
        <v>27</v>
      </c>
      <c r="E18" s="3">
        <v>180</v>
      </c>
      <c r="F18" s="3">
        <v>450</v>
      </c>
      <c r="G18" s="13">
        <v>837</v>
      </c>
      <c r="H18" s="3">
        <v>376650</v>
      </c>
      <c r="I18" s="3">
        <v>225990</v>
      </c>
      <c r="J18" s="1" t="s">
        <v>22</v>
      </c>
      <c r="K18" s="1" t="s">
        <v>41</v>
      </c>
      <c r="L18" s="1" t="s">
        <v>42</v>
      </c>
      <c r="M18" s="1">
        <v>2017</v>
      </c>
      <c r="N18" s="1" t="str">
        <f t="shared" si="0"/>
        <v>Anglophone</v>
      </c>
      <c r="O18" s="3" t="str">
        <f>_xlfn.XLOOKUP(D:D,MappingTable[Brand],MappingTable[Brand Type], "not found")</f>
        <v>Beer</v>
      </c>
      <c r="P18" t="str">
        <f>_xlfn.XLOOKUP(L:L,MappingTable2[Month],MappingTable2[Quarters],"NIL")</f>
        <v>Q2</v>
      </c>
      <c r="Q18" s="1"/>
      <c r="S18" s="1" t="s">
        <v>48</v>
      </c>
      <c r="T18" s="1" t="s">
        <v>92</v>
      </c>
    </row>
    <row r="19" spans="1:20" x14ac:dyDescent="0.2">
      <c r="A19" s="1">
        <v>10118</v>
      </c>
      <c r="B19" s="1" t="s">
        <v>63</v>
      </c>
      <c r="C19" s="1" t="s">
        <v>64</v>
      </c>
      <c r="D19" s="1" t="s">
        <v>33</v>
      </c>
      <c r="E19" s="3">
        <v>170</v>
      </c>
      <c r="F19" s="3">
        <v>250</v>
      </c>
      <c r="G19" s="13">
        <v>910</v>
      </c>
      <c r="H19" s="3">
        <v>227500</v>
      </c>
      <c r="I19" s="3">
        <v>72800</v>
      </c>
      <c r="J19" s="1" t="s">
        <v>28</v>
      </c>
      <c r="K19" s="1" t="s">
        <v>44</v>
      </c>
      <c r="L19" s="1" t="s">
        <v>45</v>
      </c>
      <c r="M19" s="1">
        <v>2018</v>
      </c>
      <c r="N19" s="1" t="str">
        <f t="shared" si="0"/>
        <v>Francophone</v>
      </c>
      <c r="O19" s="3" t="str">
        <f>_xlfn.XLOOKUP(D:D,MappingTable[Brand],MappingTable[Brand Type], "not found")</f>
        <v>Beer</v>
      </c>
      <c r="P19" t="str">
        <f>_xlfn.XLOOKUP(L:L,MappingTable2[Month],MappingTable2[Quarters],"NIL")</f>
        <v>Q2</v>
      </c>
      <c r="Q19" s="1"/>
    </row>
    <row r="20" spans="1:20" x14ac:dyDescent="0.2">
      <c r="A20" s="1">
        <v>10119</v>
      </c>
      <c r="B20" s="1" t="s">
        <v>61</v>
      </c>
      <c r="C20" s="1" t="s">
        <v>62</v>
      </c>
      <c r="D20" s="1" t="s">
        <v>39</v>
      </c>
      <c r="E20" s="3">
        <v>150</v>
      </c>
      <c r="F20" s="3">
        <v>200</v>
      </c>
      <c r="G20" s="13">
        <v>996</v>
      </c>
      <c r="H20" s="3">
        <v>199200</v>
      </c>
      <c r="I20" s="3">
        <v>49800</v>
      </c>
      <c r="J20" s="1" t="s">
        <v>34</v>
      </c>
      <c r="K20" s="1" t="s">
        <v>17</v>
      </c>
      <c r="L20" s="1" t="s">
        <v>49</v>
      </c>
      <c r="M20" s="1">
        <v>2019</v>
      </c>
      <c r="N20" s="1" t="str">
        <f t="shared" si="0"/>
        <v>Francophone</v>
      </c>
      <c r="O20" s="3" t="str">
        <f>_xlfn.XLOOKUP(D:D,MappingTable[Brand],MappingTable[Brand Type], "not found")</f>
        <v>Beer</v>
      </c>
      <c r="P20" t="str">
        <f>_xlfn.XLOOKUP(L:L,MappingTable2[Month],MappingTable2[Quarters],"NIL")</f>
        <v>Q3</v>
      </c>
      <c r="Q20" s="1"/>
      <c r="S20" s="2" t="s">
        <v>78</v>
      </c>
      <c r="T20" s="2" t="s">
        <v>105</v>
      </c>
    </row>
    <row r="21" spans="1:20" x14ac:dyDescent="0.2">
      <c r="A21" s="1">
        <v>10120</v>
      </c>
      <c r="B21" s="1" t="s">
        <v>57</v>
      </c>
      <c r="C21" s="1" t="s">
        <v>58</v>
      </c>
      <c r="D21" s="1" t="s">
        <v>43</v>
      </c>
      <c r="E21" s="3">
        <v>80</v>
      </c>
      <c r="F21" s="3">
        <v>150</v>
      </c>
      <c r="G21" s="13">
        <v>731</v>
      </c>
      <c r="H21" s="3">
        <v>109650</v>
      </c>
      <c r="I21" s="3">
        <v>51170</v>
      </c>
      <c r="J21" s="1" t="s">
        <v>40</v>
      </c>
      <c r="K21" s="1" t="s">
        <v>23</v>
      </c>
      <c r="L21" s="1" t="s">
        <v>50</v>
      </c>
      <c r="M21" s="1">
        <v>2017</v>
      </c>
      <c r="N21" s="1" t="str">
        <f t="shared" si="0"/>
        <v>Francophone</v>
      </c>
      <c r="O21" s="3" t="str">
        <f>_xlfn.XLOOKUP(D:D,MappingTable[Brand],MappingTable[Brand Type], "not found")</f>
        <v>Malt</v>
      </c>
      <c r="P21" t="str">
        <f>_xlfn.XLOOKUP(L:L,MappingTable2[Month],MappingTable2[Quarters],"NIL")</f>
        <v>Q3</v>
      </c>
      <c r="Q21" s="1"/>
      <c r="S21" s="1" t="s">
        <v>18</v>
      </c>
      <c r="T21" s="2" t="s">
        <v>101</v>
      </c>
    </row>
    <row r="22" spans="1:20" x14ac:dyDescent="0.2">
      <c r="A22" s="1">
        <v>10121</v>
      </c>
      <c r="B22" s="1" t="s">
        <v>19</v>
      </c>
      <c r="C22" s="1" t="s">
        <v>20</v>
      </c>
      <c r="D22" s="1" t="s">
        <v>48</v>
      </c>
      <c r="E22" s="3">
        <v>90</v>
      </c>
      <c r="F22" s="3">
        <v>150</v>
      </c>
      <c r="G22" s="13">
        <v>898</v>
      </c>
      <c r="H22" s="3">
        <v>134700</v>
      </c>
      <c r="I22" s="3">
        <v>53880</v>
      </c>
      <c r="J22" s="1" t="s">
        <v>16</v>
      </c>
      <c r="K22" s="1" t="s">
        <v>29</v>
      </c>
      <c r="L22" s="1" t="s">
        <v>53</v>
      </c>
      <c r="M22" s="1">
        <v>2017</v>
      </c>
      <c r="N22" s="1" t="str">
        <f t="shared" si="0"/>
        <v>Anglophone</v>
      </c>
      <c r="O22" s="3" t="str">
        <f>_xlfn.XLOOKUP(D:D,MappingTable[Brand],MappingTable[Brand Type], "not found")</f>
        <v>Malt</v>
      </c>
      <c r="P22" t="str">
        <f>_xlfn.XLOOKUP(L:L,MappingTable2[Month],MappingTable2[Quarters],"NIL")</f>
        <v>Q3</v>
      </c>
      <c r="Q22" s="1"/>
      <c r="S22" s="1" t="s">
        <v>24</v>
      </c>
      <c r="T22" s="2" t="s">
        <v>101</v>
      </c>
    </row>
    <row r="23" spans="1:20" x14ac:dyDescent="0.2">
      <c r="A23" s="1">
        <v>10122</v>
      </c>
      <c r="B23" s="1" t="s">
        <v>61</v>
      </c>
      <c r="C23" s="1" t="s">
        <v>62</v>
      </c>
      <c r="D23" s="1" t="s">
        <v>15</v>
      </c>
      <c r="E23" s="3">
        <v>150</v>
      </c>
      <c r="F23" s="3">
        <v>200</v>
      </c>
      <c r="G23" s="13">
        <v>860</v>
      </c>
      <c r="H23" s="3">
        <v>172000</v>
      </c>
      <c r="I23" s="3">
        <v>43000</v>
      </c>
      <c r="J23" s="1" t="s">
        <v>22</v>
      </c>
      <c r="K23" s="1" t="s">
        <v>35</v>
      </c>
      <c r="L23" s="1" t="s">
        <v>56</v>
      </c>
      <c r="M23" s="1">
        <v>2018</v>
      </c>
      <c r="N23" s="1" t="str">
        <f t="shared" si="0"/>
        <v>Anglophone</v>
      </c>
      <c r="O23" s="3" t="str">
        <f>_xlfn.XLOOKUP(D:D,MappingTable[Brand],MappingTable[Brand Type], "not found")</f>
        <v>Beer</v>
      </c>
      <c r="P23" t="str">
        <f>_xlfn.XLOOKUP(L:L,MappingTable2[Month],MappingTable2[Quarters],"NIL")</f>
        <v>Q4</v>
      </c>
      <c r="Q23" s="1"/>
      <c r="S23" s="1" t="s">
        <v>30</v>
      </c>
      <c r="T23" s="2" t="s">
        <v>101</v>
      </c>
    </row>
    <row r="24" spans="1:20" x14ac:dyDescent="0.2">
      <c r="A24" s="1">
        <v>10123</v>
      </c>
      <c r="B24" s="1" t="s">
        <v>31</v>
      </c>
      <c r="C24" s="1" t="s">
        <v>32</v>
      </c>
      <c r="D24" s="1" t="s">
        <v>21</v>
      </c>
      <c r="E24" s="3">
        <v>250</v>
      </c>
      <c r="F24" s="3">
        <v>500</v>
      </c>
      <c r="G24" s="13">
        <v>859</v>
      </c>
      <c r="H24" s="3">
        <v>429500</v>
      </c>
      <c r="I24" s="3">
        <v>214750</v>
      </c>
      <c r="J24" s="1" t="s">
        <v>28</v>
      </c>
      <c r="K24" s="1" t="s">
        <v>41</v>
      </c>
      <c r="L24" s="1" t="s">
        <v>59</v>
      </c>
      <c r="M24" s="1">
        <v>2017</v>
      </c>
      <c r="N24" s="1" t="str">
        <f t="shared" si="0"/>
        <v>Francophone</v>
      </c>
      <c r="O24" s="3" t="str">
        <f>_xlfn.XLOOKUP(D:D,MappingTable[Brand],MappingTable[Brand Type], "not found")</f>
        <v>Beer</v>
      </c>
      <c r="P24" t="str">
        <f>_xlfn.XLOOKUP(L:L,MappingTable2[Month],MappingTable2[Quarters],"NIL")</f>
        <v>Q4</v>
      </c>
      <c r="Q24" s="1"/>
      <c r="S24" s="1" t="s">
        <v>36</v>
      </c>
      <c r="T24" s="2" t="s">
        <v>102</v>
      </c>
    </row>
    <row r="25" spans="1:20" x14ac:dyDescent="0.2">
      <c r="A25" s="1">
        <v>10124</v>
      </c>
      <c r="B25" s="1" t="s">
        <v>25</v>
      </c>
      <c r="C25" s="1" t="s">
        <v>26</v>
      </c>
      <c r="D25" s="1" t="s">
        <v>27</v>
      </c>
      <c r="E25" s="3">
        <v>180</v>
      </c>
      <c r="F25" s="3">
        <v>450</v>
      </c>
      <c r="G25" s="13">
        <v>857</v>
      </c>
      <c r="H25" s="3">
        <v>385650</v>
      </c>
      <c r="I25" s="3">
        <v>231390</v>
      </c>
      <c r="J25" s="1" t="s">
        <v>34</v>
      </c>
      <c r="K25" s="1" t="s">
        <v>44</v>
      </c>
      <c r="L25" s="1" t="s">
        <v>60</v>
      </c>
      <c r="M25" s="1">
        <v>2017</v>
      </c>
      <c r="N25" s="1" t="str">
        <f t="shared" si="0"/>
        <v>Francophone</v>
      </c>
      <c r="O25" s="3" t="str">
        <f>_xlfn.XLOOKUP(D:D,MappingTable[Brand],MappingTable[Brand Type], "not found")</f>
        <v>Beer</v>
      </c>
      <c r="P25" t="str">
        <f>_xlfn.XLOOKUP(L:L,MappingTable2[Month],MappingTable2[Quarters],"NIL")</f>
        <v>Q4</v>
      </c>
      <c r="Q25" s="1"/>
      <c r="S25" s="1" t="s">
        <v>42</v>
      </c>
      <c r="T25" s="2" t="s">
        <v>102</v>
      </c>
    </row>
    <row r="26" spans="1:20" x14ac:dyDescent="0.2">
      <c r="A26" s="1">
        <v>10125</v>
      </c>
      <c r="B26" s="1" t="s">
        <v>13</v>
      </c>
      <c r="C26" s="1" t="s">
        <v>14</v>
      </c>
      <c r="D26" s="1" t="s">
        <v>33</v>
      </c>
      <c r="E26" s="3">
        <v>170</v>
      </c>
      <c r="F26" s="3">
        <v>250</v>
      </c>
      <c r="G26" s="13">
        <v>715</v>
      </c>
      <c r="H26" s="3">
        <v>178750</v>
      </c>
      <c r="I26" s="3">
        <v>57200</v>
      </c>
      <c r="J26" s="1" t="s">
        <v>40</v>
      </c>
      <c r="K26" s="1" t="s">
        <v>17</v>
      </c>
      <c r="L26" s="1" t="s">
        <v>18</v>
      </c>
      <c r="M26" s="1">
        <v>2018</v>
      </c>
      <c r="N26" s="1" t="str">
        <f t="shared" si="0"/>
        <v>Francophone</v>
      </c>
      <c r="O26" s="3" t="str">
        <f>_xlfn.XLOOKUP(D:D,MappingTable[Brand],MappingTable[Brand Type], "not found")</f>
        <v>Beer</v>
      </c>
      <c r="P26" t="str">
        <f>_xlfn.XLOOKUP(L:L,MappingTable2[Month],MappingTable2[Quarters],"NIL")</f>
        <v>Q1</v>
      </c>
      <c r="Q26" s="1"/>
      <c r="S26" s="1" t="s">
        <v>45</v>
      </c>
      <c r="T26" s="2" t="s">
        <v>102</v>
      </c>
    </row>
    <row r="27" spans="1:20" x14ac:dyDescent="0.2">
      <c r="A27" s="1">
        <v>10126</v>
      </c>
      <c r="B27" s="1" t="s">
        <v>37</v>
      </c>
      <c r="C27" s="1" t="s">
        <v>38</v>
      </c>
      <c r="D27" s="1" t="s">
        <v>39</v>
      </c>
      <c r="E27" s="3">
        <v>150</v>
      </c>
      <c r="F27" s="3">
        <v>200</v>
      </c>
      <c r="G27" s="13">
        <v>999</v>
      </c>
      <c r="H27" s="3">
        <v>199800</v>
      </c>
      <c r="I27" s="3">
        <v>49950</v>
      </c>
      <c r="J27" s="1" t="s">
        <v>16</v>
      </c>
      <c r="K27" s="1" t="s">
        <v>23</v>
      </c>
      <c r="L27" s="1" t="s">
        <v>24</v>
      </c>
      <c r="M27" s="1">
        <v>2018</v>
      </c>
      <c r="N27" s="1" t="str">
        <f t="shared" si="0"/>
        <v>Anglophone</v>
      </c>
      <c r="O27" s="3" t="str">
        <f>_xlfn.XLOOKUP(D:D,MappingTable[Brand],MappingTable[Brand Type], "not found")</f>
        <v>Beer</v>
      </c>
      <c r="P27" t="str">
        <f>_xlfn.XLOOKUP(L:L,MappingTable2[Month],MappingTable2[Quarters],"NIL")</f>
        <v>Q1</v>
      </c>
      <c r="Q27" s="1"/>
      <c r="S27" s="1" t="s">
        <v>49</v>
      </c>
      <c r="T27" s="2" t="s">
        <v>103</v>
      </c>
    </row>
    <row r="28" spans="1:20" x14ac:dyDescent="0.2">
      <c r="A28" s="1">
        <v>10127</v>
      </c>
      <c r="B28" s="1" t="s">
        <v>54</v>
      </c>
      <c r="C28" s="1" t="s">
        <v>55</v>
      </c>
      <c r="D28" s="1" t="s">
        <v>43</v>
      </c>
      <c r="E28" s="3">
        <v>80</v>
      </c>
      <c r="F28" s="3">
        <v>150</v>
      </c>
      <c r="G28" s="13">
        <v>982</v>
      </c>
      <c r="H28" s="3">
        <v>147300</v>
      </c>
      <c r="I28" s="3">
        <v>68740</v>
      </c>
      <c r="J28" s="1" t="s">
        <v>22</v>
      </c>
      <c r="K28" s="1" t="s">
        <v>29</v>
      </c>
      <c r="L28" s="1" t="s">
        <v>30</v>
      </c>
      <c r="M28" s="1">
        <v>2017</v>
      </c>
      <c r="N28" s="1" t="str">
        <f t="shared" si="0"/>
        <v>Anglophone</v>
      </c>
      <c r="O28" s="3" t="str">
        <f>_xlfn.XLOOKUP(D:D,MappingTable[Brand],MappingTable[Brand Type], "not found")</f>
        <v>Malt</v>
      </c>
      <c r="P28" t="str">
        <f>_xlfn.XLOOKUP(L:L,MappingTable2[Month],MappingTable2[Quarters],"NIL")</f>
        <v>Q1</v>
      </c>
      <c r="Q28" s="1"/>
      <c r="S28" s="1" t="s">
        <v>50</v>
      </c>
      <c r="T28" s="2" t="s">
        <v>103</v>
      </c>
    </row>
    <row r="29" spans="1:20" x14ac:dyDescent="0.2">
      <c r="A29" s="1">
        <v>10128</v>
      </c>
      <c r="B29" s="1" t="s">
        <v>19</v>
      </c>
      <c r="C29" s="1" t="s">
        <v>20</v>
      </c>
      <c r="D29" s="1" t="s">
        <v>48</v>
      </c>
      <c r="E29" s="3">
        <v>90</v>
      </c>
      <c r="F29" s="3">
        <v>150</v>
      </c>
      <c r="G29" s="13">
        <v>920</v>
      </c>
      <c r="H29" s="3">
        <v>138000</v>
      </c>
      <c r="I29" s="3">
        <v>55200</v>
      </c>
      <c r="J29" s="1" t="s">
        <v>28</v>
      </c>
      <c r="K29" s="1" t="s">
        <v>35</v>
      </c>
      <c r="L29" s="1" t="s">
        <v>36</v>
      </c>
      <c r="M29" s="1">
        <v>2018</v>
      </c>
      <c r="N29" s="1" t="str">
        <f t="shared" si="0"/>
        <v>Francophone</v>
      </c>
      <c r="O29" s="3" t="str">
        <f>_xlfn.XLOOKUP(D:D,MappingTable[Brand],MappingTable[Brand Type], "not found")</f>
        <v>Malt</v>
      </c>
      <c r="P29" t="str">
        <f>_xlfn.XLOOKUP(L:L,MappingTable2[Month],MappingTable2[Quarters],"NIL")</f>
        <v>Q2</v>
      </c>
      <c r="Q29" s="1"/>
      <c r="S29" s="1" t="s">
        <v>53</v>
      </c>
      <c r="T29" s="2" t="s">
        <v>103</v>
      </c>
    </row>
    <row r="30" spans="1:20" x14ac:dyDescent="0.2">
      <c r="A30" s="1">
        <v>10129</v>
      </c>
      <c r="B30" s="1" t="s">
        <v>19</v>
      </c>
      <c r="C30" s="1" t="s">
        <v>20</v>
      </c>
      <c r="D30" s="1" t="s">
        <v>15</v>
      </c>
      <c r="E30" s="3">
        <v>150</v>
      </c>
      <c r="F30" s="3">
        <v>200</v>
      </c>
      <c r="G30" s="13">
        <v>875</v>
      </c>
      <c r="H30" s="3">
        <v>175000</v>
      </c>
      <c r="I30" s="3">
        <v>43750</v>
      </c>
      <c r="J30" s="1" t="s">
        <v>34</v>
      </c>
      <c r="K30" s="1" t="s">
        <v>41</v>
      </c>
      <c r="L30" s="1" t="s">
        <v>42</v>
      </c>
      <c r="M30" s="1">
        <v>2017</v>
      </c>
      <c r="N30" s="1" t="str">
        <f t="shared" si="0"/>
        <v>Francophone</v>
      </c>
      <c r="O30" s="3" t="str">
        <f>_xlfn.XLOOKUP(D:D,MappingTable[Brand],MappingTable[Brand Type], "not found")</f>
        <v>Beer</v>
      </c>
      <c r="P30" t="str">
        <f>_xlfn.XLOOKUP(L:L,MappingTable2[Month],MappingTable2[Quarters],"NIL")</f>
        <v>Q2</v>
      </c>
      <c r="Q30" s="1"/>
      <c r="S30" s="1" t="s">
        <v>56</v>
      </c>
      <c r="T30" s="2" t="s">
        <v>104</v>
      </c>
    </row>
    <row r="31" spans="1:20" x14ac:dyDescent="0.2">
      <c r="A31" s="1">
        <v>10130</v>
      </c>
      <c r="B31" s="1" t="s">
        <v>63</v>
      </c>
      <c r="C31" s="1" t="s">
        <v>64</v>
      </c>
      <c r="D31" s="1" t="s">
        <v>21</v>
      </c>
      <c r="E31" s="3">
        <v>250</v>
      </c>
      <c r="F31" s="3">
        <v>500</v>
      </c>
      <c r="G31" s="13">
        <v>945</v>
      </c>
      <c r="H31" s="3">
        <v>472500</v>
      </c>
      <c r="I31" s="3">
        <v>236250</v>
      </c>
      <c r="J31" s="1" t="s">
        <v>40</v>
      </c>
      <c r="K31" s="1" t="s">
        <v>44</v>
      </c>
      <c r="L31" s="1" t="s">
        <v>45</v>
      </c>
      <c r="M31" s="1">
        <v>2019</v>
      </c>
      <c r="N31" s="1" t="str">
        <f t="shared" si="0"/>
        <v>Francophone</v>
      </c>
      <c r="O31" s="3" t="str">
        <f>_xlfn.XLOOKUP(D:D,MappingTable[Brand],MappingTable[Brand Type], "not found")</f>
        <v>Beer</v>
      </c>
      <c r="P31" t="str">
        <f>_xlfn.XLOOKUP(L:L,MappingTable2[Month],MappingTable2[Quarters],"NIL")</f>
        <v>Q2</v>
      </c>
      <c r="Q31" s="1"/>
      <c r="S31" s="1" t="s">
        <v>59</v>
      </c>
      <c r="T31" s="2" t="s">
        <v>104</v>
      </c>
    </row>
    <row r="32" spans="1:20" x14ac:dyDescent="0.2">
      <c r="A32" s="1">
        <v>10131</v>
      </c>
      <c r="B32" s="1" t="s">
        <v>31</v>
      </c>
      <c r="C32" s="1" t="s">
        <v>32</v>
      </c>
      <c r="D32" s="1" t="s">
        <v>27</v>
      </c>
      <c r="E32" s="3">
        <v>180</v>
      </c>
      <c r="F32" s="3">
        <v>450</v>
      </c>
      <c r="G32" s="13">
        <v>794</v>
      </c>
      <c r="H32" s="3">
        <v>357300</v>
      </c>
      <c r="I32" s="3">
        <v>214380</v>
      </c>
      <c r="J32" s="1" t="s">
        <v>16</v>
      </c>
      <c r="K32" s="1" t="s">
        <v>17</v>
      </c>
      <c r="L32" s="1" t="s">
        <v>49</v>
      </c>
      <c r="M32" s="1">
        <v>2019</v>
      </c>
      <c r="N32" s="1" t="str">
        <f t="shared" si="0"/>
        <v>Anglophone</v>
      </c>
      <c r="O32" s="3" t="str">
        <f>_xlfn.XLOOKUP(D:D,MappingTable[Brand],MappingTable[Brand Type], "not found")</f>
        <v>Beer</v>
      </c>
      <c r="P32" t="str">
        <f>_xlfn.XLOOKUP(L:L,MappingTable2[Month],MappingTable2[Quarters],"NIL")</f>
        <v>Q3</v>
      </c>
      <c r="Q32" s="1"/>
      <c r="S32" s="1" t="s">
        <v>60</v>
      </c>
      <c r="T32" s="2" t="s">
        <v>104</v>
      </c>
    </row>
    <row r="33" spans="1:17" x14ac:dyDescent="0.2">
      <c r="A33" s="1">
        <v>10132</v>
      </c>
      <c r="B33" s="1" t="s">
        <v>51</v>
      </c>
      <c r="C33" s="1" t="s">
        <v>52</v>
      </c>
      <c r="D33" s="1" t="s">
        <v>33</v>
      </c>
      <c r="E33" s="3">
        <v>170</v>
      </c>
      <c r="F33" s="3">
        <v>250</v>
      </c>
      <c r="G33" s="13">
        <v>826</v>
      </c>
      <c r="H33" s="3">
        <v>206500</v>
      </c>
      <c r="I33" s="3">
        <v>66080</v>
      </c>
      <c r="J33" s="1" t="s">
        <v>22</v>
      </c>
      <c r="K33" s="1" t="s">
        <v>23</v>
      </c>
      <c r="L33" s="1" t="s">
        <v>50</v>
      </c>
      <c r="M33" s="1">
        <v>2017</v>
      </c>
      <c r="N33" s="1" t="str">
        <f t="shared" si="0"/>
        <v>Anglophone</v>
      </c>
      <c r="O33" s="3" t="str">
        <f>_xlfn.XLOOKUP(D:D,MappingTable[Brand],MappingTable[Brand Type], "not found")</f>
        <v>Beer</v>
      </c>
      <c r="P33" t="str">
        <f>_xlfn.XLOOKUP(L:L,MappingTable2[Month],MappingTable2[Quarters],"NIL")</f>
        <v>Q3</v>
      </c>
      <c r="Q33" s="1"/>
    </row>
    <row r="34" spans="1:17" x14ac:dyDescent="0.2">
      <c r="A34" s="1">
        <v>10133</v>
      </c>
      <c r="B34" s="1" t="s">
        <v>63</v>
      </c>
      <c r="C34" s="1" t="s">
        <v>64</v>
      </c>
      <c r="D34" s="1" t="s">
        <v>39</v>
      </c>
      <c r="E34" s="3">
        <v>150</v>
      </c>
      <c r="F34" s="3">
        <v>200</v>
      </c>
      <c r="G34" s="13">
        <v>1000</v>
      </c>
      <c r="H34" s="3">
        <v>200000</v>
      </c>
      <c r="I34" s="3">
        <v>50000</v>
      </c>
      <c r="J34" s="1" t="s">
        <v>28</v>
      </c>
      <c r="K34" s="1" t="s">
        <v>29</v>
      </c>
      <c r="L34" s="1" t="s">
        <v>53</v>
      </c>
      <c r="M34" s="1">
        <v>2019</v>
      </c>
      <c r="N34" s="1" t="str">
        <f t="shared" si="0"/>
        <v>Francophone</v>
      </c>
      <c r="O34" s="3" t="str">
        <f>_xlfn.XLOOKUP(D:D,MappingTable[Brand],MappingTable[Brand Type], "not found")</f>
        <v>Beer</v>
      </c>
      <c r="P34" t="str">
        <f>_xlfn.XLOOKUP(L:L,MappingTable2[Month],MappingTable2[Quarters],"NIL")</f>
        <v>Q3</v>
      </c>
      <c r="Q34" s="1"/>
    </row>
    <row r="35" spans="1:17" x14ac:dyDescent="0.2">
      <c r="A35" s="1">
        <v>10134</v>
      </c>
      <c r="B35" s="1" t="s">
        <v>25</v>
      </c>
      <c r="C35" s="1" t="s">
        <v>26</v>
      </c>
      <c r="D35" s="1" t="s">
        <v>43</v>
      </c>
      <c r="E35" s="3">
        <v>80</v>
      </c>
      <c r="F35" s="3">
        <v>150</v>
      </c>
      <c r="G35" s="13">
        <v>804</v>
      </c>
      <c r="H35" s="3">
        <v>120600</v>
      </c>
      <c r="I35" s="3">
        <v>56280</v>
      </c>
      <c r="J35" s="1" t="s">
        <v>34</v>
      </c>
      <c r="K35" s="1" t="s">
        <v>35</v>
      </c>
      <c r="L35" s="1" t="s">
        <v>56</v>
      </c>
      <c r="M35" s="1">
        <v>2018</v>
      </c>
      <c r="N35" s="1" t="str">
        <f t="shared" si="0"/>
        <v>Francophone</v>
      </c>
      <c r="O35" s="3" t="str">
        <f>_xlfn.XLOOKUP(D:D,MappingTable[Brand],MappingTable[Brand Type], "not found")</f>
        <v>Malt</v>
      </c>
      <c r="P35" t="str">
        <f>_xlfn.XLOOKUP(L:L,MappingTable2[Month],MappingTable2[Quarters],"NIL")</f>
        <v>Q4</v>
      </c>
      <c r="Q35" s="1"/>
    </row>
    <row r="36" spans="1:17" x14ac:dyDescent="0.2">
      <c r="A36" s="1">
        <v>10135</v>
      </c>
      <c r="B36" s="1" t="s">
        <v>19</v>
      </c>
      <c r="C36" s="1" t="s">
        <v>20</v>
      </c>
      <c r="D36" s="1" t="s">
        <v>48</v>
      </c>
      <c r="E36" s="3">
        <v>90</v>
      </c>
      <c r="F36" s="3">
        <v>150</v>
      </c>
      <c r="G36" s="13">
        <v>890</v>
      </c>
      <c r="H36" s="3">
        <v>133500</v>
      </c>
      <c r="I36" s="3">
        <v>53400</v>
      </c>
      <c r="J36" s="1" t="s">
        <v>40</v>
      </c>
      <c r="K36" s="1" t="s">
        <v>41</v>
      </c>
      <c r="L36" s="1" t="s">
        <v>59</v>
      </c>
      <c r="M36" s="1">
        <v>2017</v>
      </c>
      <c r="N36" s="1" t="str">
        <f t="shared" si="0"/>
        <v>Francophone</v>
      </c>
      <c r="O36" s="3" t="str">
        <f>_xlfn.XLOOKUP(D:D,MappingTable[Brand],MappingTable[Brand Type], "not found")</f>
        <v>Malt</v>
      </c>
      <c r="P36" t="str">
        <f>_xlfn.XLOOKUP(L:L,MappingTable2[Month],MappingTable2[Quarters],"NIL")</f>
        <v>Q4</v>
      </c>
      <c r="Q36" s="1"/>
    </row>
    <row r="37" spans="1:17" x14ac:dyDescent="0.2">
      <c r="A37" s="1">
        <v>10136</v>
      </c>
      <c r="B37" s="1" t="s">
        <v>25</v>
      </c>
      <c r="C37" s="1" t="s">
        <v>26</v>
      </c>
      <c r="D37" s="1" t="s">
        <v>15</v>
      </c>
      <c r="E37" s="3">
        <v>150</v>
      </c>
      <c r="F37" s="3">
        <v>200</v>
      </c>
      <c r="G37" s="13">
        <v>870</v>
      </c>
      <c r="H37" s="3">
        <v>174000</v>
      </c>
      <c r="I37" s="3">
        <v>43500</v>
      </c>
      <c r="J37" s="1" t="s">
        <v>16</v>
      </c>
      <c r="K37" s="1" t="s">
        <v>44</v>
      </c>
      <c r="L37" s="1" t="s">
        <v>60</v>
      </c>
      <c r="M37" s="1">
        <v>2017</v>
      </c>
      <c r="N37" s="1" t="str">
        <f t="shared" si="0"/>
        <v>Anglophone</v>
      </c>
      <c r="O37" s="3" t="str">
        <f>_xlfn.XLOOKUP(D:D,MappingTable[Brand],MappingTable[Brand Type], "not found")</f>
        <v>Beer</v>
      </c>
      <c r="P37" t="str">
        <f>_xlfn.XLOOKUP(L:L,MappingTable2[Month],MappingTable2[Quarters],"NIL")</f>
        <v>Q4</v>
      </c>
      <c r="Q37" s="1"/>
    </row>
    <row r="38" spans="1:17" x14ac:dyDescent="0.2">
      <c r="A38" s="1">
        <v>10137</v>
      </c>
      <c r="B38" s="1" t="s">
        <v>46</v>
      </c>
      <c r="C38" s="1" t="s">
        <v>47</v>
      </c>
      <c r="D38" s="1" t="s">
        <v>21</v>
      </c>
      <c r="E38" s="3">
        <v>250</v>
      </c>
      <c r="F38" s="3">
        <v>500</v>
      </c>
      <c r="G38" s="13">
        <v>821</v>
      </c>
      <c r="H38" s="3">
        <v>410500</v>
      </c>
      <c r="I38" s="3">
        <v>205250</v>
      </c>
      <c r="J38" s="1" t="s">
        <v>22</v>
      </c>
      <c r="K38" s="1" t="s">
        <v>17</v>
      </c>
      <c r="L38" s="1" t="s">
        <v>18</v>
      </c>
      <c r="M38" s="1">
        <v>2017</v>
      </c>
      <c r="N38" s="1" t="str">
        <f t="shared" si="0"/>
        <v>Anglophone</v>
      </c>
      <c r="O38" s="3" t="str">
        <f>_xlfn.XLOOKUP(D:D,MappingTable[Brand],MappingTable[Brand Type], "not found")</f>
        <v>Beer</v>
      </c>
      <c r="P38" t="str">
        <f>_xlfn.XLOOKUP(L:L,MappingTable2[Month],MappingTable2[Quarters],"NIL")</f>
        <v>Q1</v>
      </c>
      <c r="Q38" s="1"/>
    </row>
    <row r="39" spans="1:17" x14ac:dyDescent="0.2">
      <c r="A39" s="1">
        <v>10138</v>
      </c>
      <c r="B39" s="1" t="s">
        <v>37</v>
      </c>
      <c r="C39" s="1" t="s">
        <v>38</v>
      </c>
      <c r="D39" s="1" t="s">
        <v>27</v>
      </c>
      <c r="E39" s="3">
        <v>180</v>
      </c>
      <c r="F39" s="3">
        <v>450</v>
      </c>
      <c r="G39" s="13">
        <v>950</v>
      </c>
      <c r="H39" s="3">
        <v>427500</v>
      </c>
      <c r="I39" s="3">
        <v>256500</v>
      </c>
      <c r="J39" s="1" t="s">
        <v>28</v>
      </c>
      <c r="K39" s="1" t="s">
        <v>23</v>
      </c>
      <c r="L39" s="1" t="s">
        <v>24</v>
      </c>
      <c r="M39" s="1">
        <v>2018</v>
      </c>
      <c r="N39" s="1" t="str">
        <f t="shared" si="0"/>
        <v>Francophone</v>
      </c>
      <c r="O39" s="3" t="str">
        <f>_xlfn.XLOOKUP(D:D,MappingTable[Brand],MappingTable[Brand Type], "not found")</f>
        <v>Beer</v>
      </c>
      <c r="P39" t="str">
        <f>_xlfn.XLOOKUP(L:L,MappingTable2[Month],MappingTable2[Quarters],"NIL")</f>
        <v>Q1</v>
      </c>
      <c r="Q39" s="1"/>
    </row>
    <row r="40" spans="1:17" x14ac:dyDescent="0.2">
      <c r="A40" s="1">
        <v>10139</v>
      </c>
      <c r="B40" s="1" t="s">
        <v>13</v>
      </c>
      <c r="C40" s="1" t="s">
        <v>14</v>
      </c>
      <c r="D40" s="1" t="s">
        <v>33</v>
      </c>
      <c r="E40" s="3">
        <v>170</v>
      </c>
      <c r="F40" s="3">
        <v>250</v>
      </c>
      <c r="G40" s="13">
        <v>784</v>
      </c>
      <c r="H40" s="3">
        <v>196000</v>
      </c>
      <c r="I40" s="3">
        <v>62720</v>
      </c>
      <c r="J40" s="1" t="s">
        <v>34</v>
      </c>
      <c r="K40" s="1" t="s">
        <v>29</v>
      </c>
      <c r="L40" s="1" t="s">
        <v>30</v>
      </c>
      <c r="M40" s="1">
        <v>2019</v>
      </c>
      <c r="N40" s="1" t="str">
        <f t="shared" si="0"/>
        <v>Francophone</v>
      </c>
      <c r="O40" s="3" t="str">
        <f>_xlfn.XLOOKUP(D:D,MappingTable[Brand],MappingTable[Brand Type], "not found")</f>
        <v>Beer</v>
      </c>
      <c r="P40" t="str">
        <f>_xlfn.XLOOKUP(L:L,MappingTable2[Month],MappingTable2[Quarters],"NIL")</f>
        <v>Q1</v>
      </c>
      <c r="Q40" s="1"/>
    </row>
    <row r="41" spans="1:17" x14ac:dyDescent="0.2">
      <c r="A41" s="1">
        <v>10140</v>
      </c>
      <c r="B41" s="1" t="s">
        <v>13</v>
      </c>
      <c r="C41" s="1" t="s">
        <v>14</v>
      </c>
      <c r="D41" s="1" t="s">
        <v>39</v>
      </c>
      <c r="E41" s="3">
        <v>150</v>
      </c>
      <c r="F41" s="3">
        <v>200</v>
      </c>
      <c r="G41" s="13">
        <v>999</v>
      </c>
      <c r="H41" s="3">
        <v>199800</v>
      </c>
      <c r="I41" s="3">
        <v>49950</v>
      </c>
      <c r="J41" s="1" t="s">
        <v>40</v>
      </c>
      <c r="K41" s="1" t="s">
        <v>35</v>
      </c>
      <c r="L41" s="1" t="s">
        <v>36</v>
      </c>
      <c r="M41" s="1">
        <v>2019</v>
      </c>
      <c r="N41" s="1" t="str">
        <f t="shared" si="0"/>
        <v>Francophone</v>
      </c>
      <c r="O41" s="3" t="str">
        <f>_xlfn.XLOOKUP(D:D,MappingTable[Brand],MappingTable[Brand Type], "not found")</f>
        <v>Beer</v>
      </c>
      <c r="P41" t="str">
        <f>_xlfn.XLOOKUP(L:L,MappingTable2[Month],MappingTable2[Quarters],"NIL")</f>
        <v>Q2</v>
      </c>
      <c r="Q41" s="1"/>
    </row>
    <row r="42" spans="1:17" x14ac:dyDescent="0.2">
      <c r="A42" s="1">
        <v>10141</v>
      </c>
      <c r="B42" s="1" t="s">
        <v>37</v>
      </c>
      <c r="C42" s="1" t="s">
        <v>38</v>
      </c>
      <c r="D42" s="1" t="s">
        <v>43</v>
      </c>
      <c r="E42" s="3">
        <v>80</v>
      </c>
      <c r="F42" s="3">
        <v>150</v>
      </c>
      <c r="G42" s="13">
        <v>894</v>
      </c>
      <c r="H42" s="3">
        <v>134100</v>
      </c>
      <c r="I42" s="3">
        <v>62580</v>
      </c>
      <c r="J42" s="1" t="s">
        <v>16</v>
      </c>
      <c r="K42" s="1" t="s">
        <v>41</v>
      </c>
      <c r="L42" s="1" t="s">
        <v>42</v>
      </c>
      <c r="M42" s="1">
        <v>2019</v>
      </c>
      <c r="N42" s="1" t="str">
        <f t="shared" si="0"/>
        <v>Anglophone</v>
      </c>
      <c r="O42" s="3" t="str">
        <f>_xlfn.XLOOKUP(D:D,MappingTable[Brand],MappingTable[Brand Type], "not found")</f>
        <v>Malt</v>
      </c>
      <c r="P42" t="str">
        <f>_xlfn.XLOOKUP(L:L,MappingTable2[Month],MappingTable2[Quarters],"NIL")</f>
        <v>Q2</v>
      </c>
      <c r="Q42" s="1"/>
    </row>
    <row r="43" spans="1:17" x14ac:dyDescent="0.2">
      <c r="A43" s="1">
        <v>10142</v>
      </c>
      <c r="B43" s="1" t="s">
        <v>13</v>
      </c>
      <c r="C43" s="1" t="s">
        <v>14</v>
      </c>
      <c r="D43" s="1" t="s">
        <v>48</v>
      </c>
      <c r="E43" s="3">
        <v>90</v>
      </c>
      <c r="F43" s="3">
        <v>150</v>
      </c>
      <c r="G43" s="13">
        <v>827</v>
      </c>
      <c r="H43" s="3">
        <v>124050</v>
      </c>
      <c r="I43" s="3">
        <v>49620</v>
      </c>
      <c r="J43" s="1" t="s">
        <v>22</v>
      </c>
      <c r="K43" s="1" t="s">
        <v>44</v>
      </c>
      <c r="L43" s="1" t="s">
        <v>45</v>
      </c>
      <c r="M43" s="1">
        <v>2017</v>
      </c>
      <c r="N43" s="1" t="str">
        <f t="shared" si="0"/>
        <v>Anglophone</v>
      </c>
      <c r="O43" s="3" t="str">
        <f>_xlfn.XLOOKUP(D:D,MappingTable[Brand],MappingTable[Brand Type], "not found")</f>
        <v>Malt</v>
      </c>
      <c r="P43" t="str">
        <f>_xlfn.XLOOKUP(L:L,MappingTable2[Month],MappingTable2[Quarters],"NIL")</f>
        <v>Q2</v>
      </c>
      <c r="Q43" s="1"/>
    </row>
    <row r="44" spans="1:17" x14ac:dyDescent="0.2">
      <c r="A44" s="1">
        <v>10143</v>
      </c>
      <c r="B44" s="1" t="s">
        <v>19</v>
      </c>
      <c r="C44" s="1" t="s">
        <v>20</v>
      </c>
      <c r="D44" s="1" t="s">
        <v>15</v>
      </c>
      <c r="E44" s="3">
        <v>150</v>
      </c>
      <c r="F44" s="3">
        <v>200</v>
      </c>
      <c r="G44" s="13">
        <v>779</v>
      </c>
      <c r="H44" s="3">
        <v>155800</v>
      </c>
      <c r="I44" s="3">
        <v>38950</v>
      </c>
      <c r="J44" s="1" t="s">
        <v>28</v>
      </c>
      <c r="K44" s="1" t="s">
        <v>17</v>
      </c>
      <c r="L44" s="1" t="s">
        <v>49</v>
      </c>
      <c r="M44" s="1">
        <v>2018</v>
      </c>
      <c r="N44" s="1" t="str">
        <f t="shared" si="0"/>
        <v>Francophone</v>
      </c>
      <c r="O44" s="3" t="str">
        <f>_xlfn.XLOOKUP(D:D,MappingTable[Brand],MappingTable[Brand Type], "not found")</f>
        <v>Beer</v>
      </c>
      <c r="P44" t="str">
        <f>_xlfn.XLOOKUP(L:L,MappingTable2[Month],MappingTable2[Quarters],"NIL")</f>
        <v>Q3</v>
      </c>
      <c r="Q44" s="1"/>
    </row>
    <row r="45" spans="1:17" x14ac:dyDescent="0.2">
      <c r="A45" s="1">
        <v>10144</v>
      </c>
      <c r="B45" s="1" t="s">
        <v>25</v>
      </c>
      <c r="C45" s="1" t="s">
        <v>26</v>
      </c>
      <c r="D45" s="1" t="s">
        <v>21</v>
      </c>
      <c r="E45" s="3">
        <v>250</v>
      </c>
      <c r="F45" s="3">
        <v>500</v>
      </c>
      <c r="G45" s="13">
        <v>835</v>
      </c>
      <c r="H45" s="3">
        <v>417500</v>
      </c>
      <c r="I45" s="3">
        <v>208750</v>
      </c>
      <c r="J45" s="1" t="s">
        <v>34</v>
      </c>
      <c r="K45" s="1" t="s">
        <v>23</v>
      </c>
      <c r="L45" s="1" t="s">
        <v>50</v>
      </c>
      <c r="M45" s="1">
        <v>2017</v>
      </c>
      <c r="N45" s="1" t="str">
        <f t="shared" si="0"/>
        <v>Francophone</v>
      </c>
      <c r="O45" s="3" t="str">
        <f>_xlfn.XLOOKUP(D:D,MappingTable[Brand],MappingTable[Brand Type], "not found")</f>
        <v>Beer</v>
      </c>
      <c r="P45" t="str">
        <f>_xlfn.XLOOKUP(L:L,MappingTable2[Month],MappingTable2[Quarters],"NIL")</f>
        <v>Q3</v>
      </c>
      <c r="Q45" s="1"/>
    </row>
    <row r="46" spans="1:17" x14ac:dyDescent="0.2">
      <c r="A46" s="1">
        <v>10145</v>
      </c>
      <c r="B46" s="1" t="s">
        <v>31</v>
      </c>
      <c r="C46" s="1" t="s">
        <v>32</v>
      </c>
      <c r="D46" s="1" t="s">
        <v>27</v>
      </c>
      <c r="E46" s="3">
        <v>180</v>
      </c>
      <c r="F46" s="3">
        <v>450</v>
      </c>
      <c r="G46" s="13">
        <v>801</v>
      </c>
      <c r="H46" s="3">
        <v>360450</v>
      </c>
      <c r="I46" s="3">
        <v>216270</v>
      </c>
      <c r="J46" s="1" t="s">
        <v>40</v>
      </c>
      <c r="K46" s="1" t="s">
        <v>29</v>
      </c>
      <c r="L46" s="1" t="s">
        <v>53</v>
      </c>
      <c r="M46" s="1">
        <v>2018</v>
      </c>
      <c r="N46" s="1" t="str">
        <f t="shared" si="0"/>
        <v>Francophone</v>
      </c>
      <c r="O46" s="3" t="str">
        <f>_xlfn.XLOOKUP(D:D,MappingTable[Brand],MappingTable[Brand Type], "not found")</f>
        <v>Beer</v>
      </c>
      <c r="P46" t="str">
        <f>_xlfn.XLOOKUP(L:L,MappingTable2[Month],MappingTable2[Quarters],"NIL")</f>
        <v>Q3</v>
      </c>
      <c r="Q46" s="1"/>
    </row>
    <row r="47" spans="1:17" x14ac:dyDescent="0.2">
      <c r="A47" s="1">
        <v>10146</v>
      </c>
      <c r="B47" s="1" t="s">
        <v>37</v>
      </c>
      <c r="C47" s="1" t="s">
        <v>38</v>
      </c>
      <c r="D47" s="1" t="s">
        <v>33</v>
      </c>
      <c r="E47" s="3">
        <v>170</v>
      </c>
      <c r="F47" s="3">
        <v>250</v>
      </c>
      <c r="G47" s="13">
        <v>710</v>
      </c>
      <c r="H47" s="3">
        <v>177500</v>
      </c>
      <c r="I47" s="3">
        <v>56800</v>
      </c>
      <c r="J47" s="1" t="s">
        <v>16</v>
      </c>
      <c r="K47" s="1" t="s">
        <v>35</v>
      </c>
      <c r="L47" s="1" t="s">
        <v>56</v>
      </c>
      <c r="M47" s="1">
        <v>2017</v>
      </c>
      <c r="N47" s="1" t="str">
        <f t="shared" si="0"/>
        <v>Anglophone</v>
      </c>
      <c r="O47" s="3" t="str">
        <f>_xlfn.XLOOKUP(D:D,MappingTable[Brand],MappingTable[Brand Type], "not found")</f>
        <v>Beer</v>
      </c>
      <c r="P47" t="str">
        <f>_xlfn.XLOOKUP(L:L,MappingTable2[Month],MappingTable2[Quarters],"NIL")</f>
        <v>Q4</v>
      </c>
      <c r="Q47" s="1"/>
    </row>
    <row r="48" spans="1:17" x14ac:dyDescent="0.2">
      <c r="A48" s="1">
        <v>10147</v>
      </c>
      <c r="B48" s="1" t="s">
        <v>13</v>
      </c>
      <c r="C48" s="1" t="s">
        <v>14</v>
      </c>
      <c r="D48" s="1" t="s">
        <v>39</v>
      </c>
      <c r="E48" s="3">
        <v>150</v>
      </c>
      <c r="F48" s="3">
        <v>200</v>
      </c>
      <c r="G48" s="13">
        <v>952</v>
      </c>
      <c r="H48" s="3">
        <v>190400</v>
      </c>
      <c r="I48" s="3">
        <v>47600</v>
      </c>
      <c r="J48" s="1" t="s">
        <v>22</v>
      </c>
      <c r="K48" s="1" t="s">
        <v>41</v>
      </c>
      <c r="L48" s="1" t="s">
        <v>59</v>
      </c>
      <c r="M48" s="1">
        <v>2017</v>
      </c>
      <c r="N48" s="1" t="str">
        <f t="shared" si="0"/>
        <v>Anglophone</v>
      </c>
      <c r="O48" s="3" t="str">
        <f>_xlfn.XLOOKUP(D:D,MappingTable[Brand],MappingTable[Brand Type], "not found")</f>
        <v>Beer</v>
      </c>
      <c r="P48" t="str">
        <f>_xlfn.XLOOKUP(L:L,MappingTable2[Month],MappingTable2[Quarters],"NIL")</f>
        <v>Q4</v>
      </c>
      <c r="Q48" s="1"/>
    </row>
    <row r="49" spans="1:17" x14ac:dyDescent="0.2">
      <c r="A49" s="1">
        <v>10148</v>
      </c>
      <c r="B49" s="1" t="s">
        <v>46</v>
      </c>
      <c r="C49" s="1" t="s">
        <v>47</v>
      </c>
      <c r="D49" s="1" t="s">
        <v>43</v>
      </c>
      <c r="E49" s="3">
        <v>80</v>
      </c>
      <c r="F49" s="3">
        <v>150</v>
      </c>
      <c r="G49" s="13">
        <v>891</v>
      </c>
      <c r="H49" s="3">
        <v>133650</v>
      </c>
      <c r="I49" s="3">
        <v>62370</v>
      </c>
      <c r="J49" s="1" t="s">
        <v>28</v>
      </c>
      <c r="K49" s="1" t="s">
        <v>44</v>
      </c>
      <c r="L49" s="1" t="s">
        <v>60</v>
      </c>
      <c r="M49" s="1">
        <v>2017</v>
      </c>
      <c r="N49" s="1" t="str">
        <f t="shared" si="0"/>
        <v>Francophone</v>
      </c>
      <c r="O49" s="3" t="str">
        <f>_xlfn.XLOOKUP(D:D,MappingTable[Brand],MappingTable[Brand Type], "not found")</f>
        <v>Malt</v>
      </c>
      <c r="P49" t="str">
        <f>_xlfn.XLOOKUP(L:L,MappingTable2[Month],MappingTable2[Quarters],"NIL")</f>
        <v>Q4</v>
      </c>
      <c r="Q49" s="1"/>
    </row>
    <row r="50" spans="1:17" x14ac:dyDescent="0.2">
      <c r="A50" s="1">
        <v>10149</v>
      </c>
      <c r="B50" s="1" t="s">
        <v>31</v>
      </c>
      <c r="C50" s="1" t="s">
        <v>32</v>
      </c>
      <c r="D50" s="1" t="s">
        <v>48</v>
      </c>
      <c r="E50" s="3">
        <v>90</v>
      </c>
      <c r="F50" s="3">
        <v>150</v>
      </c>
      <c r="G50" s="13">
        <v>781</v>
      </c>
      <c r="H50" s="3">
        <v>117150</v>
      </c>
      <c r="I50" s="3">
        <v>46860</v>
      </c>
      <c r="J50" s="1" t="s">
        <v>34</v>
      </c>
      <c r="K50" s="1" t="s">
        <v>17</v>
      </c>
      <c r="L50" s="1" t="s">
        <v>18</v>
      </c>
      <c r="M50" s="1">
        <v>2018</v>
      </c>
      <c r="N50" s="1" t="str">
        <f t="shared" si="0"/>
        <v>Francophone</v>
      </c>
      <c r="O50" s="3" t="str">
        <f>_xlfn.XLOOKUP(D:D,MappingTable[Brand],MappingTable[Brand Type], "not found")</f>
        <v>Malt</v>
      </c>
      <c r="P50" t="str">
        <f>_xlfn.XLOOKUP(L:L,MappingTable2[Month],MappingTable2[Quarters],"NIL")</f>
        <v>Q1</v>
      </c>
      <c r="Q50" s="1"/>
    </row>
    <row r="51" spans="1:17" x14ac:dyDescent="0.2">
      <c r="A51" s="1">
        <v>10150</v>
      </c>
      <c r="B51" s="1" t="s">
        <v>51</v>
      </c>
      <c r="C51" s="1" t="s">
        <v>52</v>
      </c>
      <c r="D51" s="1" t="s">
        <v>15</v>
      </c>
      <c r="E51" s="3">
        <v>150</v>
      </c>
      <c r="F51" s="3">
        <v>200</v>
      </c>
      <c r="G51" s="13">
        <v>845</v>
      </c>
      <c r="H51" s="3">
        <v>169000</v>
      </c>
      <c r="I51" s="3">
        <v>42250</v>
      </c>
      <c r="J51" s="1" t="s">
        <v>40</v>
      </c>
      <c r="K51" s="1" t="s">
        <v>23</v>
      </c>
      <c r="L51" s="1" t="s">
        <v>24</v>
      </c>
      <c r="M51" s="1">
        <v>2019</v>
      </c>
      <c r="N51" s="1" t="str">
        <f t="shared" si="0"/>
        <v>Francophone</v>
      </c>
      <c r="O51" s="3" t="str">
        <f>_xlfn.XLOOKUP(D:D,MappingTable[Brand],MappingTable[Brand Type], "not found")</f>
        <v>Beer</v>
      </c>
      <c r="P51" t="str">
        <f>_xlfn.XLOOKUP(L:L,MappingTable2[Month],MappingTable2[Quarters],"NIL")</f>
        <v>Q1</v>
      </c>
      <c r="Q51" s="1"/>
    </row>
    <row r="52" spans="1:17" x14ac:dyDescent="0.2">
      <c r="A52" s="1">
        <v>10151</v>
      </c>
      <c r="B52" s="1" t="s">
        <v>54</v>
      </c>
      <c r="C52" s="1" t="s">
        <v>55</v>
      </c>
      <c r="D52" s="1" t="s">
        <v>21</v>
      </c>
      <c r="E52" s="3">
        <v>250</v>
      </c>
      <c r="F52" s="3">
        <v>500</v>
      </c>
      <c r="G52" s="13">
        <v>719</v>
      </c>
      <c r="H52" s="3">
        <v>359500</v>
      </c>
      <c r="I52" s="3">
        <v>179750</v>
      </c>
      <c r="J52" s="1" t="s">
        <v>16</v>
      </c>
      <c r="K52" s="1" t="s">
        <v>29</v>
      </c>
      <c r="L52" s="1" t="s">
        <v>30</v>
      </c>
      <c r="M52" s="1">
        <v>2018</v>
      </c>
      <c r="N52" s="1" t="str">
        <f t="shared" si="0"/>
        <v>Anglophone</v>
      </c>
      <c r="O52" s="3" t="str">
        <f>_xlfn.XLOOKUP(D:D,MappingTable[Brand],MappingTable[Brand Type], "not found")</f>
        <v>Beer</v>
      </c>
      <c r="P52" t="str">
        <f>_xlfn.XLOOKUP(L:L,MappingTable2[Month],MappingTable2[Quarters],"NIL")</f>
        <v>Q1</v>
      </c>
      <c r="Q52" s="1"/>
    </row>
    <row r="53" spans="1:17" x14ac:dyDescent="0.2">
      <c r="A53" s="1">
        <v>10152</v>
      </c>
      <c r="B53" s="1" t="s">
        <v>57</v>
      </c>
      <c r="C53" s="1" t="s">
        <v>58</v>
      </c>
      <c r="D53" s="1" t="s">
        <v>27</v>
      </c>
      <c r="E53" s="3">
        <v>180</v>
      </c>
      <c r="F53" s="3">
        <v>450</v>
      </c>
      <c r="G53" s="13">
        <v>878</v>
      </c>
      <c r="H53" s="3">
        <v>395100</v>
      </c>
      <c r="I53" s="3">
        <v>237060</v>
      </c>
      <c r="J53" s="1" t="s">
        <v>22</v>
      </c>
      <c r="K53" s="1" t="s">
        <v>35</v>
      </c>
      <c r="L53" s="1" t="s">
        <v>36</v>
      </c>
      <c r="M53" s="1">
        <v>2019</v>
      </c>
      <c r="N53" s="1" t="str">
        <f t="shared" si="0"/>
        <v>Anglophone</v>
      </c>
      <c r="O53" s="3" t="str">
        <f>_xlfn.XLOOKUP(D:D,MappingTable[Brand],MappingTable[Brand Type], "not found")</f>
        <v>Beer</v>
      </c>
      <c r="P53" t="str">
        <f>_xlfn.XLOOKUP(L:L,MappingTable2[Month],MappingTable2[Quarters],"NIL")</f>
        <v>Q2</v>
      </c>
      <c r="Q53" s="1"/>
    </row>
    <row r="54" spans="1:17" x14ac:dyDescent="0.2">
      <c r="A54" s="1">
        <v>10153</v>
      </c>
      <c r="B54" s="1" t="s">
        <v>31</v>
      </c>
      <c r="C54" s="1" t="s">
        <v>32</v>
      </c>
      <c r="D54" s="1" t="s">
        <v>33</v>
      </c>
      <c r="E54" s="3">
        <v>170</v>
      </c>
      <c r="F54" s="3">
        <v>250</v>
      </c>
      <c r="G54" s="13">
        <v>832</v>
      </c>
      <c r="H54" s="3">
        <v>208000</v>
      </c>
      <c r="I54" s="3">
        <v>66560</v>
      </c>
      <c r="J54" s="1" t="s">
        <v>28</v>
      </c>
      <c r="K54" s="1" t="s">
        <v>41</v>
      </c>
      <c r="L54" s="1" t="s">
        <v>42</v>
      </c>
      <c r="M54" s="1">
        <v>2018</v>
      </c>
      <c r="N54" s="1" t="str">
        <f t="shared" si="0"/>
        <v>Francophone</v>
      </c>
      <c r="O54" s="3" t="str">
        <f>_xlfn.XLOOKUP(D:D,MappingTable[Brand],MappingTable[Brand Type], "not found")</f>
        <v>Beer</v>
      </c>
      <c r="P54" t="str">
        <f>_xlfn.XLOOKUP(L:L,MappingTable2[Month],MappingTable2[Quarters],"NIL")</f>
        <v>Q2</v>
      </c>
      <c r="Q54" s="1"/>
    </row>
    <row r="55" spans="1:17" x14ac:dyDescent="0.2">
      <c r="A55" s="1">
        <v>10154</v>
      </c>
      <c r="B55" s="1" t="s">
        <v>61</v>
      </c>
      <c r="C55" s="1" t="s">
        <v>62</v>
      </c>
      <c r="D55" s="1" t="s">
        <v>39</v>
      </c>
      <c r="E55" s="3">
        <v>150</v>
      </c>
      <c r="F55" s="3">
        <v>200</v>
      </c>
      <c r="G55" s="13">
        <v>766</v>
      </c>
      <c r="H55" s="3">
        <v>153200</v>
      </c>
      <c r="I55" s="3">
        <v>38300</v>
      </c>
      <c r="J55" s="1" t="s">
        <v>34</v>
      </c>
      <c r="K55" s="1" t="s">
        <v>44</v>
      </c>
      <c r="L55" s="1" t="s">
        <v>45</v>
      </c>
      <c r="M55" s="1">
        <v>2017</v>
      </c>
      <c r="N55" s="1" t="str">
        <f t="shared" si="0"/>
        <v>Francophone</v>
      </c>
      <c r="O55" s="3" t="str">
        <f>_xlfn.XLOOKUP(D:D,MappingTable[Brand],MappingTable[Brand Type], "not found")</f>
        <v>Beer</v>
      </c>
      <c r="P55" t="str">
        <f>_xlfn.XLOOKUP(L:L,MappingTable2[Month],MappingTable2[Quarters],"NIL")</f>
        <v>Q2</v>
      </c>
      <c r="Q55" s="1"/>
    </row>
    <row r="56" spans="1:17" x14ac:dyDescent="0.2">
      <c r="A56" s="1">
        <v>10155</v>
      </c>
      <c r="B56" s="1" t="s">
        <v>31</v>
      </c>
      <c r="C56" s="1" t="s">
        <v>32</v>
      </c>
      <c r="D56" s="1" t="s">
        <v>43</v>
      </c>
      <c r="E56" s="3">
        <v>80</v>
      </c>
      <c r="F56" s="3">
        <v>150</v>
      </c>
      <c r="G56" s="13">
        <v>726</v>
      </c>
      <c r="H56" s="3">
        <v>108900</v>
      </c>
      <c r="I56" s="3">
        <v>50820</v>
      </c>
      <c r="J56" s="1" t="s">
        <v>40</v>
      </c>
      <c r="K56" s="1" t="s">
        <v>17</v>
      </c>
      <c r="L56" s="1" t="s">
        <v>49</v>
      </c>
      <c r="M56" s="1">
        <v>2018</v>
      </c>
      <c r="N56" s="1" t="str">
        <f t="shared" si="0"/>
        <v>Francophone</v>
      </c>
      <c r="O56" s="3" t="str">
        <f>_xlfn.XLOOKUP(D:D,MappingTable[Brand],MappingTable[Brand Type], "not found")</f>
        <v>Malt</v>
      </c>
      <c r="P56" t="str">
        <f>_xlfn.XLOOKUP(L:L,MappingTable2[Month],MappingTable2[Quarters],"NIL")</f>
        <v>Q3</v>
      </c>
      <c r="Q56" s="1"/>
    </row>
    <row r="57" spans="1:17" x14ac:dyDescent="0.2">
      <c r="A57" s="1">
        <v>10156</v>
      </c>
      <c r="B57" s="1" t="s">
        <v>51</v>
      </c>
      <c r="C57" s="1" t="s">
        <v>52</v>
      </c>
      <c r="D57" s="1" t="s">
        <v>48</v>
      </c>
      <c r="E57" s="3">
        <v>90</v>
      </c>
      <c r="F57" s="3">
        <v>150</v>
      </c>
      <c r="G57" s="13">
        <v>962</v>
      </c>
      <c r="H57" s="3">
        <v>144300</v>
      </c>
      <c r="I57" s="3">
        <v>57720</v>
      </c>
      <c r="J57" s="1" t="s">
        <v>16</v>
      </c>
      <c r="K57" s="1" t="s">
        <v>23</v>
      </c>
      <c r="L57" s="1" t="s">
        <v>50</v>
      </c>
      <c r="M57" s="1">
        <v>2017</v>
      </c>
      <c r="N57" s="1" t="str">
        <f t="shared" si="0"/>
        <v>Anglophone</v>
      </c>
      <c r="O57" s="3" t="str">
        <f>_xlfn.XLOOKUP(D:D,MappingTable[Brand],MappingTable[Brand Type], "not found")</f>
        <v>Malt</v>
      </c>
      <c r="P57" t="str">
        <f>_xlfn.XLOOKUP(L:L,MappingTable2[Month],MappingTable2[Quarters],"NIL")</f>
        <v>Q3</v>
      </c>
      <c r="Q57" s="1"/>
    </row>
    <row r="58" spans="1:17" x14ac:dyDescent="0.2">
      <c r="A58" s="1">
        <v>10157</v>
      </c>
      <c r="B58" s="1" t="s">
        <v>31</v>
      </c>
      <c r="C58" s="1" t="s">
        <v>32</v>
      </c>
      <c r="D58" s="1" t="s">
        <v>15</v>
      </c>
      <c r="E58" s="3">
        <v>150</v>
      </c>
      <c r="F58" s="3">
        <v>200</v>
      </c>
      <c r="G58" s="13">
        <v>920</v>
      </c>
      <c r="H58" s="3">
        <v>184000</v>
      </c>
      <c r="I58" s="3">
        <v>46000</v>
      </c>
      <c r="J58" s="1" t="s">
        <v>22</v>
      </c>
      <c r="K58" s="1" t="s">
        <v>29</v>
      </c>
      <c r="L58" s="1" t="s">
        <v>53</v>
      </c>
      <c r="M58" s="1">
        <v>2018</v>
      </c>
      <c r="N58" s="1" t="str">
        <f t="shared" si="0"/>
        <v>Anglophone</v>
      </c>
      <c r="O58" s="3" t="str">
        <f>_xlfn.XLOOKUP(D:D,MappingTable[Brand],MappingTable[Brand Type], "not found")</f>
        <v>Beer</v>
      </c>
      <c r="P58" t="str">
        <f>_xlfn.XLOOKUP(L:L,MappingTable2[Month],MappingTable2[Quarters],"NIL")</f>
        <v>Q3</v>
      </c>
      <c r="Q58" s="1"/>
    </row>
    <row r="59" spans="1:17" x14ac:dyDescent="0.2">
      <c r="A59" s="1">
        <v>10158</v>
      </c>
      <c r="B59" s="1" t="s">
        <v>57</v>
      </c>
      <c r="C59" s="1" t="s">
        <v>58</v>
      </c>
      <c r="D59" s="1" t="s">
        <v>21</v>
      </c>
      <c r="E59" s="3">
        <v>250</v>
      </c>
      <c r="F59" s="3">
        <v>500</v>
      </c>
      <c r="G59" s="13">
        <v>776</v>
      </c>
      <c r="H59" s="3">
        <v>388000</v>
      </c>
      <c r="I59" s="3">
        <v>194000</v>
      </c>
      <c r="J59" s="1" t="s">
        <v>28</v>
      </c>
      <c r="K59" s="1" t="s">
        <v>35</v>
      </c>
      <c r="L59" s="1" t="s">
        <v>56</v>
      </c>
      <c r="M59" s="1">
        <v>2017</v>
      </c>
      <c r="N59" s="1" t="str">
        <f t="shared" si="0"/>
        <v>Francophone</v>
      </c>
      <c r="O59" s="3" t="str">
        <f>_xlfn.XLOOKUP(D:D,MappingTable[Brand],MappingTable[Brand Type], "not found")</f>
        <v>Beer</v>
      </c>
      <c r="P59" t="str">
        <f>_xlfn.XLOOKUP(L:L,MappingTable2[Month],MappingTable2[Quarters],"NIL")</f>
        <v>Q4</v>
      </c>
      <c r="Q59" s="1"/>
    </row>
    <row r="60" spans="1:17" x14ac:dyDescent="0.2">
      <c r="A60" s="1">
        <v>10159</v>
      </c>
      <c r="B60" s="1" t="s">
        <v>63</v>
      </c>
      <c r="C60" s="1" t="s">
        <v>64</v>
      </c>
      <c r="D60" s="1" t="s">
        <v>27</v>
      </c>
      <c r="E60" s="3">
        <v>180</v>
      </c>
      <c r="F60" s="3">
        <v>450</v>
      </c>
      <c r="G60" s="13">
        <v>872</v>
      </c>
      <c r="H60" s="3">
        <v>392400</v>
      </c>
      <c r="I60" s="3">
        <v>235440</v>
      </c>
      <c r="J60" s="1" t="s">
        <v>34</v>
      </c>
      <c r="K60" s="1" t="s">
        <v>41</v>
      </c>
      <c r="L60" s="1" t="s">
        <v>59</v>
      </c>
      <c r="M60" s="1">
        <v>2018</v>
      </c>
      <c r="N60" s="1" t="str">
        <f t="shared" si="0"/>
        <v>Francophone</v>
      </c>
      <c r="O60" s="3" t="str">
        <f>_xlfn.XLOOKUP(D:D,MappingTable[Brand],MappingTable[Brand Type], "not found")</f>
        <v>Beer</v>
      </c>
      <c r="P60" t="str">
        <f>_xlfn.XLOOKUP(L:L,MappingTable2[Month],MappingTable2[Quarters],"NIL")</f>
        <v>Q4</v>
      </c>
      <c r="Q60" s="1"/>
    </row>
    <row r="61" spans="1:17" x14ac:dyDescent="0.2">
      <c r="A61" s="1">
        <v>10160</v>
      </c>
      <c r="B61" s="1" t="s">
        <v>61</v>
      </c>
      <c r="C61" s="1" t="s">
        <v>62</v>
      </c>
      <c r="D61" s="1" t="s">
        <v>33</v>
      </c>
      <c r="E61" s="3">
        <v>170</v>
      </c>
      <c r="F61" s="3">
        <v>250</v>
      </c>
      <c r="G61" s="13">
        <v>831</v>
      </c>
      <c r="H61" s="3">
        <v>207750</v>
      </c>
      <c r="I61" s="3">
        <v>66480</v>
      </c>
      <c r="J61" s="1" t="s">
        <v>40</v>
      </c>
      <c r="K61" s="1" t="s">
        <v>44</v>
      </c>
      <c r="L61" s="1" t="s">
        <v>60</v>
      </c>
      <c r="M61" s="1">
        <v>2017</v>
      </c>
      <c r="N61" s="1" t="str">
        <f t="shared" si="0"/>
        <v>Francophone</v>
      </c>
      <c r="O61" s="3" t="str">
        <f>_xlfn.XLOOKUP(D:D,MappingTable[Brand],MappingTable[Brand Type], "not found")</f>
        <v>Beer</v>
      </c>
      <c r="P61" t="str">
        <f>_xlfn.XLOOKUP(L:L,MappingTable2[Month],MappingTable2[Quarters],"NIL")</f>
        <v>Q4</v>
      </c>
      <c r="Q61" s="1"/>
    </row>
    <row r="62" spans="1:17" x14ac:dyDescent="0.2">
      <c r="A62" s="1">
        <v>10161</v>
      </c>
      <c r="B62" s="1" t="s">
        <v>57</v>
      </c>
      <c r="C62" s="1" t="s">
        <v>58</v>
      </c>
      <c r="D62" s="1" t="s">
        <v>39</v>
      </c>
      <c r="E62" s="3">
        <v>150</v>
      </c>
      <c r="F62" s="3">
        <v>200</v>
      </c>
      <c r="G62" s="13">
        <v>847</v>
      </c>
      <c r="H62" s="3">
        <v>169400</v>
      </c>
      <c r="I62" s="3">
        <v>42350</v>
      </c>
      <c r="J62" s="1" t="s">
        <v>16</v>
      </c>
      <c r="K62" s="1" t="s">
        <v>17</v>
      </c>
      <c r="L62" s="1" t="s">
        <v>18</v>
      </c>
      <c r="M62" s="1">
        <v>2019</v>
      </c>
      <c r="N62" s="1" t="str">
        <f t="shared" si="0"/>
        <v>Anglophone</v>
      </c>
      <c r="O62" s="3" t="str">
        <f>_xlfn.XLOOKUP(D:D,MappingTable[Brand],MappingTable[Brand Type], "not found")</f>
        <v>Beer</v>
      </c>
      <c r="P62" t="str">
        <f>_xlfn.XLOOKUP(L:L,MappingTable2[Month],MappingTable2[Quarters],"NIL")</f>
        <v>Q1</v>
      </c>
      <c r="Q62" s="1"/>
    </row>
    <row r="63" spans="1:17" x14ac:dyDescent="0.2">
      <c r="A63" s="1">
        <v>10162</v>
      </c>
      <c r="B63" s="1" t="s">
        <v>19</v>
      </c>
      <c r="C63" s="1" t="s">
        <v>20</v>
      </c>
      <c r="D63" s="1" t="s">
        <v>43</v>
      </c>
      <c r="E63" s="3">
        <v>80</v>
      </c>
      <c r="F63" s="3">
        <v>150</v>
      </c>
      <c r="G63" s="13">
        <v>931</v>
      </c>
      <c r="H63" s="3">
        <v>139650</v>
      </c>
      <c r="I63" s="3">
        <v>65170</v>
      </c>
      <c r="J63" s="1" t="s">
        <v>22</v>
      </c>
      <c r="K63" s="1" t="s">
        <v>23</v>
      </c>
      <c r="L63" s="1" t="s">
        <v>24</v>
      </c>
      <c r="M63" s="1">
        <v>2018</v>
      </c>
      <c r="N63" s="1" t="str">
        <f t="shared" si="0"/>
        <v>Anglophone</v>
      </c>
      <c r="O63" s="3" t="str">
        <f>_xlfn.XLOOKUP(D:D,MappingTable[Brand],MappingTable[Brand Type], "not found")</f>
        <v>Malt</v>
      </c>
      <c r="P63" t="str">
        <f>_xlfn.XLOOKUP(L:L,MappingTable2[Month],MappingTable2[Quarters],"NIL")</f>
        <v>Q1</v>
      </c>
      <c r="Q63" s="1"/>
    </row>
    <row r="64" spans="1:17" x14ac:dyDescent="0.2">
      <c r="A64" s="1">
        <v>10163</v>
      </c>
      <c r="B64" s="1" t="s">
        <v>61</v>
      </c>
      <c r="C64" s="1" t="s">
        <v>62</v>
      </c>
      <c r="D64" s="1" t="s">
        <v>48</v>
      </c>
      <c r="E64" s="3">
        <v>90</v>
      </c>
      <c r="F64" s="3">
        <v>150</v>
      </c>
      <c r="G64" s="13">
        <v>768</v>
      </c>
      <c r="H64" s="3">
        <v>115200</v>
      </c>
      <c r="I64" s="3">
        <v>46080</v>
      </c>
      <c r="J64" s="1" t="s">
        <v>28</v>
      </c>
      <c r="K64" s="1" t="s">
        <v>29</v>
      </c>
      <c r="L64" s="1" t="s">
        <v>30</v>
      </c>
      <c r="M64" s="1">
        <v>2017</v>
      </c>
      <c r="N64" s="1" t="str">
        <f t="shared" si="0"/>
        <v>Francophone</v>
      </c>
      <c r="O64" s="3" t="str">
        <f>_xlfn.XLOOKUP(D:D,MappingTable[Brand],MappingTable[Brand Type], "not found")</f>
        <v>Malt</v>
      </c>
      <c r="P64" t="str">
        <f>_xlfn.XLOOKUP(L:L,MappingTable2[Month],MappingTable2[Quarters],"NIL")</f>
        <v>Q1</v>
      </c>
      <c r="Q64" s="1"/>
    </row>
    <row r="65" spans="1:17" x14ac:dyDescent="0.2">
      <c r="A65" s="1">
        <v>10164</v>
      </c>
      <c r="B65" s="1" t="s">
        <v>31</v>
      </c>
      <c r="C65" s="1" t="s">
        <v>32</v>
      </c>
      <c r="D65" s="1" t="s">
        <v>15</v>
      </c>
      <c r="E65" s="3">
        <v>150</v>
      </c>
      <c r="F65" s="3">
        <v>200</v>
      </c>
      <c r="G65" s="13">
        <v>736</v>
      </c>
      <c r="H65" s="3">
        <v>147200</v>
      </c>
      <c r="I65" s="3">
        <v>36800</v>
      </c>
      <c r="J65" s="1" t="s">
        <v>34</v>
      </c>
      <c r="K65" s="1" t="s">
        <v>35</v>
      </c>
      <c r="L65" s="1" t="s">
        <v>36</v>
      </c>
      <c r="M65" s="1">
        <v>2017</v>
      </c>
      <c r="N65" s="1" t="str">
        <f t="shared" si="0"/>
        <v>Francophone</v>
      </c>
      <c r="O65" s="3" t="str">
        <f>_xlfn.XLOOKUP(D:D,MappingTable[Brand],MappingTable[Brand Type], "not found")</f>
        <v>Beer</v>
      </c>
      <c r="P65" t="str">
        <f>_xlfn.XLOOKUP(L:L,MappingTable2[Month],MappingTable2[Quarters],"NIL")</f>
        <v>Q2</v>
      </c>
      <c r="Q65" s="1"/>
    </row>
    <row r="66" spans="1:17" x14ac:dyDescent="0.2">
      <c r="A66" s="1">
        <v>10165</v>
      </c>
      <c r="B66" s="1" t="s">
        <v>25</v>
      </c>
      <c r="C66" s="1" t="s">
        <v>26</v>
      </c>
      <c r="D66" s="1" t="s">
        <v>21</v>
      </c>
      <c r="E66" s="3">
        <v>250</v>
      </c>
      <c r="F66" s="3">
        <v>500</v>
      </c>
      <c r="G66" s="13">
        <v>780</v>
      </c>
      <c r="H66" s="3">
        <v>390000</v>
      </c>
      <c r="I66" s="3">
        <v>195000</v>
      </c>
      <c r="J66" s="1" t="s">
        <v>40</v>
      </c>
      <c r="K66" s="1" t="s">
        <v>41</v>
      </c>
      <c r="L66" s="1" t="s">
        <v>42</v>
      </c>
      <c r="M66" s="1">
        <v>2019</v>
      </c>
      <c r="N66" s="1" t="str">
        <f t="shared" ref="N66:N129" si="1">IF(ISNUMBER(MATCH(J66,$S$7:$S$8,0)), "Anglophone","Francophone")</f>
        <v>Francophone</v>
      </c>
      <c r="O66" s="3" t="str">
        <f>_xlfn.XLOOKUP(D:D,MappingTable[Brand],MappingTable[Brand Type], "not found")</f>
        <v>Beer</v>
      </c>
      <c r="P66" t="str">
        <f>_xlfn.XLOOKUP(L:L,MappingTable2[Month],MappingTable2[Quarters],"NIL")</f>
        <v>Q2</v>
      </c>
      <c r="Q66" s="1"/>
    </row>
    <row r="67" spans="1:17" x14ac:dyDescent="0.2">
      <c r="A67" s="1">
        <v>10166</v>
      </c>
      <c r="B67" s="1" t="s">
        <v>13</v>
      </c>
      <c r="C67" s="1" t="s">
        <v>14</v>
      </c>
      <c r="D67" s="1" t="s">
        <v>27</v>
      </c>
      <c r="E67" s="3">
        <v>180</v>
      </c>
      <c r="F67" s="3">
        <v>450</v>
      </c>
      <c r="G67" s="13">
        <v>918</v>
      </c>
      <c r="H67" s="3">
        <v>413100</v>
      </c>
      <c r="I67" s="3">
        <v>247860</v>
      </c>
      <c r="J67" s="1" t="s">
        <v>16</v>
      </c>
      <c r="K67" s="1" t="s">
        <v>44</v>
      </c>
      <c r="L67" s="1" t="s">
        <v>45</v>
      </c>
      <c r="M67" s="1">
        <v>2017</v>
      </c>
      <c r="N67" s="1" t="str">
        <f t="shared" si="1"/>
        <v>Anglophone</v>
      </c>
      <c r="O67" s="3" t="str">
        <f>_xlfn.XLOOKUP(D:D,MappingTable[Brand],MappingTable[Brand Type], "not found")</f>
        <v>Beer</v>
      </c>
      <c r="P67" t="str">
        <f>_xlfn.XLOOKUP(L:L,MappingTable2[Month],MappingTable2[Quarters],"NIL")</f>
        <v>Q2</v>
      </c>
      <c r="Q67" s="1"/>
    </row>
    <row r="68" spans="1:17" x14ac:dyDescent="0.2">
      <c r="A68" s="1">
        <v>10167</v>
      </c>
      <c r="B68" s="1" t="s">
        <v>37</v>
      </c>
      <c r="C68" s="1" t="s">
        <v>38</v>
      </c>
      <c r="D68" s="1" t="s">
        <v>33</v>
      </c>
      <c r="E68" s="3">
        <v>170</v>
      </c>
      <c r="F68" s="3">
        <v>250</v>
      </c>
      <c r="G68" s="13">
        <v>769</v>
      </c>
      <c r="H68" s="3">
        <v>192250</v>
      </c>
      <c r="I68" s="3">
        <v>61520</v>
      </c>
      <c r="J68" s="1" t="s">
        <v>22</v>
      </c>
      <c r="K68" s="1" t="s">
        <v>17</v>
      </c>
      <c r="L68" s="1" t="s">
        <v>49</v>
      </c>
      <c r="M68" s="1">
        <v>2019</v>
      </c>
      <c r="N68" s="1" t="str">
        <f t="shared" si="1"/>
        <v>Anglophone</v>
      </c>
      <c r="O68" s="3" t="str">
        <f>_xlfn.XLOOKUP(D:D,MappingTable[Brand],MappingTable[Brand Type], "not found")</f>
        <v>Beer</v>
      </c>
      <c r="P68" t="str">
        <f>_xlfn.XLOOKUP(L:L,MappingTable2[Month],MappingTable2[Quarters],"NIL")</f>
        <v>Q3</v>
      </c>
      <c r="Q68" s="1"/>
    </row>
    <row r="69" spans="1:17" x14ac:dyDescent="0.2">
      <c r="A69" s="1">
        <v>10168</v>
      </c>
      <c r="B69" s="1" t="s">
        <v>54</v>
      </c>
      <c r="C69" s="1" t="s">
        <v>55</v>
      </c>
      <c r="D69" s="1" t="s">
        <v>39</v>
      </c>
      <c r="E69" s="3">
        <v>150</v>
      </c>
      <c r="F69" s="3">
        <v>200</v>
      </c>
      <c r="G69" s="13">
        <v>712</v>
      </c>
      <c r="H69" s="3">
        <v>142400</v>
      </c>
      <c r="I69" s="3">
        <v>35600</v>
      </c>
      <c r="J69" s="1" t="s">
        <v>28</v>
      </c>
      <c r="K69" s="1" t="s">
        <v>23</v>
      </c>
      <c r="L69" s="1" t="s">
        <v>50</v>
      </c>
      <c r="M69" s="1">
        <v>2019</v>
      </c>
      <c r="N69" s="1" t="str">
        <f t="shared" si="1"/>
        <v>Francophone</v>
      </c>
      <c r="O69" s="3" t="str">
        <f>_xlfn.XLOOKUP(D:D,MappingTable[Brand],MappingTable[Brand Type], "not found")</f>
        <v>Beer</v>
      </c>
      <c r="P69" t="str">
        <f>_xlfn.XLOOKUP(L:L,MappingTable2[Month],MappingTable2[Quarters],"NIL")</f>
        <v>Q3</v>
      </c>
      <c r="Q69" s="1"/>
    </row>
    <row r="70" spans="1:17" x14ac:dyDescent="0.2">
      <c r="A70" s="1">
        <v>10169</v>
      </c>
      <c r="B70" s="1" t="s">
        <v>19</v>
      </c>
      <c r="C70" s="1" t="s">
        <v>20</v>
      </c>
      <c r="D70" s="1" t="s">
        <v>43</v>
      </c>
      <c r="E70" s="3">
        <v>80</v>
      </c>
      <c r="F70" s="3">
        <v>150</v>
      </c>
      <c r="G70" s="13">
        <v>768</v>
      </c>
      <c r="H70" s="3">
        <v>115200</v>
      </c>
      <c r="I70" s="3">
        <v>53760</v>
      </c>
      <c r="J70" s="1" t="s">
        <v>34</v>
      </c>
      <c r="K70" s="1" t="s">
        <v>29</v>
      </c>
      <c r="L70" s="1" t="s">
        <v>53</v>
      </c>
      <c r="M70" s="1">
        <v>2017</v>
      </c>
      <c r="N70" s="1" t="str">
        <f t="shared" si="1"/>
        <v>Francophone</v>
      </c>
      <c r="O70" s="3" t="str">
        <f>_xlfn.XLOOKUP(D:D,MappingTable[Brand],MappingTable[Brand Type], "not found")</f>
        <v>Malt</v>
      </c>
      <c r="P70" t="str">
        <f>_xlfn.XLOOKUP(L:L,MappingTable2[Month],MappingTable2[Quarters],"NIL")</f>
        <v>Q3</v>
      </c>
      <c r="Q70" s="1"/>
    </row>
    <row r="71" spans="1:17" x14ac:dyDescent="0.2">
      <c r="A71" s="1">
        <v>10170</v>
      </c>
      <c r="B71" s="1" t="s">
        <v>19</v>
      </c>
      <c r="C71" s="1" t="s">
        <v>20</v>
      </c>
      <c r="D71" s="1" t="s">
        <v>48</v>
      </c>
      <c r="E71" s="3">
        <v>90</v>
      </c>
      <c r="F71" s="3">
        <v>150</v>
      </c>
      <c r="G71" s="13">
        <v>940</v>
      </c>
      <c r="H71" s="3">
        <v>141000</v>
      </c>
      <c r="I71" s="3">
        <v>56400</v>
      </c>
      <c r="J71" s="1" t="s">
        <v>40</v>
      </c>
      <c r="K71" s="1" t="s">
        <v>35</v>
      </c>
      <c r="L71" s="1" t="s">
        <v>56</v>
      </c>
      <c r="M71" s="1">
        <v>2018</v>
      </c>
      <c r="N71" s="1" t="str">
        <f t="shared" si="1"/>
        <v>Francophone</v>
      </c>
      <c r="O71" s="3" t="str">
        <f>_xlfn.XLOOKUP(D:D,MappingTable[Brand],MappingTable[Brand Type], "not found")</f>
        <v>Malt</v>
      </c>
      <c r="P71" t="str">
        <f>_xlfn.XLOOKUP(L:L,MappingTable2[Month],MappingTable2[Quarters],"NIL")</f>
        <v>Q4</v>
      </c>
      <c r="Q71" s="1"/>
    </row>
    <row r="72" spans="1:17" x14ac:dyDescent="0.2">
      <c r="A72" s="1">
        <v>10171</v>
      </c>
      <c r="B72" s="1" t="s">
        <v>63</v>
      </c>
      <c r="C72" s="1" t="s">
        <v>64</v>
      </c>
      <c r="D72" s="1" t="s">
        <v>15</v>
      </c>
      <c r="E72" s="3">
        <v>150</v>
      </c>
      <c r="F72" s="3">
        <v>200</v>
      </c>
      <c r="G72" s="13">
        <v>948</v>
      </c>
      <c r="H72" s="3">
        <v>189600</v>
      </c>
      <c r="I72" s="3">
        <v>47400</v>
      </c>
      <c r="J72" s="1" t="s">
        <v>16</v>
      </c>
      <c r="K72" s="1" t="s">
        <v>41</v>
      </c>
      <c r="L72" s="1" t="s">
        <v>59</v>
      </c>
      <c r="M72" s="1">
        <v>2018</v>
      </c>
      <c r="N72" s="1" t="str">
        <f t="shared" si="1"/>
        <v>Anglophone</v>
      </c>
      <c r="O72" s="3" t="str">
        <f>_xlfn.XLOOKUP(D:D,MappingTable[Brand],MappingTable[Brand Type], "not found")</f>
        <v>Beer</v>
      </c>
      <c r="P72" t="str">
        <f>_xlfn.XLOOKUP(L:L,MappingTable2[Month],MappingTable2[Quarters],"NIL")</f>
        <v>Q4</v>
      </c>
      <c r="Q72" s="1"/>
    </row>
    <row r="73" spans="1:17" x14ac:dyDescent="0.2">
      <c r="A73" s="1">
        <v>10172</v>
      </c>
      <c r="B73" s="1" t="s">
        <v>31</v>
      </c>
      <c r="C73" s="1" t="s">
        <v>32</v>
      </c>
      <c r="D73" s="1" t="s">
        <v>21</v>
      </c>
      <c r="E73" s="3">
        <v>250</v>
      </c>
      <c r="F73" s="3">
        <v>500</v>
      </c>
      <c r="G73" s="13">
        <v>869</v>
      </c>
      <c r="H73" s="3">
        <v>434500</v>
      </c>
      <c r="I73" s="3">
        <v>217250</v>
      </c>
      <c r="J73" s="1" t="s">
        <v>22</v>
      </c>
      <c r="K73" s="1" t="s">
        <v>44</v>
      </c>
      <c r="L73" s="1" t="s">
        <v>60</v>
      </c>
      <c r="M73" s="1">
        <v>2018</v>
      </c>
      <c r="N73" s="1" t="str">
        <f t="shared" si="1"/>
        <v>Anglophone</v>
      </c>
      <c r="O73" s="3" t="str">
        <f>_xlfn.XLOOKUP(D:D,MappingTable[Brand],MappingTable[Brand Type], "not found")</f>
        <v>Beer</v>
      </c>
      <c r="P73" t="str">
        <f>_xlfn.XLOOKUP(L:L,MappingTable2[Month],MappingTable2[Quarters],"NIL")</f>
        <v>Q4</v>
      </c>
      <c r="Q73" s="1"/>
    </row>
    <row r="74" spans="1:17" x14ac:dyDescent="0.2">
      <c r="A74" s="1">
        <v>10173</v>
      </c>
      <c r="B74" s="1" t="s">
        <v>51</v>
      </c>
      <c r="C74" s="1" t="s">
        <v>52</v>
      </c>
      <c r="D74" s="1" t="s">
        <v>27</v>
      </c>
      <c r="E74" s="3">
        <v>180</v>
      </c>
      <c r="F74" s="3">
        <v>450</v>
      </c>
      <c r="G74" s="13">
        <v>727</v>
      </c>
      <c r="H74" s="3">
        <v>327150</v>
      </c>
      <c r="I74" s="3">
        <v>196290</v>
      </c>
      <c r="J74" s="1" t="s">
        <v>28</v>
      </c>
      <c r="K74" s="1" t="s">
        <v>17</v>
      </c>
      <c r="L74" s="1" t="s">
        <v>18</v>
      </c>
      <c r="M74" s="1">
        <v>2019</v>
      </c>
      <c r="N74" s="1" t="str">
        <f t="shared" si="1"/>
        <v>Francophone</v>
      </c>
      <c r="O74" s="3" t="str">
        <f>_xlfn.XLOOKUP(D:D,MappingTable[Brand],MappingTable[Brand Type], "not found")</f>
        <v>Beer</v>
      </c>
      <c r="P74" t="str">
        <f>_xlfn.XLOOKUP(L:L,MappingTable2[Month],MappingTable2[Quarters],"NIL")</f>
        <v>Q1</v>
      </c>
      <c r="Q74" s="1"/>
    </row>
    <row r="75" spans="1:17" x14ac:dyDescent="0.2">
      <c r="A75" s="1">
        <v>10174</v>
      </c>
      <c r="B75" s="1" t="s">
        <v>63</v>
      </c>
      <c r="C75" s="1" t="s">
        <v>64</v>
      </c>
      <c r="D75" s="1" t="s">
        <v>33</v>
      </c>
      <c r="E75" s="3">
        <v>170</v>
      </c>
      <c r="F75" s="3">
        <v>250</v>
      </c>
      <c r="G75" s="13">
        <v>833</v>
      </c>
      <c r="H75" s="3">
        <v>208250</v>
      </c>
      <c r="I75" s="3">
        <v>66640</v>
      </c>
      <c r="J75" s="1" t="s">
        <v>34</v>
      </c>
      <c r="K75" s="1" t="s">
        <v>23</v>
      </c>
      <c r="L75" s="1" t="s">
        <v>24</v>
      </c>
      <c r="M75" s="1">
        <v>2018</v>
      </c>
      <c r="N75" s="1" t="str">
        <f t="shared" si="1"/>
        <v>Francophone</v>
      </c>
      <c r="O75" s="3" t="str">
        <f>_xlfn.XLOOKUP(D:D,MappingTable[Brand],MappingTable[Brand Type], "not found")</f>
        <v>Beer</v>
      </c>
      <c r="P75" t="str">
        <f>_xlfn.XLOOKUP(L:L,MappingTable2[Month],MappingTable2[Quarters],"NIL")</f>
        <v>Q1</v>
      </c>
      <c r="Q75" s="1"/>
    </row>
    <row r="76" spans="1:17" x14ac:dyDescent="0.2">
      <c r="A76" s="1">
        <v>10175</v>
      </c>
      <c r="B76" s="1" t="s">
        <v>25</v>
      </c>
      <c r="C76" s="1" t="s">
        <v>26</v>
      </c>
      <c r="D76" s="1" t="s">
        <v>39</v>
      </c>
      <c r="E76" s="3">
        <v>150</v>
      </c>
      <c r="F76" s="3">
        <v>200</v>
      </c>
      <c r="G76" s="13">
        <v>974</v>
      </c>
      <c r="H76" s="3">
        <v>194800</v>
      </c>
      <c r="I76" s="3">
        <v>48700</v>
      </c>
      <c r="J76" s="1" t="s">
        <v>40</v>
      </c>
      <c r="K76" s="1" t="s">
        <v>29</v>
      </c>
      <c r="L76" s="1" t="s">
        <v>30</v>
      </c>
      <c r="M76" s="1">
        <v>2018</v>
      </c>
      <c r="N76" s="1" t="str">
        <f t="shared" si="1"/>
        <v>Francophone</v>
      </c>
      <c r="O76" s="3" t="str">
        <f>_xlfn.XLOOKUP(D:D,MappingTable[Brand],MappingTable[Brand Type], "not found")</f>
        <v>Beer</v>
      </c>
      <c r="P76" t="str">
        <f>_xlfn.XLOOKUP(L:L,MappingTable2[Month],MappingTable2[Quarters],"NIL")</f>
        <v>Q1</v>
      </c>
      <c r="Q76" s="1"/>
    </row>
    <row r="77" spans="1:17" x14ac:dyDescent="0.2">
      <c r="A77" s="1">
        <v>10176</v>
      </c>
      <c r="B77" s="1" t="s">
        <v>19</v>
      </c>
      <c r="C77" s="1" t="s">
        <v>20</v>
      </c>
      <c r="D77" s="1" t="s">
        <v>43</v>
      </c>
      <c r="E77" s="3">
        <v>80</v>
      </c>
      <c r="F77" s="3">
        <v>150</v>
      </c>
      <c r="G77" s="13">
        <v>713</v>
      </c>
      <c r="H77" s="3">
        <v>106950</v>
      </c>
      <c r="I77" s="3">
        <v>49910</v>
      </c>
      <c r="J77" s="1" t="s">
        <v>16</v>
      </c>
      <c r="K77" s="1" t="s">
        <v>35</v>
      </c>
      <c r="L77" s="1" t="s">
        <v>36</v>
      </c>
      <c r="M77" s="1">
        <v>2017</v>
      </c>
      <c r="N77" s="1" t="str">
        <f t="shared" si="1"/>
        <v>Anglophone</v>
      </c>
      <c r="O77" s="3" t="str">
        <f>_xlfn.XLOOKUP(D:D,MappingTable[Brand],MappingTable[Brand Type], "not found")</f>
        <v>Malt</v>
      </c>
      <c r="P77" t="str">
        <f>_xlfn.XLOOKUP(L:L,MappingTable2[Month],MappingTable2[Quarters],"NIL")</f>
        <v>Q2</v>
      </c>
      <c r="Q77" s="1"/>
    </row>
    <row r="78" spans="1:17" x14ac:dyDescent="0.2">
      <c r="A78" s="1">
        <v>10177</v>
      </c>
      <c r="B78" s="1" t="s">
        <v>25</v>
      </c>
      <c r="C78" s="1" t="s">
        <v>26</v>
      </c>
      <c r="D78" s="1" t="s">
        <v>48</v>
      </c>
      <c r="E78" s="3">
        <v>90</v>
      </c>
      <c r="F78" s="3">
        <v>150</v>
      </c>
      <c r="G78" s="13">
        <v>729</v>
      </c>
      <c r="H78" s="3">
        <v>109350</v>
      </c>
      <c r="I78" s="3">
        <v>43740</v>
      </c>
      <c r="J78" s="1" t="s">
        <v>22</v>
      </c>
      <c r="K78" s="1" t="s">
        <v>41</v>
      </c>
      <c r="L78" s="1" t="s">
        <v>42</v>
      </c>
      <c r="M78" s="1">
        <v>2017</v>
      </c>
      <c r="N78" s="1" t="str">
        <f t="shared" si="1"/>
        <v>Anglophone</v>
      </c>
      <c r="O78" s="3" t="str">
        <f>_xlfn.XLOOKUP(D:D,MappingTable[Brand],MappingTable[Brand Type], "not found")</f>
        <v>Malt</v>
      </c>
      <c r="P78" t="str">
        <f>_xlfn.XLOOKUP(L:L,MappingTable2[Month],MappingTable2[Quarters],"NIL")</f>
        <v>Q2</v>
      </c>
      <c r="Q78" s="1"/>
    </row>
    <row r="79" spans="1:17" x14ac:dyDescent="0.2">
      <c r="A79" s="1">
        <v>10178</v>
      </c>
      <c r="B79" s="1" t="s">
        <v>46</v>
      </c>
      <c r="C79" s="1" t="s">
        <v>47</v>
      </c>
      <c r="D79" s="1" t="s">
        <v>15</v>
      </c>
      <c r="E79" s="3">
        <v>150</v>
      </c>
      <c r="F79" s="3">
        <v>200</v>
      </c>
      <c r="G79" s="13">
        <v>946</v>
      </c>
      <c r="H79" s="3">
        <v>189200</v>
      </c>
      <c r="I79" s="3">
        <v>47300</v>
      </c>
      <c r="J79" s="1" t="s">
        <v>28</v>
      </c>
      <c r="K79" s="1" t="s">
        <v>44</v>
      </c>
      <c r="L79" s="1" t="s">
        <v>45</v>
      </c>
      <c r="M79" s="1">
        <v>2019</v>
      </c>
      <c r="N79" s="1" t="str">
        <f t="shared" si="1"/>
        <v>Francophone</v>
      </c>
      <c r="O79" s="3" t="str">
        <f>_xlfn.XLOOKUP(D:D,MappingTable[Brand],MappingTable[Brand Type], "not found")</f>
        <v>Beer</v>
      </c>
      <c r="P79" t="str">
        <f>_xlfn.XLOOKUP(L:L,MappingTable2[Month],MappingTable2[Quarters],"NIL")</f>
        <v>Q2</v>
      </c>
      <c r="Q79" s="1"/>
    </row>
    <row r="80" spans="1:17" x14ac:dyDescent="0.2">
      <c r="A80" s="1">
        <v>10179</v>
      </c>
      <c r="B80" s="1" t="s">
        <v>37</v>
      </c>
      <c r="C80" s="1" t="s">
        <v>38</v>
      </c>
      <c r="D80" s="1" t="s">
        <v>21</v>
      </c>
      <c r="E80" s="3">
        <v>250</v>
      </c>
      <c r="F80" s="3">
        <v>500</v>
      </c>
      <c r="G80" s="13">
        <v>739</v>
      </c>
      <c r="H80" s="3">
        <v>369500</v>
      </c>
      <c r="I80" s="3">
        <v>184750</v>
      </c>
      <c r="J80" s="1" t="s">
        <v>34</v>
      </c>
      <c r="K80" s="1" t="s">
        <v>17</v>
      </c>
      <c r="L80" s="1" t="s">
        <v>49</v>
      </c>
      <c r="M80" s="1">
        <v>2017</v>
      </c>
      <c r="N80" s="1" t="str">
        <f t="shared" si="1"/>
        <v>Francophone</v>
      </c>
      <c r="O80" s="3" t="str">
        <f>_xlfn.XLOOKUP(D:D,MappingTable[Brand],MappingTable[Brand Type], "not found")</f>
        <v>Beer</v>
      </c>
      <c r="P80" t="str">
        <f>_xlfn.XLOOKUP(L:L,MappingTable2[Month],MappingTable2[Quarters],"NIL")</f>
        <v>Q3</v>
      </c>
      <c r="Q80" s="1"/>
    </row>
    <row r="81" spans="1:17" x14ac:dyDescent="0.2">
      <c r="A81" s="1">
        <v>10180</v>
      </c>
      <c r="B81" s="1" t="s">
        <v>13</v>
      </c>
      <c r="C81" s="1" t="s">
        <v>14</v>
      </c>
      <c r="D81" s="1" t="s">
        <v>27</v>
      </c>
      <c r="E81" s="3">
        <v>180</v>
      </c>
      <c r="F81" s="3">
        <v>450</v>
      </c>
      <c r="G81" s="13">
        <v>795</v>
      </c>
      <c r="H81" s="3">
        <v>357750</v>
      </c>
      <c r="I81" s="3">
        <v>214650</v>
      </c>
      <c r="J81" s="1" t="s">
        <v>40</v>
      </c>
      <c r="K81" s="1" t="s">
        <v>23</v>
      </c>
      <c r="L81" s="1" t="s">
        <v>50</v>
      </c>
      <c r="M81" s="1">
        <v>2019</v>
      </c>
      <c r="N81" s="1" t="str">
        <f t="shared" si="1"/>
        <v>Francophone</v>
      </c>
      <c r="O81" s="3" t="str">
        <f>_xlfn.XLOOKUP(D:D,MappingTable[Brand],MappingTable[Brand Type], "not found")</f>
        <v>Beer</v>
      </c>
      <c r="P81" t="str">
        <f>_xlfn.XLOOKUP(L:L,MappingTable2[Month],MappingTable2[Quarters],"NIL")</f>
        <v>Q3</v>
      </c>
      <c r="Q81" s="1"/>
    </row>
    <row r="82" spans="1:17" x14ac:dyDescent="0.2">
      <c r="A82" s="1">
        <v>10181</v>
      </c>
      <c r="B82" s="1" t="s">
        <v>13</v>
      </c>
      <c r="C82" s="1" t="s">
        <v>14</v>
      </c>
      <c r="D82" s="1" t="s">
        <v>33</v>
      </c>
      <c r="E82" s="3">
        <v>170</v>
      </c>
      <c r="F82" s="3">
        <v>250</v>
      </c>
      <c r="G82" s="13">
        <v>701</v>
      </c>
      <c r="H82" s="3">
        <v>175250</v>
      </c>
      <c r="I82" s="3">
        <v>56080</v>
      </c>
      <c r="J82" s="1" t="s">
        <v>16</v>
      </c>
      <c r="K82" s="1" t="s">
        <v>29</v>
      </c>
      <c r="L82" s="1" t="s">
        <v>53</v>
      </c>
      <c r="M82" s="1">
        <v>2018</v>
      </c>
      <c r="N82" s="1" t="str">
        <f t="shared" si="1"/>
        <v>Anglophone</v>
      </c>
      <c r="O82" s="3" t="str">
        <f>_xlfn.XLOOKUP(D:D,MappingTable[Brand],MappingTable[Brand Type], "not found")</f>
        <v>Beer</v>
      </c>
      <c r="P82" t="str">
        <f>_xlfn.XLOOKUP(L:L,MappingTable2[Month],MappingTable2[Quarters],"NIL")</f>
        <v>Q3</v>
      </c>
      <c r="Q82" s="1"/>
    </row>
    <row r="83" spans="1:17" x14ac:dyDescent="0.2">
      <c r="A83" s="1">
        <v>10182</v>
      </c>
      <c r="B83" s="1" t="s">
        <v>37</v>
      </c>
      <c r="C83" s="1" t="s">
        <v>38</v>
      </c>
      <c r="D83" s="1" t="s">
        <v>39</v>
      </c>
      <c r="E83" s="3">
        <v>150</v>
      </c>
      <c r="F83" s="3">
        <v>200</v>
      </c>
      <c r="G83" s="13">
        <v>773</v>
      </c>
      <c r="H83" s="3">
        <v>154600</v>
      </c>
      <c r="I83" s="3">
        <v>38650</v>
      </c>
      <c r="J83" s="1" t="s">
        <v>22</v>
      </c>
      <c r="K83" s="1" t="s">
        <v>35</v>
      </c>
      <c r="L83" s="1" t="s">
        <v>56</v>
      </c>
      <c r="M83" s="1">
        <v>2019</v>
      </c>
      <c r="N83" s="1" t="str">
        <f t="shared" si="1"/>
        <v>Anglophone</v>
      </c>
      <c r="O83" s="3" t="str">
        <f>_xlfn.XLOOKUP(D:D,MappingTable[Brand],MappingTable[Brand Type], "not found")</f>
        <v>Beer</v>
      </c>
      <c r="P83" t="str">
        <f>_xlfn.XLOOKUP(L:L,MappingTable2[Month],MappingTable2[Quarters],"NIL")</f>
        <v>Q4</v>
      </c>
      <c r="Q83" s="1"/>
    </row>
    <row r="84" spans="1:17" x14ac:dyDescent="0.2">
      <c r="A84" s="1">
        <v>10183</v>
      </c>
      <c r="B84" s="1" t="s">
        <v>31</v>
      </c>
      <c r="C84" s="1" t="s">
        <v>32</v>
      </c>
      <c r="D84" s="1" t="s">
        <v>43</v>
      </c>
      <c r="E84" s="3">
        <v>80</v>
      </c>
      <c r="F84" s="3">
        <v>150</v>
      </c>
      <c r="G84" s="13">
        <v>801</v>
      </c>
      <c r="H84" s="3">
        <v>120150</v>
      </c>
      <c r="I84" s="3">
        <v>56070</v>
      </c>
      <c r="J84" s="1" t="s">
        <v>28</v>
      </c>
      <c r="K84" s="1" t="s">
        <v>41</v>
      </c>
      <c r="L84" s="1" t="s">
        <v>59</v>
      </c>
      <c r="M84" s="1">
        <v>2018</v>
      </c>
      <c r="N84" s="1" t="str">
        <f t="shared" si="1"/>
        <v>Francophone</v>
      </c>
      <c r="O84" s="3" t="str">
        <f>_xlfn.XLOOKUP(D:D,MappingTable[Brand],MappingTable[Brand Type], "not found")</f>
        <v>Malt</v>
      </c>
      <c r="P84" t="str">
        <f>_xlfn.XLOOKUP(L:L,MappingTable2[Month],MappingTable2[Quarters],"NIL")</f>
        <v>Q4</v>
      </c>
      <c r="Q84" s="1"/>
    </row>
    <row r="85" spans="1:17" x14ac:dyDescent="0.2">
      <c r="A85" s="1">
        <v>10184</v>
      </c>
      <c r="B85" s="1" t="s">
        <v>51</v>
      </c>
      <c r="C85" s="1" t="s">
        <v>52</v>
      </c>
      <c r="D85" s="1" t="s">
        <v>48</v>
      </c>
      <c r="E85" s="3">
        <v>90</v>
      </c>
      <c r="F85" s="3">
        <v>150</v>
      </c>
      <c r="G85" s="13">
        <v>892</v>
      </c>
      <c r="H85" s="3">
        <v>133800</v>
      </c>
      <c r="I85" s="3">
        <v>53520</v>
      </c>
      <c r="J85" s="1" t="s">
        <v>34</v>
      </c>
      <c r="K85" s="1" t="s">
        <v>44</v>
      </c>
      <c r="L85" s="1" t="s">
        <v>60</v>
      </c>
      <c r="M85" s="1">
        <v>2017</v>
      </c>
      <c r="N85" s="1" t="str">
        <f t="shared" si="1"/>
        <v>Francophone</v>
      </c>
      <c r="O85" s="3" t="str">
        <f>_xlfn.XLOOKUP(D:D,MappingTable[Brand],MappingTable[Brand Type], "not found")</f>
        <v>Malt</v>
      </c>
      <c r="P85" t="str">
        <f>_xlfn.XLOOKUP(L:L,MappingTable2[Month],MappingTable2[Quarters],"NIL")</f>
        <v>Q4</v>
      </c>
      <c r="Q85" s="1"/>
    </row>
    <row r="86" spans="1:17" x14ac:dyDescent="0.2">
      <c r="A86" s="1">
        <v>10185</v>
      </c>
      <c r="B86" s="1" t="s">
        <v>63</v>
      </c>
      <c r="C86" s="1" t="s">
        <v>64</v>
      </c>
      <c r="D86" s="1" t="s">
        <v>15</v>
      </c>
      <c r="E86" s="3">
        <v>150</v>
      </c>
      <c r="F86" s="3">
        <v>200</v>
      </c>
      <c r="G86" s="13">
        <v>739</v>
      </c>
      <c r="H86" s="3">
        <v>147800</v>
      </c>
      <c r="I86" s="3">
        <v>36950</v>
      </c>
      <c r="J86" s="1" t="s">
        <v>40</v>
      </c>
      <c r="K86" s="1" t="s">
        <v>17</v>
      </c>
      <c r="L86" s="1" t="s">
        <v>18</v>
      </c>
      <c r="M86" s="1">
        <v>2018</v>
      </c>
      <c r="N86" s="1" t="str">
        <f t="shared" si="1"/>
        <v>Francophone</v>
      </c>
      <c r="O86" s="3" t="str">
        <f>_xlfn.XLOOKUP(D:D,MappingTable[Brand],MappingTable[Brand Type], "not found")</f>
        <v>Beer</v>
      </c>
      <c r="P86" t="str">
        <f>_xlfn.XLOOKUP(L:L,MappingTable2[Month],MappingTable2[Quarters],"NIL")</f>
        <v>Q1</v>
      </c>
      <c r="Q86" s="1"/>
    </row>
    <row r="87" spans="1:17" x14ac:dyDescent="0.2">
      <c r="A87" s="1">
        <v>10186</v>
      </c>
      <c r="B87" s="1" t="s">
        <v>25</v>
      </c>
      <c r="C87" s="1" t="s">
        <v>26</v>
      </c>
      <c r="D87" s="1" t="s">
        <v>21</v>
      </c>
      <c r="E87" s="3">
        <v>250</v>
      </c>
      <c r="F87" s="3">
        <v>500</v>
      </c>
      <c r="G87" s="13">
        <v>704</v>
      </c>
      <c r="H87" s="3">
        <v>352000</v>
      </c>
      <c r="I87" s="3">
        <v>176000</v>
      </c>
      <c r="J87" s="1" t="s">
        <v>16</v>
      </c>
      <c r="K87" s="1" t="s">
        <v>23</v>
      </c>
      <c r="L87" s="1" t="s">
        <v>24</v>
      </c>
      <c r="M87" s="1">
        <v>2018</v>
      </c>
      <c r="N87" s="1" t="str">
        <f t="shared" si="1"/>
        <v>Anglophone</v>
      </c>
      <c r="O87" s="3" t="str">
        <f>_xlfn.XLOOKUP(D:D,MappingTable[Brand],MappingTable[Brand Type], "not found")</f>
        <v>Beer</v>
      </c>
      <c r="P87" t="str">
        <f>_xlfn.XLOOKUP(L:L,MappingTable2[Month],MappingTable2[Quarters],"NIL")</f>
        <v>Q1</v>
      </c>
      <c r="Q87" s="1"/>
    </row>
    <row r="88" spans="1:17" x14ac:dyDescent="0.2">
      <c r="A88" s="1">
        <v>10187</v>
      </c>
      <c r="B88" s="1" t="s">
        <v>19</v>
      </c>
      <c r="C88" s="1" t="s">
        <v>20</v>
      </c>
      <c r="D88" s="1" t="s">
        <v>27</v>
      </c>
      <c r="E88" s="3">
        <v>180</v>
      </c>
      <c r="F88" s="3">
        <v>450</v>
      </c>
      <c r="G88" s="13">
        <v>879</v>
      </c>
      <c r="H88" s="3">
        <v>395550</v>
      </c>
      <c r="I88" s="3">
        <v>237330</v>
      </c>
      <c r="J88" s="1" t="s">
        <v>22</v>
      </c>
      <c r="K88" s="1" t="s">
        <v>29</v>
      </c>
      <c r="L88" s="1" t="s">
        <v>30</v>
      </c>
      <c r="M88" s="1">
        <v>2018</v>
      </c>
      <c r="N88" s="1" t="str">
        <f t="shared" si="1"/>
        <v>Anglophone</v>
      </c>
      <c r="O88" s="3" t="str">
        <f>_xlfn.XLOOKUP(D:D,MappingTable[Brand],MappingTable[Brand Type], "not found")</f>
        <v>Beer</v>
      </c>
      <c r="P88" t="str">
        <f>_xlfn.XLOOKUP(L:L,MappingTable2[Month],MappingTable2[Quarters],"NIL")</f>
        <v>Q1</v>
      </c>
      <c r="Q88" s="1"/>
    </row>
    <row r="89" spans="1:17" x14ac:dyDescent="0.2">
      <c r="A89" s="1">
        <v>10188</v>
      </c>
      <c r="B89" s="1" t="s">
        <v>25</v>
      </c>
      <c r="C89" s="1" t="s">
        <v>26</v>
      </c>
      <c r="D89" s="1" t="s">
        <v>33</v>
      </c>
      <c r="E89" s="3">
        <v>170</v>
      </c>
      <c r="F89" s="3">
        <v>250</v>
      </c>
      <c r="G89" s="13">
        <v>993</v>
      </c>
      <c r="H89" s="3">
        <v>248250</v>
      </c>
      <c r="I89" s="3">
        <v>79440</v>
      </c>
      <c r="J89" s="1" t="s">
        <v>28</v>
      </c>
      <c r="K89" s="1" t="s">
        <v>35</v>
      </c>
      <c r="L89" s="1" t="s">
        <v>36</v>
      </c>
      <c r="M89" s="1">
        <v>2017</v>
      </c>
      <c r="N89" s="1" t="str">
        <f t="shared" si="1"/>
        <v>Francophone</v>
      </c>
      <c r="O89" s="3" t="str">
        <f>_xlfn.XLOOKUP(D:D,MappingTable[Brand],MappingTable[Brand Type], "not found")</f>
        <v>Beer</v>
      </c>
      <c r="P89" t="str">
        <f>_xlfn.XLOOKUP(L:L,MappingTable2[Month],MappingTable2[Quarters],"NIL")</f>
        <v>Q2</v>
      </c>
      <c r="Q89" s="1"/>
    </row>
    <row r="90" spans="1:17" x14ac:dyDescent="0.2">
      <c r="A90" s="1">
        <v>10189</v>
      </c>
      <c r="B90" s="1" t="s">
        <v>46</v>
      </c>
      <c r="C90" s="1" t="s">
        <v>47</v>
      </c>
      <c r="D90" s="1" t="s">
        <v>39</v>
      </c>
      <c r="E90" s="3">
        <v>150</v>
      </c>
      <c r="F90" s="3">
        <v>200</v>
      </c>
      <c r="G90" s="13">
        <v>820</v>
      </c>
      <c r="H90" s="3">
        <v>164000</v>
      </c>
      <c r="I90" s="3">
        <v>41000</v>
      </c>
      <c r="J90" s="1" t="s">
        <v>34</v>
      </c>
      <c r="K90" s="1" t="s">
        <v>41</v>
      </c>
      <c r="L90" s="1" t="s">
        <v>42</v>
      </c>
      <c r="M90" s="1">
        <v>2018</v>
      </c>
      <c r="N90" s="1" t="str">
        <f t="shared" si="1"/>
        <v>Francophone</v>
      </c>
      <c r="O90" s="3" t="str">
        <f>_xlfn.XLOOKUP(D:D,MappingTable[Brand],MappingTable[Brand Type], "not found")</f>
        <v>Beer</v>
      </c>
      <c r="P90" t="str">
        <f>_xlfn.XLOOKUP(L:L,MappingTable2[Month],MappingTable2[Quarters],"NIL")</f>
        <v>Q2</v>
      </c>
      <c r="Q90" s="1"/>
    </row>
    <row r="91" spans="1:17" x14ac:dyDescent="0.2">
      <c r="A91" s="1">
        <v>10190</v>
      </c>
      <c r="B91" s="1" t="s">
        <v>37</v>
      </c>
      <c r="C91" s="1" t="s">
        <v>38</v>
      </c>
      <c r="D91" s="1" t="s">
        <v>43</v>
      </c>
      <c r="E91" s="3">
        <v>80</v>
      </c>
      <c r="F91" s="3">
        <v>150</v>
      </c>
      <c r="G91" s="13">
        <v>869</v>
      </c>
      <c r="H91" s="3">
        <v>130350</v>
      </c>
      <c r="I91" s="3">
        <v>60830</v>
      </c>
      <c r="J91" s="1" t="s">
        <v>40</v>
      </c>
      <c r="K91" s="1" t="s">
        <v>44</v>
      </c>
      <c r="L91" s="1" t="s">
        <v>45</v>
      </c>
      <c r="M91" s="1">
        <v>2018</v>
      </c>
      <c r="N91" s="1" t="str">
        <f t="shared" si="1"/>
        <v>Francophone</v>
      </c>
      <c r="O91" s="3" t="str">
        <f>_xlfn.XLOOKUP(D:D,MappingTable[Brand],MappingTable[Brand Type], "not found")</f>
        <v>Malt</v>
      </c>
      <c r="P91" t="str">
        <f>_xlfn.XLOOKUP(L:L,MappingTable2[Month],MappingTable2[Quarters],"NIL")</f>
        <v>Q2</v>
      </c>
      <c r="Q91" s="1"/>
    </row>
    <row r="92" spans="1:17" x14ac:dyDescent="0.2">
      <c r="A92" s="1">
        <v>10191</v>
      </c>
      <c r="B92" s="1" t="s">
        <v>13</v>
      </c>
      <c r="C92" s="1" t="s">
        <v>14</v>
      </c>
      <c r="D92" s="1" t="s">
        <v>48</v>
      </c>
      <c r="E92" s="3">
        <v>90</v>
      </c>
      <c r="F92" s="3">
        <v>150</v>
      </c>
      <c r="G92" s="13">
        <v>902</v>
      </c>
      <c r="H92" s="3">
        <v>135300</v>
      </c>
      <c r="I92" s="3">
        <v>54120</v>
      </c>
      <c r="J92" s="1" t="s">
        <v>16</v>
      </c>
      <c r="K92" s="1" t="s">
        <v>17</v>
      </c>
      <c r="L92" s="1" t="s">
        <v>49</v>
      </c>
      <c r="M92" s="1">
        <v>2019</v>
      </c>
      <c r="N92" s="1" t="str">
        <f t="shared" si="1"/>
        <v>Anglophone</v>
      </c>
      <c r="O92" s="3" t="str">
        <f>_xlfn.XLOOKUP(D:D,MappingTable[Brand],MappingTable[Brand Type], "not found")</f>
        <v>Malt</v>
      </c>
      <c r="P92" t="str">
        <f>_xlfn.XLOOKUP(L:L,MappingTable2[Month],MappingTable2[Quarters],"NIL")</f>
        <v>Q3</v>
      </c>
      <c r="Q92" s="1"/>
    </row>
    <row r="93" spans="1:17" x14ac:dyDescent="0.2">
      <c r="A93" s="1">
        <v>10192</v>
      </c>
      <c r="B93" s="1" t="s">
        <v>13</v>
      </c>
      <c r="C93" s="1" t="s">
        <v>14</v>
      </c>
      <c r="D93" s="1" t="s">
        <v>15</v>
      </c>
      <c r="E93" s="3">
        <v>150</v>
      </c>
      <c r="F93" s="3">
        <v>200</v>
      </c>
      <c r="G93" s="13">
        <v>981</v>
      </c>
      <c r="H93" s="3">
        <v>196200</v>
      </c>
      <c r="I93" s="3">
        <v>49050</v>
      </c>
      <c r="J93" s="1" t="s">
        <v>22</v>
      </c>
      <c r="K93" s="1" t="s">
        <v>23</v>
      </c>
      <c r="L93" s="1" t="s">
        <v>50</v>
      </c>
      <c r="M93" s="1">
        <v>2019</v>
      </c>
      <c r="N93" s="1" t="str">
        <f t="shared" si="1"/>
        <v>Anglophone</v>
      </c>
      <c r="O93" s="3" t="str">
        <f>_xlfn.XLOOKUP(D:D,MappingTable[Brand],MappingTable[Brand Type], "not found")</f>
        <v>Beer</v>
      </c>
      <c r="P93" t="str">
        <f>_xlfn.XLOOKUP(L:L,MappingTable2[Month],MappingTable2[Quarters],"NIL")</f>
        <v>Q3</v>
      </c>
      <c r="Q93" s="1"/>
    </row>
    <row r="94" spans="1:17" x14ac:dyDescent="0.2">
      <c r="A94" s="1">
        <v>10193</v>
      </c>
      <c r="B94" s="1" t="s">
        <v>37</v>
      </c>
      <c r="C94" s="1" t="s">
        <v>38</v>
      </c>
      <c r="D94" s="1" t="s">
        <v>21</v>
      </c>
      <c r="E94" s="3">
        <v>250</v>
      </c>
      <c r="F94" s="3">
        <v>500</v>
      </c>
      <c r="G94" s="13">
        <v>722</v>
      </c>
      <c r="H94" s="3">
        <v>361000</v>
      </c>
      <c r="I94" s="3">
        <v>180500</v>
      </c>
      <c r="J94" s="1" t="s">
        <v>28</v>
      </c>
      <c r="K94" s="1" t="s">
        <v>29</v>
      </c>
      <c r="L94" s="1" t="s">
        <v>53</v>
      </c>
      <c r="M94" s="1">
        <v>2017</v>
      </c>
      <c r="N94" s="1" t="str">
        <f t="shared" si="1"/>
        <v>Francophone</v>
      </c>
      <c r="O94" s="3" t="str">
        <f>_xlfn.XLOOKUP(D:D,MappingTable[Brand],MappingTable[Brand Type], "not found")</f>
        <v>Beer</v>
      </c>
      <c r="P94" t="str">
        <f>_xlfn.XLOOKUP(L:L,MappingTable2[Month],MappingTable2[Quarters],"NIL")</f>
        <v>Q3</v>
      </c>
      <c r="Q94" s="1"/>
    </row>
    <row r="95" spans="1:17" x14ac:dyDescent="0.2">
      <c r="A95" s="1">
        <v>10194</v>
      </c>
      <c r="B95" s="1" t="s">
        <v>13</v>
      </c>
      <c r="C95" s="1" t="s">
        <v>14</v>
      </c>
      <c r="D95" s="1" t="s">
        <v>27</v>
      </c>
      <c r="E95" s="3">
        <v>180</v>
      </c>
      <c r="F95" s="3">
        <v>450</v>
      </c>
      <c r="G95" s="13">
        <v>849</v>
      </c>
      <c r="H95" s="3">
        <v>382050</v>
      </c>
      <c r="I95" s="3">
        <v>229230</v>
      </c>
      <c r="J95" s="1" t="s">
        <v>34</v>
      </c>
      <c r="K95" s="1" t="s">
        <v>35</v>
      </c>
      <c r="L95" s="1" t="s">
        <v>56</v>
      </c>
      <c r="M95" s="1">
        <v>2017</v>
      </c>
      <c r="N95" s="1" t="str">
        <f t="shared" si="1"/>
        <v>Francophone</v>
      </c>
      <c r="O95" s="3" t="str">
        <f>_xlfn.XLOOKUP(D:D,MappingTable[Brand],MappingTable[Brand Type], "not found")</f>
        <v>Beer</v>
      </c>
      <c r="P95" t="str">
        <f>_xlfn.XLOOKUP(L:L,MappingTable2[Month],MappingTable2[Quarters],"NIL")</f>
        <v>Q4</v>
      </c>
      <c r="Q95" s="1"/>
    </row>
    <row r="96" spans="1:17" x14ac:dyDescent="0.2">
      <c r="A96" s="1">
        <v>10195</v>
      </c>
      <c r="B96" s="1" t="s">
        <v>19</v>
      </c>
      <c r="C96" s="1" t="s">
        <v>20</v>
      </c>
      <c r="D96" s="1" t="s">
        <v>33</v>
      </c>
      <c r="E96" s="3">
        <v>170</v>
      </c>
      <c r="F96" s="3">
        <v>250</v>
      </c>
      <c r="G96" s="13">
        <v>910</v>
      </c>
      <c r="H96" s="3">
        <v>227500</v>
      </c>
      <c r="I96" s="3">
        <v>72800</v>
      </c>
      <c r="J96" s="1" t="s">
        <v>40</v>
      </c>
      <c r="K96" s="1" t="s">
        <v>41</v>
      </c>
      <c r="L96" s="1" t="s">
        <v>59</v>
      </c>
      <c r="M96" s="1">
        <v>2019</v>
      </c>
      <c r="N96" s="1" t="str">
        <f t="shared" si="1"/>
        <v>Francophone</v>
      </c>
      <c r="O96" s="3" t="str">
        <f>_xlfn.XLOOKUP(D:D,MappingTable[Brand],MappingTable[Brand Type], "not found")</f>
        <v>Beer</v>
      </c>
      <c r="P96" t="str">
        <f>_xlfn.XLOOKUP(L:L,MappingTable2[Month],MappingTable2[Quarters],"NIL")</f>
        <v>Q4</v>
      </c>
      <c r="Q96" s="1"/>
    </row>
    <row r="97" spans="1:17" x14ac:dyDescent="0.2">
      <c r="A97" s="1">
        <v>10196</v>
      </c>
      <c r="B97" s="1" t="s">
        <v>25</v>
      </c>
      <c r="C97" s="1" t="s">
        <v>26</v>
      </c>
      <c r="D97" s="1" t="s">
        <v>39</v>
      </c>
      <c r="E97" s="3">
        <v>150</v>
      </c>
      <c r="F97" s="3">
        <v>200</v>
      </c>
      <c r="G97" s="13">
        <v>959</v>
      </c>
      <c r="H97" s="3">
        <v>191800</v>
      </c>
      <c r="I97" s="3">
        <v>47950</v>
      </c>
      <c r="J97" s="1" t="s">
        <v>16</v>
      </c>
      <c r="K97" s="1" t="s">
        <v>44</v>
      </c>
      <c r="L97" s="1" t="s">
        <v>60</v>
      </c>
      <c r="M97" s="1">
        <v>2018</v>
      </c>
      <c r="N97" s="1" t="str">
        <f t="shared" si="1"/>
        <v>Anglophone</v>
      </c>
      <c r="O97" s="3" t="str">
        <f>_xlfn.XLOOKUP(D:D,MappingTable[Brand],MappingTable[Brand Type], "not found")</f>
        <v>Beer</v>
      </c>
      <c r="P97" t="str">
        <f>_xlfn.XLOOKUP(L:L,MappingTable2[Month],MappingTable2[Quarters],"NIL")</f>
        <v>Q4</v>
      </c>
      <c r="Q97" s="1"/>
    </row>
    <row r="98" spans="1:17" x14ac:dyDescent="0.2">
      <c r="A98" s="1">
        <v>10197</v>
      </c>
      <c r="B98" s="1" t="s">
        <v>31</v>
      </c>
      <c r="C98" s="1" t="s">
        <v>32</v>
      </c>
      <c r="D98" s="1" t="s">
        <v>43</v>
      </c>
      <c r="E98" s="3">
        <v>80</v>
      </c>
      <c r="F98" s="3">
        <v>150</v>
      </c>
      <c r="G98" s="13">
        <v>896</v>
      </c>
      <c r="H98" s="3">
        <v>134400</v>
      </c>
      <c r="I98" s="3">
        <v>62720</v>
      </c>
      <c r="J98" s="1" t="s">
        <v>22</v>
      </c>
      <c r="K98" s="1" t="s">
        <v>17</v>
      </c>
      <c r="L98" s="1" t="s">
        <v>18</v>
      </c>
      <c r="M98" s="1">
        <v>2019</v>
      </c>
      <c r="N98" s="1" t="str">
        <f t="shared" si="1"/>
        <v>Anglophone</v>
      </c>
      <c r="O98" s="3" t="str">
        <f>_xlfn.XLOOKUP(D:D,MappingTable[Brand],MappingTable[Brand Type], "not found")</f>
        <v>Malt</v>
      </c>
      <c r="P98" t="str">
        <f>_xlfn.XLOOKUP(L:L,MappingTable2[Month],MappingTable2[Quarters],"NIL")</f>
        <v>Q1</v>
      </c>
      <c r="Q98" s="1"/>
    </row>
    <row r="99" spans="1:17" x14ac:dyDescent="0.2">
      <c r="A99" s="1">
        <v>10198</v>
      </c>
      <c r="B99" s="1" t="s">
        <v>37</v>
      </c>
      <c r="C99" s="1" t="s">
        <v>38</v>
      </c>
      <c r="D99" s="1" t="s">
        <v>48</v>
      </c>
      <c r="E99" s="3">
        <v>90</v>
      </c>
      <c r="F99" s="3">
        <v>150</v>
      </c>
      <c r="G99" s="13">
        <v>856</v>
      </c>
      <c r="H99" s="3">
        <v>128400</v>
      </c>
      <c r="I99" s="3">
        <v>51360</v>
      </c>
      <c r="J99" s="1" t="s">
        <v>28</v>
      </c>
      <c r="K99" s="1" t="s">
        <v>23</v>
      </c>
      <c r="L99" s="1" t="s">
        <v>24</v>
      </c>
      <c r="M99" s="1">
        <v>2017</v>
      </c>
      <c r="N99" s="1" t="str">
        <f t="shared" si="1"/>
        <v>Francophone</v>
      </c>
      <c r="O99" s="3" t="str">
        <f>_xlfn.XLOOKUP(D:D,MappingTable[Brand],MappingTable[Brand Type], "not found")</f>
        <v>Malt</v>
      </c>
      <c r="P99" t="str">
        <f>_xlfn.XLOOKUP(L:L,MappingTable2[Month],MappingTable2[Quarters],"NIL")</f>
        <v>Q1</v>
      </c>
      <c r="Q99" s="1"/>
    </row>
    <row r="100" spans="1:17" x14ac:dyDescent="0.2">
      <c r="A100" s="1">
        <v>10199</v>
      </c>
      <c r="B100" s="1" t="s">
        <v>13</v>
      </c>
      <c r="C100" s="1" t="s">
        <v>14</v>
      </c>
      <c r="D100" s="1" t="s">
        <v>15</v>
      </c>
      <c r="E100" s="3">
        <v>150</v>
      </c>
      <c r="F100" s="3">
        <v>200</v>
      </c>
      <c r="G100" s="13">
        <v>817</v>
      </c>
      <c r="H100" s="3">
        <v>163400</v>
      </c>
      <c r="I100" s="3">
        <v>40850</v>
      </c>
      <c r="J100" s="1" t="s">
        <v>34</v>
      </c>
      <c r="K100" s="1" t="s">
        <v>29</v>
      </c>
      <c r="L100" s="1" t="s">
        <v>30</v>
      </c>
      <c r="M100" s="1">
        <v>2017</v>
      </c>
      <c r="N100" s="1" t="str">
        <f t="shared" si="1"/>
        <v>Francophone</v>
      </c>
      <c r="O100" s="3" t="str">
        <f>_xlfn.XLOOKUP(D:D,MappingTable[Brand],MappingTable[Brand Type], "not found")</f>
        <v>Beer</v>
      </c>
      <c r="P100" t="str">
        <f>_xlfn.XLOOKUP(L:L,MappingTable2[Month],MappingTable2[Quarters],"NIL")</f>
        <v>Q1</v>
      </c>
      <c r="Q100" s="1"/>
    </row>
    <row r="101" spans="1:17" x14ac:dyDescent="0.2">
      <c r="A101" s="1">
        <v>10200</v>
      </c>
      <c r="B101" s="1" t="s">
        <v>46</v>
      </c>
      <c r="C101" s="1" t="s">
        <v>47</v>
      </c>
      <c r="D101" s="1" t="s">
        <v>21</v>
      </c>
      <c r="E101" s="3">
        <v>250</v>
      </c>
      <c r="F101" s="3">
        <v>500</v>
      </c>
      <c r="G101" s="13">
        <v>729</v>
      </c>
      <c r="H101" s="3">
        <v>364500</v>
      </c>
      <c r="I101" s="3">
        <v>182250</v>
      </c>
      <c r="J101" s="1" t="s">
        <v>40</v>
      </c>
      <c r="K101" s="1" t="s">
        <v>35</v>
      </c>
      <c r="L101" s="1" t="s">
        <v>36</v>
      </c>
      <c r="M101" s="1">
        <v>2017</v>
      </c>
      <c r="N101" s="1" t="str">
        <f t="shared" si="1"/>
        <v>Francophone</v>
      </c>
      <c r="O101" s="3" t="str">
        <f>_xlfn.XLOOKUP(D:D,MappingTable[Brand],MappingTable[Brand Type], "not found")</f>
        <v>Beer</v>
      </c>
      <c r="P101" t="str">
        <f>_xlfn.XLOOKUP(L:L,MappingTable2[Month],MappingTable2[Quarters],"NIL")</f>
        <v>Q2</v>
      </c>
      <c r="Q101" s="1"/>
    </row>
    <row r="102" spans="1:17" x14ac:dyDescent="0.2">
      <c r="A102" s="1">
        <v>10201</v>
      </c>
      <c r="B102" s="1" t="s">
        <v>31</v>
      </c>
      <c r="C102" s="1" t="s">
        <v>32</v>
      </c>
      <c r="D102" s="1" t="s">
        <v>27</v>
      </c>
      <c r="E102" s="3">
        <v>180</v>
      </c>
      <c r="F102" s="3">
        <v>450</v>
      </c>
      <c r="G102" s="13">
        <v>805</v>
      </c>
      <c r="H102" s="3">
        <v>362250</v>
      </c>
      <c r="I102" s="3">
        <v>217350</v>
      </c>
      <c r="J102" s="1" t="s">
        <v>16</v>
      </c>
      <c r="K102" s="1" t="s">
        <v>41</v>
      </c>
      <c r="L102" s="1" t="s">
        <v>42</v>
      </c>
      <c r="M102" s="1">
        <v>2017</v>
      </c>
      <c r="N102" s="1" t="str">
        <f t="shared" si="1"/>
        <v>Anglophone</v>
      </c>
      <c r="O102" s="3" t="str">
        <f>_xlfn.XLOOKUP(D:D,MappingTable[Brand],MappingTable[Brand Type], "not found")</f>
        <v>Beer</v>
      </c>
      <c r="P102" t="str">
        <f>_xlfn.XLOOKUP(L:L,MappingTable2[Month],MappingTable2[Quarters],"NIL")</f>
        <v>Q2</v>
      </c>
      <c r="Q102" s="1"/>
    </row>
    <row r="103" spans="1:17" x14ac:dyDescent="0.2">
      <c r="A103" s="1">
        <v>10202</v>
      </c>
      <c r="B103" s="1" t="s">
        <v>51</v>
      </c>
      <c r="C103" s="1" t="s">
        <v>52</v>
      </c>
      <c r="D103" s="1" t="s">
        <v>33</v>
      </c>
      <c r="E103" s="3">
        <v>170</v>
      </c>
      <c r="F103" s="3">
        <v>250</v>
      </c>
      <c r="G103" s="13">
        <v>828</v>
      </c>
      <c r="H103" s="3">
        <v>207000</v>
      </c>
      <c r="I103" s="3">
        <v>66240</v>
      </c>
      <c r="J103" s="1" t="s">
        <v>22</v>
      </c>
      <c r="K103" s="1" t="s">
        <v>44</v>
      </c>
      <c r="L103" s="1" t="s">
        <v>45</v>
      </c>
      <c r="M103" s="1">
        <v>2019</v>
      </c>
      <c r="N103" s="1" t="str">
        <f t="shared" si="1"/>
        <v>Anglophone</v>
      </c>
      <c r="O103" s="3" t="str">
        <f>_xlfn.XLOOKUP(D:D,MappingTable[Brand],MappingTable[Brand Type], "not found")</f>
        <v>Beer</v>
      </c>
      <c r="P103" t="str">
        <f>_xlfn.XLOOKUP(L:L,MappingTable2[Month],MappingTable2[Quarters],"NIL")</f>
        <v>Q2</v>
      </c>
      <c r="Q103" s="1"/>
    </row>
    <row r="104" spans="1:17" x14ac:dyDescent="0.2">
      <c r="A104" s="1">
        <v>10203</v>
      </c>
      <c r="B104" s="1" t="s">
        <v>54</v>
      </c>
      <c r="C104" s="1" t="s">
        <v>55</v>
      </c>
      <c r="D104" s="1" t="s">
        <v>39</v>
      </c>
      <c r="E104" s="3">
        <v>150</v>
      </c>
      <c r="F104" s="3">
        <v>200</v>
      </c>
      <c r="G104" s="13">
        <v>990</v>
      </c>
      <c r="H104" s="3">
        <v>198000</v>
      </c>
      <c r="I104" s="3">
        <v>49500</v>
      </c>
      <c r="J104" s="1" t="s">
        <v>28</v>
      </c>
      <c r="K104" s="1" t="s">
        <v>17</v>
      </c>
      <c r="L104" s="1" t="s">
        <v>49</v>
      </c>
      <c r="M104" s="1">
        <v>2019</v>
      </c>
      <c r="N104" s="1" t="str">
        <f t="shared" si="1"/>
        <v>Francophone</v>
      </c>
      <c r="O104" s="3" t="str">
        <f>_xlfn.XLOOKUP(D:D,MappingTable[Brand],MappingTable[Brand Type], "not found")</f>
        <v>Beer</v>
      </c>
      <c r="P104" t="str">
        <f>_xlfn.XLOOKUP(L:L,MappingTable2[Month],MappingTable2[Quarters],"NIL")</f>
        <v>Q3</v>
      </c>
      <c r="Q104" s="1"/>
    </row>
    <row r="105" spans="1:17" x14ac:dyDescent="0.2">
      <c r="A105" s="1">
        <v>10204</v>
      </c>
      <c r="B105" s="1" t="s">
        <v>57</v>
      </c>
      <c r="C105" s="1" t="s">
        <v>58</v>
      </c>
      <c r="D105" s="1" t="s">
        <v>43</v>
      </c>
      <c r="E105" s="3">
        <v>80</v>
      </c>
      <c r="F105" s="3">
        <v>150</v>
      </c>
      <c r="G105" s="13">
        <v>831</v>
      </c>
      <c r="H105" s="3">
        <v>124650</v>
      </c>
      <c r="I105" s="3">
        <v>58170</v>
      </c>
      <c r="J105" s="1" t="s">
        <v>34</v>
      </c>
      <c r="K105" s="1" t="s">
        <v>23</v>
      </c>
      <c r="L105" s="1" t="s">
        <v>50</v>
      </c>
      <c r="M105" s="1">
        <v>2017</v>
      </c>
      <c r="N105" s="1" t="str">
        <f t="shared" si="1"/>
        <v>Francophone</v>
      </c>
      <c r="O105" s="3" t="str">
        <f>_xlfn.XLOOKUP(D:D,MappingTable[Brand],MappingTable[Brand Type], "not found")</f>
        <v>Malt</v>
      </c>
      <c r="P105" t="str">
        <f>_xlfn.XLOOKUP(L:L,MappingTable2[Month],MappingTable2[Quarters],"NIL")</f>
        <v>Q3</v>
      </c>
      <c r="Q105" s="1"/>
    </row>
    <row r="106" spans="1:17" x14ac:dyDescent="0.2">
      <c r="A106" s="1">
        <v>10205</v>
      </c>
      <c r="B106" s="1" t="s">
        <v>31</v>
      </c>
      <c r="C106" s="1" t="s">
        <v>32</v>
      </c>
      <c r="D106" s="1" t="s">
        <v>48</v>
      </c>
      <c r="E106" s="3">
        <v>90</v>
      </c>
      <c r="F106" s="3">
        <v>150</v>
      </c>
      <c r="G106" s="13">
        <v>903</v>
      </c>
      <c r="H106" s="3">
        <v>135450</v>
      </c>
      <c r="I106" s="3">
        <v>54180</v>
      </c>
      <c r="J106" s="1" t="s">
        <v>40</v>
      </c>
      <c r="K106" s="1" t="s">
        <v>29</v>
      </c>
      <c r="L106" s="1" t="s">
        <v>53</v>
      </c>
      <c r="M106" s="1">
        <v>2019</v>
      </c>
      <c r="N106" s="1" t="str">
        <f t="shared" si="1"/>
        <v>Francophone</v>
      </c>
      <c r="O106" s="3" t="str">
        <f>_xlfn.XLOOKUP(D:D,MappingTable[Brand],MappingTable[Brand Type], "not found")</f>
        <v>Malt</v>
      </c>
      <c r="P106" t="str">
        <f>_xlfn.XLOOKUP(L:L,MappingTable2[Month],MappingTable2[Quarters],"NIL")</f>
        <v>Q3</v>
      </c>
      <c r="Q106" s="1"/>
    </row>
    <row r="107" spans="1:17" x14ac:dyDescent="0.2">
      <c r="A107" s="1">
        <v>10206</v>
      </c>
      <c r="B107" s="1" t="s">
        <v>61</v>
      </c>
      <c r="C107" s="1" t="s">
        <v>62</v>
      </c>
      <c r="D107" s="1" t="s">
        <v>15</v>
      </c>
      <c r="E107" s="3">
        <v>150</v>
      </c>
      <c r="F107" s="3">
        <v>200</v>
      </c>
      <c r="G107" s="13">
        <v>751</v>
      </c>
      <c r="H107" s="3">
        <v>150200</v>
      </c>
      <c r="I107" s="3">
        <v>37550</v>
      </c>
      <c r="J107" s="1" t="s">
        <v>16</v>
      </c>
      <c r="K107" s="1" t="s">
        <v>35</v>
      </c>
      <c r="L107" s="1" t="s">
        <v>56</v>
      </c>
      <c r="M107" s="1">
        <v>2017</v>
      </c>
      <c r="N107" s="1" t="str">
        <f t="shared" si="1"/>
        <v>Anglophone</v>
      </c>
      <c r="O107" s="3" t="str">
        <f>_xlfn.XLOOKUP(D:D,MappingTable[Brand],MappingTable[Brand Type], "not found")</f>
        <v>Beer</v>
      </c>
      <c r="P107" t="str">
        <f>_xlfn.XLOOKUP(L:L,MappingTable2[Month],MappingTable2[Quarters],"NIL")</f>
        <v>Q4</v>
      </c>
      <c r="Q107" s="1"/>
    </row>
    <row r="108" spans="1:17" x14ac:dyDescent="0.2">
      <c r="A108" s="1">
        <v>10207</v>
      </c>
      <c r="B108" s="1" t="s">
        <v>31</v>
      </c>
      <c r="C108" s="1" t="s">
        <v>32</v>
      </c>
      <c r="D108" s="1" t="s">
        <v>21</v>
      </c>
      <c r="E108" s="3">
        <v>250</v>
      </c>
      <c r="F108" s="3">
        <v>500</v>
      </c>
      <c r="G108" s="13">
        <v>990</v>
      </c>
      <c r="H108" s="3">
        <v>495000</v>
      </c>
      <c r="I108" s="3">
        <v>247500</v>
      </c>
      <c r="J108" s="1" t="s">
        <v>22</v>
      </c>
      <c r="K108" s="1" t="s">
        <v>41</v>
      </c>
      <c r="L108" s="1" t="s">
        <v>59</v>
      </c>
      <c r="M108" s="1">
        <v>2019</v>
      </c>
      <c r="N108" s="1" t="str">
        <f t="shared" si="1"/>
        <v>Anglophone</v>
      </c>
      <c r="O108" s="3" t="str">
        <f>_xlfn.XLOOKUP(D:D,MappingTable[Brand],MappingTable[Brand Type], "not found")</f>
        <v>Beer</v>
      </c>
      <c r="P108" t="str">
        <f>_xlfn.XLOOKUP(L:L,MappingTable2[Month],MappingTable2[Quarters],"NIL")</f>
        <v>Q4</v>
      </c>
      <c r="Q108" s="1"/>
    </row>
    <row r="109" spans="1:17" x14ac:dyDescent="0.2">
      <c r="A109" s="1">
        <v>10208</v>
      </c>
      <c r="B109" s="1" t="s">
        <v>13</v>
      </c>
      <c r="C109" s="1" t="s">
        <v>14</v>
      </c>
      <c r="D109" s="1" t="s">
        <v>27</v>
      </c>
      <c r="E109" s="3">
        <v>180</v>
      </c>
      <c r="F109" s="3">
        <v>450</v>
      </c>
      <c r="G109" s="13">
        <v>878</v>
      </c>
      <c r="H109" s="3">
        <v>395100</v>
      </c>
      <c r="I109" s="3">
        <v>237060</v>
      </c>
      <c r="J109" s="1" t="s">
        <v>28</v>
      </c>
      <c r="K109" s="1" t="s">
        <v>44</v>
      </c>
      <c r="L109" s="1" t="s">
        <v>60</v>
      </c>
      <c r="M109" s="1">
        <v>2018</v>
      </c>
      <c r="N109" s="1" t="str">
        <f t="shared" si="1"/>
        <v>Francophone</v>
      </c>
      <c r="O109" s="3" t="str">
        <f>_xlfn.XLOOKUP(D:D,MappingTable[Brand],MappingTable[Brand Type], "not found")</f>
        <v>Beer</v>
      </c>
      <c r="P109" t="str">
        <f>_xlfn.XLOOKUP(L:L,MappingTable2[Month],MappingTable2[Quarters],"NIL")</f>
        <v>Q4</v>
      </c>
      <c r="Q109" s="1"/>
    </row>
    <row r="110" spans="1:17" x14ac:dyDescent="0.2">
      <c r="A110" s="1">
        <v>10209</v>
      </c>
      <c r="B110" s="1" t="s">
        <v>19</v>
      </c>
      <c r="C110" s="1" t="s">
        <v>20</v>
      </c>
      <c r="D110" s="1" t="s">
        <v>33</v>
      </c>
      <c r="E110" s="3">
        <v>170</v>
      </c>
      <c r="F110" s="3">
        <v>250</v>
      </c>
      <c r="G110" s="13">
        <v>720</v>
      </c>
      <c r="H110" s="3">
        <v>180000</v>
      </c>
      <c r="I110" s="3">
        <v>57600</v>
      </c>
      <c r="J110" s="1" t="s">
        <v>34</v>
      </c>
      <c r="K110" s="1" t="s">
        <v>17</v>
      </c>
      <c r="L110" s="1" t="s">
        <v>18</v>
      </c>
      <c r="M110" s="1">
        <v>2017</v>
      </c>
      <c r="N110" s="1" t="str">
        <f t="shared" si="1"/>
        <v>Francophone</v>
      </c>
      <c r="O110" s="3" t="str">
        <f>_xlfn.XLOOKUP(D:D,MappingTable[Brand],MappingTable[Brand Type], "not found")</f>
        <v>Beer</v>
      </c>
      <c r="P110" t="str">
        <f>_xlfn.XLOOKUP(L:L,MappingTable2[Month],MappingTable2[Quarters],"NIL")</f>
        <v>Q1</v>
      </c>
      <c r="Q110" s="1"/>
    </row>
    <row r="111" spans="1:17" x14ac:dyDescent="0.2">
      <c r="A111" s="1">
        <v>10210</v>
      </c>
      <c r="B111" s="1" t="s">
        <v>25</v>
      </c>
      <c r="C111" s="1" t="s">
        <v>26</v>
      </c>
      <c r="D111" s="1" t="s">
        <v>39</v>
      </c>
      <c r="E111" s="3">
        <v>150</v>
      </c>
      <c r="F111" s="3">
        <v>200</v>
      </c>
      <c r="G111" s="13">
        <v>777</v>
      </c>
      <c r="H111" s="3">
        <v>155400</v>
      </c>
      <c r="I111" s="3">
        <v>38850</v>
      </c>
      <c r="J111" s="1" t="s">
        <v>40</v>
      </c>
      <c r="K111" s="1" t="s">
        <v>23</v>
      </c>
      <c r="L111" s="1" t="s">
        <v>24</v>
      </c>
      <c r="M111" s="1">
        <v>2017</v>
      </c>
      <c r="N111" s="1" t="str">
        <f t="shared" si="1"/>
        <v>Francophone</v>
      </c>
      <c r="O111" s="3" t="str">
        <f>_xlfn.XLOOKUP(D:D,MappingTable[Brand],MappingTable[Brand Type], "not found")</f>
        <v>Beer</v>
      </c>
      <c r="P111" t="str">
        <f>_xlfn.XLOOKUP(L:L,MappingTable2[Month],MappingTable2[Quarters],"NIL")</f>
        <v>Q1</v>
      </c>
      <c r="Q111" s="1"/>
    </row>
    <row r="112" spans="1:17" x14ac:dyDescent="0.2">
      <c r="A112" s="1">
        <v>10211</v>
      </c>
      <c r="B112" s="1" t="s">
        <v>31</v>
      </c>
      <c r="C112" s="1" t="s">
        <v>32</v>
      </c>
      <c r="D112" s="1" t="s">
        <v>43</v>
      </c>
      <c r="E112" s="3">
        <v>80</v>
      </c>
      <c r="F112" s="3">
        <v>150</v>
      </c>
      <c r="G112" s="13">
        <v>848</v>
      </c>
      <c r="H112" s="3">
        <v>127200</v>
      </c>
      <c r="I112" s="3">
        <v>59360</v>
      </c>
      <c r="J112" s="1" t="s">
        <v>16</v>
      </c>
      <c r="K112" s="1" t="s">
        <v>29</v>
      </c>
      <c r="L112" s="1" t="s">
        <v>30</v>
      </c>
      <c r="M112" s="1">
        <v>2019</v>
      </c>
      <c r="N112" s="1" t="str">
        <f t="shared" si="1"/>
        <v>Anglophone</v>
      </c>
      <c r="O112" s="3" t="str">
        <f>_xlfn.XLOOKUP(D:D,MappingTable[Brand],MappingTable[Brand Type], "not found")</f>
        <v>Malt</v>
      </c>
      <c r="P112" t="str">
        <f>_xlfn.XLOOKUP(L:L,MappingTable2[Month],MappingTable2[Quarters],"NIL")</f>
        <v>Q1</v>
      </c>
      <c r="Q112" s="1"/>
    </row>
    <row r="113" spans="1:17" x14ac:dyDescent="0.2">
      <c r="A113" s="1">
        <v>10212</v>
      </c>
      <c r="B113" s="1" t="s">
        <v>37</v>
      </c>
      <c r="C113" s="1" t="s">
        <v>38</v>
      </c>
      <c r="D113" s="1" t="s">
        <v>48</v>
      </c>
      <c r="E113" s="3">
        <v>90</v>
      </c>
      <c r="F113" s="3">
        <v>150</v>
      </c>
      <c r="G113" s="13">
        <v>874</v>
      </c>
      <c r="H113" s="3">
        <v>131100</v>
      </c>
      <c r="I113" s="3">
        <v>52440</v>
      </c>
      <c r="J113" s="1" t="s">
        <v>22</v>
      </c>
      <c r="K113" s="1" t="s">
        <v>35</v>
      </c>
      <c r="L113" s="1" t="s">
        <v>36</v>
      </c>
      <c r="M113" s="1">
        <v>2017</v>
      </c>
      <c r="N113" s="1" t="str">
        <f t="shared" si="1"/>
        <v>Anglophone</v>
      </c>
      <c r="O113" s="3" t="str">
        <f>_xlfn.XLOOKUP(D:D,MappingTable[Brand],MappingTable[Brand Type], "not found")</f>
        <v>Malt</v>
      </c>
      <c r="P113" t="str">
        <f>_xlfn.XLOOKUP(L:L,MappingTable2[Month],MappingTable2[Quarters],"NIL")</f>
        <v>Q2</v>
      </c>
      <c r="Q113" s="1"/>
    </row>
    <row r="114" spans="1:17" x14ac:dyDescent="0.2">
      <c r="A114" s="1">
        <v>10213</v>
      </c>
      <c r="B114" s="1" t="s">
        <v>13</v>
      </c>
      <c r="C114" s="1" t="s">
        <v>14</v>
      </c>
      <c r="D114" s="1" t="s">
        <v>15</v>
      </c>
      <c r="E114" s="3">
        <v>150</v>
      </c>
      <c r="F114" s="3">
        <v>200</v>
      </c>
      <c r="G114" s="13">
        <v>739</v>
      </c>
      <c r="H114" s="3">
        <v>147800</v>
      </c>
      <c r="I114" s="3">
        <v>36950</v>
      </c>
      <c r="J114" s="1" t="s">
        <v>28</v>
      </c>
      <c r="K114" s="1" t="s">
        <v>41</v>
      </c>
      <c r="L114" s="1" t="s">
        <v>42</v>
      </c>
      <c r="M114" s="1">
        <v>2017</v>
      </c>
      <c r="N114" s="1" t="str">
        <f t="shared" si="1"/>
        <v>Francophone</v>
      </c>
      <c r="O114" s="3" t="str">
        <f>_xlfn.XLOOKUP(D:D,MappingTable[Brand],MappingTable[Brand Type], "not found")</f>
        <v>Beer</v>
      </c>
      <c r="P114" t="str">
        <f>_xlfn.XLOOKUP(L:L,MappingTable2[Month],MappingTable2[Quarters],"NIL")</f>
        <v>Q2</v>
      </c>
      <c r="Q114" s="1"/>
    </row>
    <row r="115" spans="1:17" x14ac:dyDescent="0.2">
      <c r="A115" s="1">
        <v>10214</v>
      </c>
      <c r="B115" s="1" t="s">
        <v>46</v>
      </c>
      <c r="C115" s="1" t="s">
        <v>47</v>
      </c>
      <c r="D115" s="1" t="s">
        <v>21</v>
      </c>
      <c r="E115" s="3">
        <v>250</v>
      </c>
      <c r="F115" s="3">
        <v>500</v>
      </c>
      <c r="G115" s="13">
        <v>704</v>
      </c>
      <c r="H115" s="3">
        <v>352000</v>
      </c>
      <c r="I115" s="3">
        <v>176000</v>
      </c>
      <c r="J115" s="1" t="s">
        <v>34</v>
      </c>
      <c r="K115" s="1" t="s">
        <v>44</v>
      </c>
      <c r="L115" s="1" t="s">
        <v>45</v>
      </c>
      <c r="M115" s="1">
        <v>2018</v>
      </c>
      <c r="N115" s="1" t="str">
        <f t="shared" si="1"/>
        <v>Francophone</v>
      </c>
      <c r="O115" s="3" t="str">
        <f>_xlfn.XLOOKUP(D:D,MappingTable[Brand],MappingTable[Brand Type], "not found")</f>
        <v>Beer</v>
      </c>
      <c r="P115" t="str">
        <f>_xlfn.XLOOKUP(L:L,MappingTable2[Month],MappingTable2[Quarters],"NIL")</f>
        <v>Q2</v>
      </c>
      <c r="Q115" s="1"/>
    </row>
    <row r="116" spans="1:17" x14ac:dyDescent="0.2">
      <c r="A116" s="1">
        <v>10215</v>
      </c>
      <c r="B116" s="1" t="s">
        <v>31</v>
      </c>
      <c r="C116" s="1" t="s">
        <v>32</v>
      </c>
      <c r="D116" s="1" t="s">
        <v>27</v>
      </c>
      <c r="E116" s="3">
        <v>180</v>
      </c>
      <c r="F116" s="3">
        <v>450</v>
      </c>
      <c r="G116" s="13">
        <v>855</v>
      </c>
      <c r="H116" s="3">
        <v>384750</v>
      </c>
      <c r="I116" s="3">
        <v>230850</v>
      </c>
      <c r="J116" s="1" t="s">
        <v>40</v>
      </c>
      <c r="K116" s="1" t="s">
        <v>17</v>
      </c>
      <c r="L116" s="1" t="s">
        <v>49</v>
      </c>
      <c r="M116" s="1">
        <v>2019</v>
      </c>
      <c r="N116" s="1" t="str">
        <f t="shared" si="1"/>
        <v>Francophone</v>
      </c>
      <c r="O116" s="3" t="str">
        <f>_xlfn.XLOOKUP(D:D,MappingTable[Brand],MappingTable[Brand Type], "not found")</f>
        <v>Beer</v>
      </c>
      <c r="P116" t="str">
        <f>_xlfn.XLOOKUP(L:L,MappingTable2[Month],MappingTable2[Quarters],"NIL")</f>
        <v>Q3</v>
      </c>
      <c r="Q116" s="1"/>
    </row>
    <row r="117" spans="1:17" x14ac:dyDescent="0.2">
      <c r="A117" s="1">
        <v>10216</v>
      </c>
      <c r="B117" s="1" t="s">
        <v>51</v>
      </c>
      <c r="C117" s="1" t="s">
        <v>52</v>
      </c>
      <c r="D117" s="1" t="s">
        <v>33</v>
      </c>
      <c r="E117" s="3">
        <v>170</v>
      </c>
      <c r="F117" s="3">
        <v>250</v>
      </c>
      <c r="G117" s="13">
        <v>971</v>
      </c>
      <c r="H117" s="3">
        <v>242750</v>
      </c>
      <c r="I117" s="3">
        <v>77680</v>
      </c>
      <c r="J117" s="1" t="s">
        <v>16</v>
      </c>
      <c r="K117" s="1" t="s">
        <v>23</v>
      </c>
      <c r="L117" s="1" t="s">
        <v>50</v>
      </c>
      <c r="M117" s="1">
        <v>2018</v>
      </c>
      <c r="N117" s="1" t="str">
        <f t="shared" si="1"/>
        <v>Anglophone</v>
      </c>
      <c r="O117" s="3" t="str">
        <f>_xlfn.XLOOKUP(D:D,MappingTable[Brand],MappingTable[Brand Type], "not found")</f>
        <v>Beer</v>
      </c>
      <c r="P117" t="str">
        <f>_xlfn.XLOOKUP(L:L,MappingTable2[Month],MappingTable2[Quarters],"NIL")</f>
        <v>Q3</v>
      </c>
      <c r="Q117" s="1"/>
    </row>
    <row r="118" spans="1:17" x14ac:dyDescent="0.2">
      <c r="A118" s="1">
        <v>10217</v>
      </c>
      <c r="B118" s="1" t="s">
        <v>54</v>
      </c>
      <c r="C118" s="1" t="s">
        <v>55</v>
      </c>
      <c r="D118" s="1" t="s">
        <v>39</v>
      </c>
      <c r="E118" s="3">
        <v>150</v>
      </c>
      <c r="F118" s="3">
        <v>200</v>
      </c>
      <c r="G118" s="13">
        <v>957</v>
      </c>
      <c r="H118" s="3">
        <v>191400</v>
      </c>
      <c r="I118" s="3">
        <v>47850</v>
      </c>
      <c r="J118" s="1" t="s">
        <v>22</v>
      </c>
      <c r="K118" s="1" t="s">
        <v>29</v>
      </c>
      <c r="L118" s="1" t="s">
        <v>53</v>
      </c>
      <c r="M118" s="1">
        <v>2019</v>
      </c>
      <c r="N118" s="1" t="str">
        <f t="shared" si="1"/>
        <v>Anglophone</v>
      </c>
      <c r="O118" s="3" t="str">
        <f>_xlfn.XLOOKUP(D:D,MappingTable[Brand],MappingTable[Brand Type], "not found")</f>
        <v>Beer</v>
      </c>
      <c r="P118" t="str">
        <f>_xlfn.XLOOKUP(L:L,MappingTable2[Month],MappingTable2[Quarters],"NIL")</f>
        <v>Q3</v>
      </c>
      <c r="Q118" s="1"/>
    </row>
    <row r="119" spans="1:17" x14ac:dyDescent="0.2">
      <c r="A119" s="1">
        <v>10218</v>
      </c>
      <c r="B119" s="1" t="s">
        <v>57</v>
      </c>
      <c r="C119" s="1" t="s">
        <v>58</v>
      </c>
      <c r="D119" s="1" t="s">
        <v>43</v>
      </c>
      <c r="E119" s="3">
        <v>80</v>
      </c>
      <c r="F119" s="3">
        <v>150</v>
      </c>
      <c r="G119" s="13">
        <v>769</v>
      </c>
      <c r="H119" s="3">
        <v>115350</v>
      </c>
      <c r="I119" s="3">
        <v>53830</v>
      </c>
      <c r="J119" s="1" t="s">
        <v>28</v>
      </c>
      <c r="K119" s="1" t="s">
        <v>35</v>
      </c>
      <c r="L119" s="1" t="s">
        <v>56</v>
      </c>
      <c r="M119" s="1">
        <v>2017</v>
      </c>
      <c r="N119" s="1" t="str">
        <f t="shared" si="1"/>
        <v>Francophone</v>
      </c>
      <c r="O119" s="3" t="str">
        <f>_xlfn.XLOOKUP(D:D,MappingTable[Brand],MappingTable[Brand Type], "not found")</f>
        <v>Malt</v>
      </c>
      <c r="P119" t="str">
        <f>_xlfn.XLOOKUP(L:L,MappingTable2[Month],MappingTable2[Quarters],"NIL")</f>
        <v>Q4</v>
      </c>
      <c r="Q119" s="1"/>
    </row>
    <row r="120" spans="1:17" x14ac:dyDescent="0.2">
      <c r="A120" s="1">
        <v>10219</v>
      </c>
      <c r="B120" s="1" t="s">
        <v>31</v>
      </c>
      <c r="C120" s="1" t="s">
        <v>32</v>
      </c>
      <c r="D120" s="1" t="s">
        <v>48</v>
      </c>
      <c r="E120" s="3">
        <v>90</v>
      </c>
      <c r="F120" s="3">
        <v>150</v>
      </c>
      <c r="G120" s="13">
        <v>710</v>
      </c>
      <c r="H120" s="3">
        <v>106500</v>
      </c>
      <c r="I120" s="3">
        <v>42600</v>
      </c>
      <c r="J120" s="1" t="s">
        <v>34</v>
      </c>
      <c r="K120" s="1" t="s">
        <v>41</v>
      </c>
      <c r="L120" s="1" t="s">
        <v>59</v>
      </c>
      <c r="M120" s="1">
        <v>2019</v>
      </c>
      <c r="N120" s="1" t="str">
        <f t="shared" si="1"/>
        <v>Francophone</v>
      </c>
      <c r="O120" s="3" t="str">
        <f>_xlfn.XLOOKUP(D:D,MappingTable[Brand],MappingTable[Brand Type], "not found")</f>
        <v>Malt</v>
      </c>
      <c r="P120" t="str">
        <f>_xlfn.XLOOKUP(L:L,MappingTable2[Month],MappingTable2[Quarters],"NIL")</f>
        <v>Q4</v>
      </c>
      <c r="Q120" s="1"/>
    </row>
    <row r="121" spans="1:17" x14ac:dyDescent="0.2">
      <c r="A121" s="1">
        <v>10220</v>
      </c>
      <c r="B121" s="1" t="s">
        <v>61</v>
      </c>
      <c r="C121" s="1" t="s">
        <v>62</v>
      </c>
      <c r="D121" s="1" t="s">
        <v>15</v>
      </c>
      <c r="E121" s="3">
        <v>150</v>
      </c>
      <c r="F121" s="3">
        <v>200</v>
      </c>
      <c r="G121" s="13">
        <v>917</v>
      </c>
      <c r="H121" s="3">
        <v>183400</v>
      </c>
      <c r="I121" s="3">
        <v>45850</v>
      </c>
      <c r="J121" s="1" t="s">
        <v>40</v>
      </c>
      <c r="K121" s="1" t="s">
        <v>44</v>
      </c>
      <c r="L121" s="1" t="s">
        <v>60</v>
      </c>
      <c r="M121" s="1">
        <v>2019</v>
      </c>
      <c r="N121" s="1" t="str">
        <f t="shared" si="1"/>
        <v>Francophone</v>
      </c>
      <c r="O121" s="3" t="str">
        <f>_xlfn.XLOOKUP(D:D,MappingTable[Brand],MappingTable[Brand Type], "not found")</f>
        <v>Beer</v>
      </c>
      <c r="P121" t="str">
        <f>_xlfn.XLOOKUP(L:L,MappingTable2[Month],MappingTable2[Quarters],"NIL")</f>
        <v>Q4</v>
      </c>
      <c r="Q121" s="1"/>
    </row>
    <row r="122" spans="1:17" x14ac:dyDescent="0.2">
      <c r="A122" s="1">
        <v>10221</v>
      </c>
      <c r="B122" s="1" t="s">
        <v>31</v>
      </c>
      <c r="C122" s="1" t="s">
        <v>32</v>
      </c>
      <c r="D122" s="1" t="s">
        <v>21</v>
      </c>
      <c r="E122" s="3">
        <v>250</v>
      </c>
      <c r="F122" s="3">
        <v>500</v>
      </c>
      <c r="G122" s="13">
        <v>727</v>
      </c>
      <c r="H122" s="3">
        <v>363500</v>
      </c>
      <c r="I122" s="3">
        <v>181750</v>
      </c>
      <c r="J122" s="1" t="s">
        <v>16</v>
      </c>
      <c r="K122" s="1" t="s">
        <v>17</v>
      </c>
      <c r="L122" s="1" t="s">
        <v>18</v>
      </c>
      <c r="M122" s="1">
        <v>2017</v>
      </c>
      <c r="N122" s="1" t="str">
        <f t="shared" si="1"/>
        <v>Anglophone</v>
      </c>
      <c r="O122" s="3" t="str">
        <f>_xlfn.XLOOKUP(D:D,MappingTable[Brand],MappingTable[Brand Type], "not found")</f>
        <v>Beer</v>
      </c>
      <c r="P122" t="str">
        <f>_xlfn.XLOOKUP(L:L,MappingTable2[Month],MappingTable2[Quarters],"NIL")</f>
        <v>Q1</v>
      </c>
      <c r="Q122" s="1"/>
    </row>
    <row r="123" spans="1:17" x14ac:dyDescent="0.2">
      <c r="A123" s="1">
        <v>10222</v>
      </c>
      <c r="B123" s="1" t="s">
        <v>51</v>
      </c>
      <c r="C123" s="1" t="s">
        <v>52</v>
      </c>
      <c r="D123" s="1" t="s">
        <v>27</v>
      </c>
      <c r="E123" s="3">
        <v>180</v>
      </c>
      <c r="F123" s="3">
        <v>450</v>
      </c>
      <c r="G123" s="13">
        <v>768</v>
      </c>
      <c r="H123" s="3">
        <v>345600</v>
      </c>
      <c r="I123" s="3">
        <v>207360</v>
      </c>
      <c r="J123" s="1" t="s">
        <v>22</v>
      </c>
      <c r="K123" s="1" t="s">
        <v>23</v>
      </c>
      <c r="L123" s="1" t="s">
        <v>24</v>
      </c>
      <c r="M123" s="1">
        <v>2018</v>
      </c>
      <c r="N123" s="1" t="str">
        <f t="shared" si="1"/>
        <v>Anglophone</v>
      </c>
      <c r="O123" s="3" t="str">
        <f>_xlfn.XLOOKUP(D:D,MappingTable[Brand],MappingTable[Brand Type], "not found")</f>
        <v>Beer</v>
      </c>
      <c r="P123" t="str">
        <f>_xlfn.XLOOKUP(L:L,MappingTable2[Month],MappingTable2[Quarters],"NIL")</f>
        <v>Q1</v>
      </c>
      <c r="Q123" s="1"/>
    </row>
    <row r="124" spans="1:17" x14ac:dyDescent="0.2">
      <c r="A124" s="1">
        <v>10223</v>
      </c>
      <c r="B124" s="1" t="s">
        <v>31</v>
      </c>
      <c r="C124" s="1" t="s">
        <v>32</v>
      </c>
      <c r="D124" s="1" t="s">
        <v>33</v>
      </c>
      <c r="E124" s="3">
        <v>170</v>
      </c>
      <c r="F124" s="3">
        <v>250</v>
      </c>
      <c r="G124" s="13">
        <v>870</v>
      </c>
      <c r="H124" s="3">
        <v>217500</v>
      </c>
      <c r="I124" s="3">
        <v>69600</v>
      </c>
      <c r="J124" s="1" t="s">
        <v>28</v>
      </c>
      <c r="K124" s="1" t="s">
        <v>29</v>
      </c>
      <c r="L124" s="1" t="s">
        <v>30</v>
      </c>
      <c r="M124" s="1">
        <v>2019</v>
      </c>
      <c r="N124" s="1" t="str">
        <f t="shared" si="1"/>
        <v>Francophone</v>
      </c>
      <c r="O124" s="3" t="str">
        <f>_xlfn.XLOOKUP(D:D,MappingTable[Brand],MappingTable[Brand Type], "not found")</f>
        <v>Beer</v>
      </c>
      <c r="P124" t="str">
        <f>_xlfn.XLOOKUP(L:L,MappingTable2[Month],MappingTable2[Quarters],"NIL")</f>
        <v>Q1</v>
      </c>
      <c r="Q124" s="1"/>
    </row>
    <row r="125" spans="1:17" x14ac:dyDescent="0.2">
      <c r="A125" s="1">
        <v>10224</v>
      </c>
      <c r="B125" s="1" t="s">
        <v>57</v>
      </c>
      <c r="C125" s="1" t="s">
        <v>58</v>
      </c>
      <c r="D125" s="1" t="s">
        <v>39</v>
      </c>
      <c r="E125" s="3">
        <v>150</v>
      </c>
      <c r="F125" s="3">
        <v>200</v>
      </c>
      <c r="G125" s="13">
        <v>914</v>
      </c>
      <c r="H125" s="3">
        <v>182800</v>
      </c>
      <c r="I125" s="3">
        <v>45700</v>
      </c>
      <c r="J125" s="1" t="s">
        <v>34</v>
      </c>
      <c r="K125" s="1" t="s">
        <v>35</v>
      </c>
      <c r="L125" s="1" t="s">
        <v>36</v>
      </c>
      <c r="M125" s="1">
        <v>2019</v>
      </c>
      <c r="N125" s="1" t="str">
        <f t="shared" si="1"/>
        <v>Francophone</v>
      </c>
      <c r="O125" s="3" t="str">
        <f>_xlfn.XLOOKUP(D:D,MappingTable[Brand],MappingTable[Brand Type], "not found")</f>
        <v>Beer</v>
      </c>
      <c r="P125" t="str">
        <f>_xlfn.XLOOKUP(L:L,MappingTable2[Month],MappingTable2[Quarters],"NIL")</f>
        <v>Q2</v>
      </c>
      <c r="Q125" s="1"/>
    </row>
    <row r="126" spans="1:17" x14ac:dyDescent="0.2">
      <c r="A126" s="1">
        <v>10225</v>
      </c>
      <c r="B126" s="1" t="s">
        <v>63</v>
      </c>
      <c r="C126" s="1" t="s">
        <v>64</v>
      </c>
      <c r="D126" s="1" t="s">
        <v>43</v>
      </c>
      <c r="E126" s="3">
        <v>80</v>
      </c>
      <c r="F126" s="3">
        <v>150</v>
      </c>
      <c r="G126" s="13">
        <v>763</v>
      </c>
      <c r="H126" s="3">
        <v>114450</v>
      </c>
      <c r="I126" s="3">
        <v>53410</v>
      </c>
      <c r="J126" s="1" t="s">
        <v>40</v>
      </c>
      <c r="K126" s="1" t="s">
        <v>41</v>
      </c>
      <c r="L126" s="1" t="s">
        <v>42</v>
      </c>
      <c r="M126" s="1">
        <v>2019</v>
      </c>
      <c r="N126" s="1" t="str">
        <f t="shared" si="1"/>
        <v>Francophone</v>
      </c>
      <c r="O126" s="3" t="str">
        <f>_xlfn.XLOOKUP(D:D,MappingTable[Brand],MappingTable[Brand Type], "not found")</f>
        <v>Malt</v>
      </c>
      <c r="P126" t="str">
        <f>_xlfn.XLOOKUP(L:L,MappingTable2[Month],MappingTable2[Quarters],"NIL")</f>
        <v>Q2</v>
      </c>
      <c r="Q126" s="1"/>
    </row>
    <row r="127" spans="1:17" x14ac:dyDescent="0.2">
      <c r="A127" s="1">
        <v>10226</v>
      </c>
      <c r="B127" s="1" t="s">
        <v>61</v>
      </c>
      <c r="C127" s="1" t="s">
        <v>62</v>
      </c>
      <c r="D127" s="1" t="s">
        <v>48</v>
      </c>
      <c r="E127" s="3">
        <v>90</v>
      </c>
      <c r="F127" s="3">
        <v>150</v>
      </c>
      <c r="G127" s="13">
        <v>951</v>
      </c>
      <c r="H127" s="3">
        <v>142650</v>
      </c>
      <c r="I127" s="3">
        <v>57060</v>
      </c>
      <c r="J127" s="1" t="s">
        <v>16</v>
      </c>
      <c r="K127" s="1" t="s">
        <v>44</v>
      </c>
      <c r="L127" s="1" t="s">
        <v>45</v>
      </c>
      <c r="M127" s="1">
        <v>2017</v>
      </c>
      <c r="N127" s="1" t="str">
        <f t="shared" si="1"/>
        <v>Anglophone</v>
      </c>
      <c r="O127" s="3" t="str">
        <f>_xlfn.XLOOKUP(D:D,MappingTable[Brand],MappingTable[Brand Type], "not found")</f>
        <v>Malt</v>
      </c>
      <c r="P127" t="str">
        <f>_xlfn.XLOOKUP(L:L,MappingTable2[Month],MappingTable2[Quarters],"NIL")</f>
        <v>Q2</v>
      </c>
      <c r="Q127" s="1"/>
    </row>
    <row r="128" spans="1:17" x14ac:dyDescent="0.2">
      <c r="A128" s="1">
        <v>10227</v>
      </c>
      <c r="B128" s="1" t="s">
        <v>57</v>
      </c>
      <c r="C128" s="1" t="s">
        <v>58</v>
      </c>
      <c r="D128" s="1" t="s">
        <v>15</v>
      </c>
      <c r="E128" s="3">
        <v>150</v>
      </c>
      <c r="F128" s="3">
        <v>200</v>
      </c>
      <c r="G128" s="13">
        <v>810</v>
      </c>
      <c r="H128" s="3">
        <v>162000</v>
      </c>
      <c r="I128" s="3">
        <v>40500</v>
      </c>
      <c r="J128" s="1" t="s">
        <v>22</v>
      </c>
      <c r="K128" s="1" t="s">
        <v>17</v>
      </c>
      <c r="L128" s="1" t="s">
        <v>49</v>
      </c>
      <c r="M128" s="1">
        <v>2018</v>
      </c>
      <c r="N128" s="1" t="str">
        <f t="shared" si="1"/>
        <v>Anglophone</v>
      </c>
      <c r="O128" s="3" t="str">
        <f>_xlfn.XLOOKUP(D:D,MappingTable[Brand],MappingTable[Brand Type], "not found")</f>
        <v>Beer</v>
      </c>
      <c r="P128" t="str">
        <f>_xlfn.XLOOKUP(L:L,MappingTable2[Month],MappingTable2[Quarters],"NIL")</f>
        <v>Q3</v>
      </c>
      <c r="Q128" s="1"/>
    </row>
    <row r="129" spans="1:17" x14ac:dyDescent="0.2">
      <c r="A129" s="1">
        <v>10228</v>
      </c>
      <c r="B129" s="1" t="s">
        <v>19</v>
      </c>
      <c r="C129" s="1" t="s">
        <v>20</v>
      </c>
      <c r="D129" s="1" t="s">
        <v>21</v>
      </c>
      <c r="E129" s="3">
        <v>250</v>
      </c>
      <c r="F129" s="3">
        <v>500</v>
      </c>
      <c r="G129" s="13">
        <v>886</v>
      </c>
      <c r="H129" s="3">
        <v>443000</v>
      </c>
      <c r="I129" s="3">
        <v>221500</v>
      </c>
      <c r="J129" s="1" t="s">
        <v>28</v>
      </c>
      <c r="K129" s="1" t="s">
        <v>23</v>
      </c>
      <c r="L129" s="1" t="s">
        <v>50</v>
      </c>
      <c r="M129" s="1">
        <v>2019</v>
      </c>
      <c r="N129" s="1" t="str">
        <f t="shared" si="1"/>
        <v>Francophone</v>
      </c>
      <c r="O129" s="3" t="str">
        <f>_xlfn.XLOOKUP(D:D,MappingTable[Brand],MappingTable[Brand Type], "not found")</f>
        <v>Beer</v>
      </c>
      <c r="P129" t="str">
        <f>_xlfn.XLOOKUP(L:L,MappingTable2[Month],MappingTable2[Quarters],"NIL")</f>
        <v>Q3</v>
      </c>
      <c r="Q129" s="1"/>
    </row>
    <row r="130" spans="1:17" x14ac:dyDescent="0.2">
      <c r="A130" s="1">
        <v>10229</v>
      </c>
      <c r="B130" s="1" t="s">
        <v>61</v>
      </c>
      <c r="C130" s="1" t="s">
        <v>62</v>
      </c>
      <c r="D130" s="1" t="s">
        <v>27</v>
      </c>
      <c r="E130" s="3">
        <v>180</v>
      </c>
      <c r="F130" s="3">
        <v>450</v>
      </c>
      <c r="G130" s="13">
        <v>984</v>
      </c>
      <c r="H130" s="3">
        <v>442800</v>
      </c>
      <c r="I130" s="3">
        <v>265680</v>
      </c>
      <c r="J130" s="1" t="s">
        <v>34</v>
      </c>
      <c r="K130" s="1" t="s">
        <v>29</v>
      </c>
      <c r="L130" s="1" t="s">
        <v>53</v>
      </c>
      <c r="M130" s="1">
        <v>2018</v>
      </c>
      <c r="N130" s="1" t="str">
        <f t="shared" ref="N130:N193" si="2">IF(ISNUMBER(MATCH(J130,$S$7:$S$8,0)), "Anglophone","Francophone")</f>
        <v>Francophone</v>
      </c>
      <c r="O130" s="3" t="str">
        <f>_xlfn.XLOOKUP(D:D,MappingTable[Brand],MappingTable[Brand Type], "not found")</f>
        <v>Beer</v>
      </c>
      <c r="P130" t="str">
        <f>_xlfn.XLOOKUP(L:L,MappingTable2[Month],MappingTable2[Quarters],"NIL")</f>
        <v>Q3</v>
      </c>
      <c r="Q130" s="1"/>
    </row>
    <row r="131" spans="1:17" x14ac:dyDescent="0.2">
      <c r="A131" s="1">
        <v>10230</v>
      </c>
      <c r="B131" s="1" t="s">
        <v>31</v>
      </c>
      <c r="C131" s="1" t="s">
        <v>32</v>
      </c>
      <c r="D131" s="1" t="s">
        <v>33</v>
      </c>
      <c r="E131" s="3">
        <v>170</v>
      </c>
      <c r="F131" s="3">
        <v>250</v>
      </c>
      <c r="G131" s="13">
        <v>974</v>
      </c>
      <c r="H131" s="3">
        <v>243500</v>
      </c>
      <c r="I131" s="3">
        <v>77920</v>
      </c>
      <c r="J131" s="1" t="s">
        <v>40</v>
      </c>
      <c r="K131" s="1" t="s">
        <v>35</v>
      </c>
      <c r="L131" s="1" t="s">
        <v>56</v>
      </c>
      <c r="M131" s="1">
        <v>2017</v>
      </c>
      <c r="N131" s="1" t="str">
        <f t="shared" si="2"/>
        <v>Francophone</v>
      </c>
      <c r="O131" s="3" t="str">
        <f>_xlfn.XLOOKUP(D:D,MappingTable[Brand],MappingTable[Brand Type], "not found")</f>
        <v>Beer</v>
      </c>
      <c r="P131" t="str">
        <f>_xlfn.XLOOKUP(L:L,MappingTable2[Month],MappingTable2[Quarters],"NIL")</f>
        <v>Q4</v>
      </c>
      <c r="Q131" s="1"/>
    </row>
    <row r="132" spans="1:17" x14ac:dyDescent="0.2">
      <c r="A132" s="1">
        <v>10231</v>
      </c>
      <c r="B132" s="1" t="s">
        <v>25</v>
      </c>
      <c r="C132" s="1" t="s">
        <v>26</v>
      </c>
      <c r="D132" s="1" t="s">
        <v>39</v>
      </c>
      <c r="E132" s="3">
        <v>150</v>
      </c>
      <c r="F132" s="3">
        <v>200</v>
      </c>
      <c r="G132" s="13">
        <v>901</v>
      </c>
      <c r="H132" s="3">
        <v>180200</v>
      </c>
      <c r="I132" s="3">
        <v>45050</v>
      </c>
      <c r="J132" s="1" t="s">
        <v>16</v>
      </c>
      <c r="K132" s="1" t="s">
        <v>41</v>
      </c>
      <c r="L132" s="1" t="s">
        <v>59</v>
      </c>
      <c r="M132" s="1">
        <v>2019</v>
      </c>
      <c r="N132" s="1" t="str">
        <f t="shared" si="2"/>
        <v>Anglophone</v>
      </c>
      <c r="O132" s="3" t="str">
        <f>_xlfn.XLOOKUP(D:D,MappingTable[Brand],MappingTable[Brand Type], "not found")</f>
        <v>Beer</v>
      </c>
      <c r="P132" t="str">
        <f>_xlfn.XLOOKUP(L:L,MappingTable2[Month],MappingTable2[Quarters],"NIL")</f>
        <v>Q4</v>
      </c>
      <c r="Q132" s="1"/>
    </row>
    <row r="133" spans="1:17" x14ac:dyDescent="0.2">
      <c r="A133" s="1">
        <v>10232</v>
      </c>
      <c r="B133" s="1" t="s">
        <v>13</v>
      </c>
      <c r="C133" s="1" t="s">
        <v>14</v>
      </c>
      <c r="D133" s="1" t="s">
        <v>43</v>
      </c>
      <c r="E133" s="3">
        <v>80</v>
      </c>
      <c r="F133" s="3">
        <v>150</v>
      </c>
      <c r="G133" s="13">
        <v>934</v>
      </c>
      <c r="H133" s="3">
        <v>140100</v>
      </c>
      <c r="I133" s="3">
        <v>65380</v>
      </c>
      <c r="J133" s="1" t="s">
        <v>22</v>
      </c>
      <c r="K133" s="1" t="s">
        <v>44</v>
      </c>
      <c r="L133" s="1" t="s">
        <v>60</v>
      </c>
      <c r="M133" s="1">
        <v>2019</v>
      </c>
      <c r="N133" s="1" t="str">
        <f t="shared" si="2"/>
        <v>Anglophone</v>
      </c>
      <c r="O133" s="3" t="str">
        <f>_xlfn.XLOOKUP(D:D,MappingTable[Brand],MappingTable[Brand Type], "not found")</f>
        <v>Malt</v>
      </c>
      <c r="P133" t="str">
        <f>_xlfn.XLOOKUP(L:L,MappingTable2[Month],MappingTable2[Quarters],"NIL")</f>
        <v>Q4</v>
      </c>
      <c r="Q133" s="1"/>
    </row>
    <row r="134" spans="1:17" x14ac:dyDescent="0.2">
      <c r="A134" s="1">
        <v>10233</v>
      </c>
      <c r="B134" s="1" t="s">
        <v>37</v>
      </c>
      <c r="C134" s="1" t="s">
        <v>38</v>
      </c>
      <c r="D134" s="1" t="s">
        <v>48</v>
      </c>
      <c r="E134" s="3">
        <v>90</v>
      </c>
      <c r="F134" s="3">
        <v>150</v>
      </c>
      <c r="G134" s="13">
        <v>832</v>
      </c>
      <c r="H134" s="3">
        <v>124800</v>
      </c>
      <c r="I134" s="3">
        <v>49920</v>
      </c>
      <c r="J134" s="1" t="s">
        <v>28</v>
      </c>
      <c r="K134" s="1" t="s">
        <v>17</v>
      </c>
      <c r="L134" s="1" t="s">
        <v>18</v>
      </c>
      <c r="M134" s="1">
        <v>2017</v>
      </c>
      <c r="N134" s="1" t="str">
        <f t="shared" si="2"/>
        <v>Francophone</v>
      </c>
      <c r="O134" s="3" t="str">
        <f>_xlfn.XLOOKUP(D:D,MappingTable[Brand],MappingTable[Brand Type], "not found")</f>
        <v>Malt</v>
      </c>
      <c r="P134" t="str">
        <f>_xlfn.XLOOKUP(L:L,MappingTable2[Month],MappingTable2[Quarters],"NIL")</f>
        <v>Q1</v>
      </c>
      <c r="Q134" s="1"/>
    </row>
    <row r="135" spans="1:17" x14ac:dyDescent="0.2">
      <c r="A135" s="1">
        <v>10234</v>
      </c>
      <c r="B135" s="1" t="s">
        <v>54</v>
      </c>
      <c r="C135" s="1" t="s">
        <v>55</v>
      </c>
      <c r="D135" s="1" t="s">
        <v>15</v>
      </c>
      <c r="E135" s="3">
        <v>150</v>
      </c>
      <c r="F135" s="3">
        <v>200</v>
      </c>
      <c r="G135" s="13">
        <v>840</v>
      </c>
      <c r="H135" s="3">
        <v>168000</v>
      </c>
      <c r="I135" s="3">
        <v>42000</v>
      </c>
      <c r="J135" s="1" t="s">
        <v>34</v>
      </c>
      <c r="K135" s="1" t="s">
        <v>23</v>
      </c>
      <c r="L135" s="1" t="s">
        <v>24</v>
      </c>
      <c r="M135" s="1">
        <v>2018</v>
      </c>
      <c r="N135" s="1" t="str">
        <f t="shared" si="2"/>
        <v>Francophone</v>
      </c>
      <c r="O135" s="3" t="str">
        <f>_xlfn.XLOOKUP(D:D,MappingTable[Brand],MappingTable[Brand Type], "not found")</f>
        <v>Beer</v>
      </c>
      <c r="P135" t="str">
        <f>_xlfn.XLOOKUP(L:L,MappingTable2[Month],MappingTable2[Quarters],"NIL")</f>
        <v>Q1</v>
      </c>
      <c r="Q135" s="1"/>
    </row>
    <row r="136" spans="1:17" x14ac:dyDescent="0.2">
      <c r="A136" s="1">
        <v>10235</v>
      </c>
      <c r="B136" s="1" t="s">
        <v>19</v>
      </c>
      <c r="C136" s="1" t="s">
        <v>20</v>
      </c>
      <c r="D136" s="1" t="s">
        <v>21</v>
      </c>
      <c r="E136" s="3">
        <v>250</v>
      </c>
      <c r="F136" s="3">
        <v>500</v>
      </c>
      <c r="G136" s="13">
        <v>966</v>
      </c>
      <c r="H136" s="3">
        <v>483000</v>
      </c>
      <c r="I136" s="3">
        <v>241500</v>
      </c>
      <c r="J136" s="1" t="s">
        <v>40</v>
      </c>
      <c r="K136" s="1" t="s">
        <v>29</v>
      </c>
      <c r="L136" s="1" t="s">
        <v>30</v>
      </c>
      <c r="M136" s="1">
        <v>2017</v>
      </c>
      <c r="N136" s="1" t="str">
        <f t="shared" si="2"/>
        <v>Francophone</v>
      </c>
      <c r="O136" s="3" t="str">
        <f>_xlfn.XLOOKUP(D:D,MappingTable[Brand],MappingTable[Brand Type], "not found")</f>
        <v>Beer</v>
      </c>
      <c r="P136" t="str">
        <f>_xlfn.XLOOKUP(L:L,MappingTable2[Month],MappingTable2[Quarters],"NIL")</f>
        <v>Q1</v>
      </c>
      <c r="Q136" s="1"/>
    </row>
    <row r="137" spans="1:17" x14ac:dyDescent="0.2">
      <c r="A137" s="1">
        <v>10236</v>
      </c>
      <c r="B137" s="1" t="s">
        <v>19</v>
      </c>
      <c r="C137" s="1" t="s">
        <v>20</v>
      </c>
      <c r="D137" s="1" t="s">
        <v>27</v>
      </c>
      <c r="E137" s="3">
        <v>180</v>
      </c>
      <c r="F137" s="3">
        <v>450</v>
      </c>
      <c r="G137" s="13">
        <v>832</v>
      </c>
      <c r="H137" s="3">
        <v>374400</v>
      </c>
      <c r="I137" s="3">
        <v>224640</v>
      </c>
      <c r="J137" s="1" t="s">
        <v>16</v>
      </c>
      <c r="K137" s="1" t="s">
        <v>35</v>
      </c>
      <c r="L137" s="1" t="s">
        <v>36</v>
      </c>
      <c r="M137" s="1">
        <v>2018</v>
      </c>
      <c r="N137" s="1" t="str">
        <f t="shared" si="2"/>
        <v>Anglophone</v>
      </c>
      <c r="O137" s="3" t="str">
        <f>_xlfn.XLOOKUP(D:D,MappingTable[Brand],MappingTable[Brand Type], "not found")</f>
        <v>Beer</v>
      </c>
      <c r="P137" t="str">
        <f>_xlfn.XLOOKUP(L:L,MappingTable2[Month],MappingTable2[Quarters],"NIL")</f>
        <v>Q2</v>
      </c>
      <c r="Q137" s="1"/>
    </row>
    <row r="138" spans="1:17" x14ac:dyDescent="0.2">
      <c r="A138" s="1">
        <v>10237</v>
      </c>
      <c r="B138" s="1" t="s">
        <v>63</v>
      </c>
      <c r="C138" s="1" t="s">
        <v>64</v>
      </c>
      <c r="D138" s="1" t="s">
        <v>33</v>
      </c>
      <c r="E138" s="3">
        <v>170</v>
      </c>
      <c r="F138" s="3">
        <v>250</v>
      </c>
      <c r="G138" s="13">
        <v>968</v>
      </c>
      <c r="H138" s="3">
        <v>242000</v>
      </c>
      <c r="I138" s="3">
        <v>77440</v>
      </c>
      <c r="J138" s="1" t="s">
        <v>22</v>
      </c>
      <c r="K138" s="1" t="s">
        <v>41</v>
      </c>
      <c r="L138" s="1" t="s">
        <v>42</v>
      </c>
      <c r="M138" s="1">
        <v>2019</v>
      </c>
      <c r="N138" s="1" t="str">
        <f t="shared" si="2"/>
        <v>Anglophone</v>
      </c>
      <c r="O138" s="3" t="str">
        <f>_xlfn.XLOOKUP(D:D,MappingTable[Brand],MappingTable[Brand Type], "not found")</f>
        <v>Beer</v>
      </c>
      <c r="P138" t="str">
        <f>_xlfn.XLOOKUP(L:L,MappingTable2[Month],MappingTable2[Quarters],"NIL")</f>
        <v>Q2</v>
      </c>
      <c r="Q138" s="1"/>
    </row>
    <row r="139" spans="1:17" x14ac:dyDescent="0.2">
      <c r="A139" s="1">
        <v>10238</v>
      </c>
      <c r="B139" s="1" t="s">
        <v>31</v>
      </c>
      <c r="C139" s="1" t="s">
        <v>32</v>
      </c>
      <c r="D139" s="1" t="s">
        <v>39</v>
      </c>
      <c r="E139" s="3">
        <v>150</v>
      </c>
      <c r="F139" s="3">
        <v>200</v>
      </c>
      <c r="G139" s="13">
        <v>791</v>
      </c>
      <c r="H139" s="3">
        <v>158200</v>
      </c>
      <c r="I139" s="3">
        <v>39550</v>
      </c>
      <c r="J139" s="1" t="s">
        <v>28</v>
      </c>
      <c r="K139" s="1" t="s">
        <v>44</v>
      </c>
      <c r="L139" s="1" t="s">
        <v>45</v>
      </c>
      <c r="M139" s="1">
        <v>2019</v>
      </c>
      <c r="N139" s="1" t="str">
        <f t="shared" si="2"/>
        <v>Francophone</v>
      </c>
      <c r="O139" s="3" t="str">
        <f>_xlfn.XLOOKUP(D:D,MappingTable[Brand],MappingTable[Brand Type], "not found")</f>
        <v>Beer</v>
      </c>
      <c r="P139" t="str">
        <f>_xlfn.XLOOKUP(L:L,MappingTable2[Month],MappingTable2[Quarters],"NIL")</f>
        <v>Q2</v>
      </c>
      <c r="Q139" s="1"/>
    </row>
    <row r="140" spans="1:17" x14ac:dyDescent="0.2">
      <c r="A140" s="1">
        <v>10239</v>
      </c>
      <c r="B140" s="1" t="s">
        <v>51</v>
      </c>
      <c r="C140" s="1" t="s">
        <v>52</v>
      </c>
      <c r="D140" s="1" t="s">
        <v>43</v>
      </c>
      <c r="E140" s="3">
        <v>80</v>
      </c>
      <c r="F140" s="3">
        <v>150</v>
      </c>
      <c r="G140" s="13">
        <v>774</v>
      </c>
      <c r="H140" s="3">
        <v>116100</v>
      </c>
      <c r="I140" s="3">
        <v>54180</v>
      </c>
      <c r="J140" s="1" t="s">
        <v>34</v>
      </c>
      <c r="K140" s="1" t="s">
        <v>17</v>
      </c>
      <c r="L140" s="1" t="s">
        <v>49</v>
      </c>
      <c r="M140" s="1">
        <v>2018</v>
      </c>
      <c r="N140" s="1" t="str">
        <f t="shared" si="2"/>
        <v>Francophone</v>
      </c>
      <c r="O140" s="3" t="str">
        <f>_xlfn.XLOOKUP(D:D,MappingTable[Brand],MappingTable[Brand Type], "not found")</f>
        <v>Malt</v>
      </c>
      <c r="P140" t="str">
        <f>_xlfn.XLOOKUP(L:L,MappingTable2[Month],MappingTable2[Quarters],"NIL")</f>
        <v>Q3</v>
      </c>
      <c r="Q140" s="1"/>
    </row>
    <row r="141" spans="1:17" x14ac:dyDescent="0.2">
      <c r="A141" s="1">
        <v>10240</v>
      </c>
      <c r="B141" s="1" t="s">
        <v>63</v>
      </c>
      <c r="C141" s="1" t="s">
        <v>64</v>
      </c>
      <c r="D141" s="1" t="s">
        <v>48</v>
      </c>
      <c r="E141" s="3">
        <v>90</v>
      </c>
      <c r="F141" s="3">
        <v>150</v>
      </c>
      <c r="G141" s="13">
        <v>992</v>
      </c>
      <c r="H141" s="3">
        <v>148800</v>
      </c>
      <c r="I141" s="3">
        <v>59520</v>
      </c>
      <c r="J141" s="1" t="s">
        <v>40</v>
      </c>
      <c r="K141" s="1" t="s">
        <v>23</v>
      </c>
      <c r="L141" s="1" t="s">
        <v>50</v>
      </c>
      <c r="M141" s="1">
        <v>2017</v>
      </c>
      <c r="N141" s="1" t="str">
        <f t="shared" si="2"/>
        <v>Francophone</v>
      </c>
      <c r="O141" s="3" t="str">
        <f>_xlfn.XLOOKUP(D:D,MappingTable[Brand],MappingTable[Brand Type], "not found")</f>
        <v>Malt</v>
      </c>
      <c r="P141" t="str">
        <f>_xlfn.XLOOKUP(L:L,MappingTable2[Month],MappingTable2[Quarters],"NIL")</f>
        <v>Q3</v>
      </c>
      <c r="Q141" s="1"/>
    </row>
    <row r="142" spans="1:17" x14ac:dyDescent="0.2">
      <c r="A142" s="1">
        <v>10241</v>
      </c>
      <c r="B142" s="1" t="s">
        <v>25</v>
      </c>
      <c r="C142" s="1" t="s">
        <v>26</v>
      </c>
      <c r="D142" s="1" t="s">
        <v>15</v>
      </c>
      <c r="E142" s="3">
        <v>150</v>
      </c>
      <c r="F142" s="3">
        <v>200</v>
      </c>
      <c r="G142" s="13">
        <v>881</v>
      </c>
      <c r="H142" s="3">
        <v>176200</v>
      </c>
      <c r="I142" s="3">
        <v>44050</v>
      </c>
      <c r="J142" s="1" t="s">
        <v>16</v>
      </c>
      <c r="K142" s="1" t="s">
        <v>29</v>
      </c>
      <c r="L142" s="1" t="s">
        <v>53</v>
      </c>
      <c r="M142" s="1">
        <v>2018</v>
      </c>
      <c r="N142" s="1" t="str">
        <f t="shared" si="2"/>
        <v>Anglophone</v>
      </c>
      <c r="O142" s="3" t="str">
        <f>_xlfn.XLOOKUP(D:D,MappingTable[Brand],MappingTable[Brand Type], "not found")</f>
        <v>Beer</v>
      </c>
      <c r="P142" t="str">
        <f>_xlfn.XLOOKUP(L:L,MappingTable2[Month],MappingTable2[Quarters],"NIL")</f>
        <v>Q3</v>
      </c>
      <c r="Q142" s="1"/>
    </row>
    <row r="143" spans="1:17" x14ac:dyDescent="0.2">
      <c r="A143" s="1">
        <v>10242</v>
      </c>
      <c r="B143" s="1" t="s">
        <v>19</v>
      </c>
      <c r="C143" s="1" t="s">
        <v>20</v>
      </c>
      <c r="D143" s="1" t="s">
        <v>21</v>
      </c>
      <c r="E143" s="3">
        <v>250</v>
      </c>
      <c r="F143" s="3">
        <v>500</v>
      </c>
      <c r="G143" s="13">
        <v>975</v>
      </c>
      <c r="H143" s="3">
        <v>487500</v>
      </c>
      <c r="I143" s="3">
        <v>243750</v>
      </c>
      <c r="J143" s="1" t="s">
        <v>22</v>
      </c>
      <c r="K143" s="1" t="s">
        <v>35</v>
      </c>
      <c r="L143" s="1" t="s">
        <v>56</v>
      </c>
      <c r="M143" s="1">
        <v>2017</v>
      </c>
      <c r="N143" s="1" t="str">
        <f t="shared" si="2"/>
        <v>Anglophone</v>
      </c>
      <c r="O143" s="3" t="str">
        <f>_xlfn.XLOOKUP(D:D,MappingTable[Brand],MappingTable[Brand Type], "not found")</f>
        <v>Beer</v>
      </c>
      <c r="P143" t="str">
        <f>_xlfn.XLOOKUP(L:L,MappingTable2[Month],MappingTable2[Quarters],"NIL")</f>
        <v>Q4</v>
      </c>
      <c r="Q143" s="1"/>
    </row>
    <row r="144" spans="1:17" x14ac:dyDescent="0.2">
      <c r="A144" s="1">
        <v>10243</v>
      </c>
      <c r="B144" s="1" t="s">
        <v>25</v>
      </c>
      <c r="C144" s="1" t="s">
        <v>26</v>
      </c>
      <c r="D144" s="1" t="s">
        <v>27</v>
      </c>
      <c r="E144" s="3">
        <v>180</v>
      </c>
      <c r="F144" s="3">
        <v>450</v>
      </c>
      <c r="G144" s="13">
        <v>733</v>
      </c>
      <c r="H144" s="3">
        <v>329850</v>
      </c>
      <c r="I144" s="3">
        <v>197910</v>
      </c>
      <c r="J144" s="1" t="s">
        <v>28</v>
      </c>
      <c r="K144" s="1" t="s">
        <v>41</v>
      </c>
      <c r="L144" s="1" t="s">
        <v>59</v>
      </c>
      <c r="M144" s="1">
        <v>2018</v>
      </c>
      <c r="N144" s="1" t="str">
        <f t="shared" si="2"/>
        <v>Francophone</v>
      </c>
      <c r="O144" s="3" t="str">
        <f>_xlfn.XLOOKUP(D:D,MappingTable[Brand],MappingTable[Brand Type], "not found")</f>
        <v>Beer</v>
      </c>
      <c r="P144" t="str">
        <f>_xlfn.XLOOKUP(L:L,MappingTable2[Month],MappingTable2[Quarters],"NIL")</f>
        <v>Q4</v>
      </c>
      <c r="Q144" s="1"/>
    </row>
    <row r="145" spans="1:17" x14ac:dyDescent="0.2">
      <c r="A145" s="1">
        <v>10244</v>
      </c>
      <c r="B145" s="1" t="s">
        <v>46</v>
      </c>
      <c r="C145" s="1" t="s">
        <v>47</v>
      </c>
      <c r="D145" s="1" t="s">
        <v>33</v>
      </c>
      <c r="E145" s="3">
        <v>170</v>
      </c>
      <c r="F145" s="3">
        <v>250</v>
      </c>
      <c r="G145" s="13">
        <v>776</v>
      </c>
      <c r="H145" s="3">
        <v>194000</v>
      </c>
      <c r="I145" s="3">
        <v>62080</v>
      </c>
      <c r="J145" s="1" t="s">
        <v>34</v>
      </c>
      <c r="K145" s="1" t="s">
        <v>44</v>
      </c>
      <c r="L145" s="1" t="s">
        <v>60</v>
      </c>
      <c r="M145" s="1">
        <v>2017</v>
      </c>
      <c r="N145" s="1" t="str">
        <f t="shared" si="2"/>
        <v>Francophone</v>
      </c>
      <c r="O145" s="3" t="str">
        <f>_xlfn.XLOOKUP(D:D,MappingTable[Brand],MappingTable[Brand Type], "not found")</f>
        <v>Beer</v>
      </c>
      <c r="P145" t="str">
        <f>_xlfn.XLOOKUP(L:L,MappingTable2[Month],MappingTable2[Quarters],"NIL")</f>
        <v>Q4</v>
      </c>
      <c r="Q145" s="1"/>
    </row>
    <row r="146" spans="1:17" x14ac:dyDescent="0.2">
      <c r="A146" s="1">
        <v>10245</v>
      </c>
      <c r="B146" s="1" t="s">
        <v>37</v>
      </c>
      <c r="C146" s="1" t="s">
        <v>38</v>
      </c>
      <c r="D146" s="1" t="s">
        <v>39</v>
      </c>
      <c r="E146" s="3">
        <v>150</v>
      </c>
      <c r="F146" s="3">
        <v>200</v>
      </c>
      <c r="G146" s="13">
        <v>924</v>
      </c>
      <c r="H146" s="3">
        <v>184800</v>
      </c>
      <c r="I146" s="3">
        <v>46200</v>
      </c>
      <c r="J146" s="1" t="s">
        <v>40</v>
      </c>
      <c r="K146" s="1" t="s">
        <v>17</v>
      </c>
      <c r="L146" s="1" t="s">
        <v>18</v>
      </c>
      <c r="M146" s="1">
        <v>2019</v>
      </c>
      <c r="N146" s="1" t="str">
        <f t="shared" si="2"/>
        <v>Francophone</v>
      </c>
      <c r="O146" s="3" t="str">
        <f>_xlfn.XLOOKUP(D:D,MappingTable[Brand],MappingTable[Brand Type], "not found")</f>
        <v>Beer</v>
      </c>
      <c r="P146" t="str">
        <f>_xlfn.XLOOKUP(L:L,MappingTable2[Month],MappingTable2[Quarters],"NIL")</f>
        <v>Q1</v>
      </c>
      <c r="Q146" s="1"/>
    </row>
    <row r="147" spans="1:17" x14ac:dyDescent="0.2">
      <c r="A147" s="1">
        <v>10246</v>
      </c>
      <c r="B147" s="1" t="s">
        <v>13</v>
      </c>
      <c r="C147" s="1" t="s">
        <v>14</v>
      </c>
      <c r="D147" s="1" t="s">
        <v>43</v>
      </c>
      <c r="E147" s="3">
        <v>80</v>
      </c>
      <c r="F147" s="3">
        <v>150</v>
      </c>
      <c r="G147" s="13">
        <v>744</v>
      </c>
      <c r="H147" s="3">
        <v>111600</v>
      </c>
      <c r="I147" s="3">
        <v>52080</v>
      </c>
      <c r="J147" s="1" t="s">
        <v>16</v>
      </c>
      <c r="K147" s="1" t="s">
        <v>23</v>
      </c>
      <c r="L147" s="1" t="s">
        <v>24</v>
      </c>
      <c r="M147" s="1">
        <v>2019</v>
      </c>
      <c r="N147" s="1" t="str">
        <f t="shared" si="2"/>
        <v>Anglophone</v>
      </c>
      <c r="O147" s="3" t="str">
        <f>_xlfn.XLOOKUP(D:D,MappingTable[Brand],MappingTable[Brand Type], "not found")</f>
        <v>Malt</v>
      </c>
      <c r="P147" t="str">
        <f>_xlfn.XLOOKUP(L:L,MappingTable2[Month],MappingTable2[Quarters],"NIL")</f>
        <v>Q1</v>
      </c>
      <c r="Q147" s="1"/>
    </row>
    <row r="148" spans="1:17" x14ac:dyDescent="0.2">
      <c r="A148" s="1">
        <v>10247</v>
      </c>
      <c r="B148" s="1" t="s">
        <v>13</v>
      </c>
      <c r="C148" s="1" t="s">
        <v>14</v>
      </c>
      <c r="D148" s="1" t="s">
        <v>48</v>
      </c>
      <c r="E148" s="3">
        <v>90</v>
      </c>
      <c r="F148" s="3">
        <v>150</v>
      </c>
      <c r="G148" s="13">
        <v>754</v>
      </c>
      <c r="H148" s="3">
        <v>113100</v>
      </c>
      <c r="I148" s="3">
        <v>45240</v>
      </c>
      <c r="J148" s="1" t="s">
        <v>22</v>
      </c>
      <c r="K148" s="1" t="s">
        <v>29</v>
      </c>
      <c r="L148" s="1" t="s">
        <v>30</v>
      </c>
      <c r="M148" s="1">
        <v>2019</v>
      </c>
      <c r="N148" s="1" t="str">
        <f t="shared" si="2"/>
        <v>Anglophone</v>
      </c>
      <c r="O148" s="3" t="str">
        <f>_xlfn.XLOOKUP(D:D,MappingTable[Brand],MappingTable[Brand Type], "not found")</f>
        <v>Malt</v>
      </c>
      <c r="P148" t="str">
        <f>_xlfn.XLOOKUP(L:L,MappingTable2[Month],MappingTable2[Quarters],"NIL")</f>
        <v>Q1</v>
      </c>
      <c r="Q148" s="1"/>
    </row>
    <row r="149" spans="1:17" x14ac:dyDescent="0.2">
      <c r="A149" s="1">
        <v>10248</v>
      </c>
      <c r="B149" s="1" t="s">
        <v>37</v>
      </c>
      <c r="C149" s="1" t="s">
        <v>38</v>
      </c>
      <c r="D149" s="1" t="s">
        <v>15</v>
      </c>
      <c r="E149" s="3">
        <v>150</v>
      </c>
      <c r="F149" s="3">
        <v>200</v>
      </c>
      <c r="G149" s="13">
        <v>792</v>
      </c>
      <c r="H149" s="3">
        <v>158400</v>
      </c>
      <c r="I149" s="3">
        <v>39600</v>
      </c>
      <c r="J149" s="1" t="s">
        <v>28</v>
      </c>
      <c r="K149" s="1" t="s">
        <v>35</v>
      </c>
      <c r="L149" s="1" t="s">
        <v>36</v>
      </c>
      <c r="M149" s="1">
        <v>2019</v>
      </c>
      <c r="N149" s="1" t="str">
        <f t="shared" si="2"/>
        <v>Francophone</v>
      </c>
      <c r="O149" s="3" t="str">
        <f>_xlfn.XLOOKUP(D:D,MappingTable[Brand],MappingTable[Brand Type], "not found")</f>
        <v>Beer</v>
      </c>
      <c r="P149" t="str">
        <f>_xlfn.XLOOKUP(L:L,MappingTable2[Month],MappingTable2[Quarters],"NIL")</f>
        <v>Q2</v>
      </c>
      <c r="Q149" s="1"/>
    </row>
    <row r="150" spans="1:17" x14ac:dyDescent="0.2">
      <c r="A150" s="1">
        <v>10249</v>
      </c>
      <c r="B150" s="1" t="s">
        <v>13</v>
      </c>
      <c r="C150" s="1" t="s">
        <v>14</v>
      </c>
      <c r="D150" s="1" t="s">
        <v>21</v>
      </c>
      <c r="E150" s="3">
        <v>250</v>
      </c>
      <c r="F150" s="3">
        <v>500</v>
      </c>
      <c r="G150" s="13">
        <v>838</v>
      </c>
      <c r="H150" s="3">
        <v>419000</v>
      </c>
      <c r="I150" s="3">
        <v>209500</v>
      </c>
      <c r="J150" s="1" t="s">
        <v>34</v>
      </c>
      <c r="K150" s="1" t="s">
        <v>41</v>
      </c>
      <c r="L150" s="1" t="s">
        <v>42</v>
      </c>
      <c r="M150" s="1">
        <v>2017</v>
      </c>
      <c r="N150" s="1" t="str">
        <f t="shared" si="2"/>
        <v>Francophone</v>
      </c>
      <c r="O150" s="3" t="str">
        <f>_xlfn.XLOOKUP(D:D,MappingTable[Brand],MappingTable[Brand Type], "not found")</f>
        <v>Beer</v>
      </c>
      <c r="P150" t="str">
        <f>_xlfn.XLOOKUP(L:L,MappingTable2[Month],MappingTable2[Quarters],"NIL")</f>
        <v>Q2</v>
      </c>
      <c r="Q150" s="1"/>
    </row>
    <row r="151" spans="1:17" x14ac:dyDescent="0.2">
      <c r="A151" s="1">
        <v>10250</v>
      </c>
      <c r="B151" s="1" t="s">
        <v>19</v>
      </c>
      <c r="C151" s="1" t="s">
        <v>20</v>
      </c>
      <c r="D151" s="1" t="s">
        <v>27</v>
      </c>
      <c r="E151" s="3">
        <v>180</v>
      </c>
      <c r="F151" s="3">
        <v>450</v>
      </c>
      <c r="G151" s="13">
        <v>963</v>
      </c>
      <c r="H151" s="3">
        <v>433350</v>
      </c>
      <c r="I151" s="3">
        <v>260010</v>
      </c>
      <c r="J151" s="1" t="s">
        <v>40</v>
      </c>
      <c r="K151" s="1" t="s">
        <v>44</v>
      </c>
      <c r="L151" s="1" t="s">
        <v>45</v>
      </c>
      <c r="M151" s="1">
        <v>2017</v>
      </c>
      <c r="N151" s="1" t="str">
        <f t="shared" si="2"/>
        <v>Francophone</v>
      </c>
      <c r="O151" s="3" t="str">
        <f>_xlfn.XLOOKUP(D:D,MappingTable[Brand],MappingTable[Brand Type], "not found")</f>
        <v>Beer</v>
      </c>
      <c r="P151" t="str">
        <f>_xlfn.XLOOKUP(L:L,MappingTable2[Month],MappingTable2[Quarters],"NIL")</f>
        <v>Q2</v>
      </c>
      <c r="Q151" s="1"/>
    </row>
    <row r="152" spans="1:17" x14ac:dyDescent="0.2">
      <c r="A152" s="1">
        <v>10251</v>
      </c>
      <c r="B152" s="1" t="s">
        <v>25</v>
      </c>
      <c r="C152" s="1" t="s">
        <v>26</v>
      </c>
      <c r="D152" s="1" t="s">
        <v>33</v>
      </c>
      <c r="E152" s="3">
        <v>170</v>
      </c>
      <c r="F152" s="3">
        <v>250</v>
      </c>
      <c r="G152" s="13">
        <v>995</v>
      </c>
      <c r="H152" s="3">
        <v>248750</v>
      </c>
      <c r="I152" s="3">
        <v>79600</v>
      </c>
      <c r="J152" s="1" t="s">
        <v>16</v>
      </c>
      <c r="K152" s="1" t="s">
        <v>17</v>
      </c>
      <c r="L152" s="1" t="s">
        <v>49</v>
      </c>
      <c r="M152" s="1">
        <v>2017</v>
      </c>
      <c r="N152" s="1" t="str">
        <f t="shared" si="2"/>
        <v>Anglophone</v>
      </c>
      <c r="O152" s="3" t="str">
        <f>_xlfn.XLOOKUP(D:D,MappingTable[Brand],MappingTable[Brand Type], "not found")</f>
        <v>Beer</v>
      </c>
      <c r="P152" t="str">
        <f>_xlfn.XLOOKUP(L:L,MappingTable2[Month],MappingTable2[Quarters],"NIL")</f>
        <v>Q3</v>
      </c>
      <c r="Q152" s="1"/>
    </row>
    <row r="153" spans="1:17" x14ac:dyDescent="0.2">
      <c r="A153" s="1">
        <v>10252</v>
      </c>
      <c r="B153" s="1" t="s">
        <v>31</v>
      </c>
      <c r="C153" s="1" t="s">
        <v>32</v>
      </c>
      <c r="D153" s="1" t="s">
        <v>39</v>
      </c>
      <c r="E153" s="3">
        <v>150</v>
      </c>
      <c r="F153" s="3">
        <v>200</v>
      </c>
      <c r="G153" s="13">
        <v>941</v>
      </c>
      <c r="H153" s="3">
        <v>188200</v>
      </c>
      <c r="I153" s="3">
        <v>47050</v>
      </c>
      <c r="J153" s="1" t="s">
        <v>22</v>
      </c>
      <c r="K153" s="1" t="s">
        <v>23</v>
      </c>
      <c r="L153" s="1" t="s">
        <v>50</v>
      </c>
      <c r="M153" s="1">
        <v>2017</v>
      </c>
      <c r="N153" s="1" t="str">
        <f t="shared" si="2"/>
        <v>Anglophone</v>
      </c>
      <c r="O153" s="3" t="str">
        <f>_xlfn.XLOOKUP(D:D,MappingTable[Brand],MappingTable[Brand Type], "not found")</f>
        <v>Beer</v>
      </c>
      <c r="P153" t="str">
        <f>_xlfn.XLOOKUP(L:L,MappingTable2[Month],MappingTable2[Quarters],"NIL")</f>
        <v>Q3</v>
      </c>
      <c r="Q153" s="1"/>
    </row>
    <row r="154" spans="1:17" x14ac:dyDescent="0.2">
      <c r="A154" s="1">
        <v>10253</v>
      </c>
      <c r="B154" s="1" t="s">
        <v>37</v>
      </c>
      <c r="C154" s="1" t="s">
        <v>38</v>
      </c>
      <c r="D154" s="1" t="s">
        <v>43</v>
      </c>
      <c r="E154" s="3">
        <v>80</v>
      </c>
      <c r="F154" s="3">
        <v>150</v>
      </c>
      <c r="G154" s="13">
        <v>930</v>
      </c>
      <c r="H154" s="3">
        <v>139500</v>
      </c>
      <c r="I154" s="3">
        <v>65100</v>
      </c>
      <c r="J154" s="1" t="s">
        <v>28</v>
      </c>
      <c r="K154" s="1" t="s">
        <v>29</v>
      </c>
      <c r="L154" s="1" t="s">
        <v>53</v>
      </c>
      <c r="M154" s="1">
        <v>2018</v>
      </c>
      <c r="N154" s="1" t="str">
        <f t="shared" si="2"/>
        <v>Francophone</v>
      </c>
      <c r="O154" s="3" t="str">
        <f>_xlfn.XLOOKUP(D:D,MappingTable[Brand],MappingTable[Brand Type], "not found")</f>
        <v>Malt</v>
      </c>
      <c r="P154" t="str">
        <f>_xlfn.XLOOKUP(L:L,MappingTable2[Month],MappingTable2[Quarters],"NIL")</f>
        <v>Q3</v>
      </c>
      <c r="Q154" s="1"/>
    </row>
    <row r="155" spans="1:17" x14ac:dyDescent="0.2">
      <c r="A155" s="1">
        <v>10254</v>
      </c>
      <c r="B155" s="1" t="s">
        <v>13</v>
      </c>
      <c r="C155" s="1" t="s">
        <v>14</v>
      </c>
      <c r="D155" s="1" t="s">
        <v>48</v>
      </c>
      <c r="E155" s="3">
        <v>90</v>
      </c>
      <c r="F155" s="3">
        <v>150</v>
      </c>
      <c r="G155" s="13">
        <v>780</v>
      </c>
      <c r="H155" s="3">
        <v>117000</v>
      </c>
      <c r="I155" s="3">
        <v>46800</v>
      </c>
      <c r="J155" s="1" t="s">
        <v>34</v>
      </c>
      <c r="K155" s="1" t="s">
        <v>35</v>
      </c>
      <c r="L155" s="1" t="s">
        <v>56</v>
      </c>
      <c r="M155" s="1">
        <v>2019</v>
      </c>
      <c r="N155" s="1" t="str">
        <f t="shared" si="2"/>
        <v>Francophone</v>
      </c>
      <c r="O155" s="3" t="str">
        <f>_xlfn.XLOOKUP(D:D,MappingTable[Brand],MappingTable[Brand Type], "not found")</f>
        <v>Malt</v>
      </c>
      <c r="P155" t="str">
        <f>_xlfn.XLOOKUP(L:L,MappingTable2[Month],MappingTable2[Quarters],"NIL")</f>
        <v>Q4</v>
      </c>
      <c r="Q155" s="1"/>
    </row>
    <row r="156" spans="1:17" x14ac:dyDescent="0.2">
      <c r="A156" s="1">
        <v>10255</v>
      </c>
      <c r="B156" s="1" t="s">
        <v>46</v>
      </c>
      <c r="C156" s="1" t="s">
        <v>47</v>
      </c>
      <c r="D156" s="1" t="s">
        <v>15</v>
      </c>
      <c r="E156" s="3">
        <v>150</v>
      </c>
      <c r="F156" s="3">
        <v>200</v>
      </c>
      <c r="G156" s="13">
        <v>729</v>
      </c>
      <c r="H156" s="3">
        <v>145800</v>
      </c>
      <c r="I156" s="3">
        <v>36450</v>
      </c>
      <c r="J156" s="1" t="s">
        <v>40</v>
      </c>
      <c r="K156" s="1" t="s">
        <v>41</v>
      </c>
      <c r="L156" s="1" t="s">
        <v>59</v>
      </c>
      <c r="M156" s="1">
        <v>2019</v>
      </c>
      <c r="N156" s="1" t="str">
        <f t="shared" si="2"/>
        <v>Francophone</v>
      </c>
      <c r="O156" s="3" t="str">
        <f>_xlfn.XLOOKUP(D:D,MappingTable[Brand],MappingTable[Brand Type], "not found")</f>
        <v>Beer</v>
      </c>
      <c r="P156" t="str">
        <f>_xlfn.XLOOKUP(L:L,MappingTable2[Month],MappingTable2[Quarters],"NIL")</f>
        <v>Q4</v>
      </c>
      <c r="Q156" s="1"/>
    </row>
    <row r="157" spans="1:17" x14ac:dyDescent="0.2">
      <c r="A157" s="1">
        <v>10256</v>
      </c>
      <c r="B157" s="1" t="s">
        <v>31</v>
      </c>
      <c r="C157" s="1" t="s">
        <v>32</v>
      </c>
      <c r="D157" s="1" t="s">
        <v>21</v>
      </c>
      <c r="E157" s="3">
        <v>250</v>
      </c>
      <c r="F157" s="3">
        <v>500</v>
      </c>
      <c r="G157" s="13">
        <v>909</v>
      </c>
      <c r="H157" s="3">
        <v>454500</v>
      </c>
      <c r="I157" s="3">
        <v>227250</v>
      </c>
      <c r="J157" s="1" t="s">
        <v>16</v>
      </c>
      <c r="K157" s="1" t="s">
        <v>44</v>
      </c>
      <c r="L157" s="1" t="s">
        <v>60</v>
      </c>
      <c r="M157" s="1">
        <v>2019</v>
      </c>
      <c r="N157" s="1" t="str">
        <f t="shared" si="2"/>
        <v>Anglophone</v>
      </c>
      <c r="O157" s="3" t="str">
        <f>_xlfn.XLOOKUP(D:D,MappingTable[Brand],MappingTable[Brand Type], "not found")</f>
        <v>Beer</v>
      </c>
      <c r="P157" t="str">
        <f>_xlfn.XLOOKUP(L:L,MappingTable2[Month],MappingTable2[Quarters],"NIL")</f>
        <v>Q4</v>
      </c>
      <c r="Q157" s="1"/>
    </row>
    <row r="158" spans="1:17" x14ac:dyDescent="0.2">
      <c r="A158" s="1">
        <v>10257</v>
      </c>
      <c r="B158" s="1" t="s">
        <v>51</v>
      </c>
      <c r="C158" s="1" t="s">
        <v>52</v>
      </c>
      <c r="D158" s="1" t="s">
        <v>27</v>
      </c>
      <c r="E158" s="3">
        <v>180</v>
      </c>
      <c r="F158" s="3">
        <v>450</v>
      </c>
      <c r="G158" s="13">
        <v>961</v>
      </c>
      <c r="H158" s="3">
        <v>432450</v>
      </c>
      <c r="I158" s="3">
        <v>259470</v>
      </c>
      <c r="J158" s="1" t="s">
        <v>22</v>
      </c>
      <c r="K158" s="1" t="s">
        <v>17</v>
      </c>
      <c r="L158" s="1" t="s">
        <v>18</v>
      </c>
      <c r="M158" s="1">
        <v>2018</v>
      </c>
      <c r="N158" s="1" t="str">
        <f t="shared" si="2"/>
        <v>Anglophone</v>
      </c>
      <c r="O158" s="3" t="str">
        <f>_xlfn.XLOOKUP(D:D,MappingTable[Brand],MappingTable[Brand Type], "not found")</f>
        <v>Beer</v>
      </c>
      <c r="P158" t="str">
        <f>_xlfn.XLOOKUP(L:L,MappingTable2[Month],MappingTable2[Quarters],"NIL")</f>
        <v>Q1</v>
      </c>
      <c r="Q158" s="1"/>
    </row>
    <row r="159" spans="1:17" x14ac:dyDescent="0.2">
      <c r="A159" s="1">
        <v>10258</v>
      </c>
      <c r="B159" s="1" t="s">
        <v>54</v>
      </c>
      <c r="C159" s="1" t="s">
        <v>55</v>
      </c>
      <c r="D159" s="1" t="s">
        <v>33</v>
      </c>
      <c r="E159" s="3">
        <v>170</v>
      </c>
      <c r="F159" s="3">
        <v>250</v>
      </c>
      <c r="G159" s="13">
        <v>729</v>
      </c>
      <c r="H159" s="3">
        <v>182250</v>
      </c>
      <c r="I159" s="3">
        <v>58320</v>
      </c>
      <c r="J159" s="1" t="s">
        <v>28</v>
      </c>
      <c r="K159" s="1" t="s">
        <v>23</v>
      </c>
      <c r="L159" s="1" t="s">
        <v>24</v>
      </c>
      <c r="M159" s="1">
        <v>2018</v>
      </c>
      <c r="N159" s="1" t="str">
        <f t="shared" si="2"/>
        <v>Francophone</v>
      </c>
      <c r="O159" s="3" t="str">
        <f>_xlfn.XLOOKUP(D:D,MappingTable[Brand],MappingTable[Brand Type], "not found")</f>
        <v>Beer</v>
      </c>
      <c r="P159" t="str">
        <f>_xlfn.XLOOKUP(L:L,MappingTable2[Month],MappingTable2[Quarters],"NIL")</f>
        <v>Q1</v>
      </c>
      <c r="Q159" s="1"/>
    </row>
    <row r="160" spans="1:17" x14ac:dyDescent="0.2">
      <c r="A160" s="1">
        <v>10259</v>
      </c>
      <c r="B160" s="1" t="s">
        <v>57</v>
      </c>
      <c r="C160" s="1" t="s">
        <v>58</v>
      </c>
      <c r="D160" s="1" t="s">
        <v>39</v>
      </c>
      <c r="E160" s="3">
        <v>150</v>
      </c>
      <c r="F160" s="3">
        <v>200</v>
      </c>
      <c r="G160" s="13">
        <v>944</v>
      </c>
      <c r="H160" s="3">
        <v>188800</v>
      </c>
      <c r="I160" s="3">
        <v>47200</v>
      </c>
      <c r="J160" s="1" t="s">
        <v>34</v>
      </c>
      <c r="K160" s="1" t="s">
        <v>29</v>
      </c>
      <c r="L160" s="1" t="s">
        <v>30</v>
      </c>
      <c r="M160" s="1">
        <v>2019</v>
      </c>
      <c r="N160" s="1" t="str">
        <f t="shared" si="2"/>
        <v>Francophone</v>
      </c>
      <c r="O160" s="3" t="str">
        <f>_xlfn.XLOOKUP(D:D,MappingTable[Brand],MappingTable[Brand Type], "not found")</f>
        <v>Beer</v>
      </c>
      <c r="P160" t="str">
        <f>_xlfn.XLOOKUP(L:L,MappingTable2[Month],MappingTable2[Quarters],"NIL")</f>
        <v>Q1</v>
      </c>
      <c r="Q160" s="1"/>
    </row>
    <row r="161" spans="1:17" x14ac:dyDescent="0.2">
      <c r="A161" s="1">
        <v>10260</v>
      </c>
      <c r="B161" s="1" t="s">
        <v>31</v>
      </c>
      <c r="C161" s="1" t="s">
        <v>32</v>
      </c>
      <c r="D161" s="1" t="s">
        <v>43</v>
      </c>
      <c r="E161" s="3">
        <v>80</v>
      </c>
      <c r="F161" s="3">
        <v>150</v>
      </c>
      <c r="G161" s="13">
        <v>981</v>
      </c>
      <c r="H161" s="3">
        <v>147150</v>
      </c>
      <c r="I161" s="3">
        <v>68670</v>
      </c>
      <c r="J161" s="1" t="s">
        <v>40</v>
      </c>
      <c r="K161" s="1" t="s">
        <v>35</v>
      </c>
      <c r="L161" s="1" t="s">
        <v>36</v>
      </c>
      <c r="M161" s="1">
        <v>2017</v>
      </c>
      <c r="N161" s="1" t="str">
        <f t="shared" si="2"/>
        <v>Francophone</v>
      </c>
      <c r="O161" s="3" t="str">
        <f>_xlfn.XLOOKUP(D:D,MappingTable[Brand],MappingTable[Brand Type], "not found")</f>
        <v>Malt</v>
      </c>
      <c r="P161" t="str">
        <f>_xlfn.XLOOKUP(L:L,MappingTable2[Month],MappingTable2[Quarters],"NIL")</f>
        <v>Q2</v>
      </c>
      <c r="Q161" s="1"/>
    </row>
    <row r="162" spans="1:17" x14ac:dyDescent="0.2">
      <c r="A162" s="1">
        <v>10261</v>
      </c>
      <c r="B162" s="1" t="s">
        <v>61</v>
      </c>
      <c r="C162" s="1" t="s">
        <v>62</v>
      </c>
      <c r="D162" s="1" t="s">
        <v>48</v>
      </c>
      <c r="E162" s="3">
        <v>90</v>
      </c>
      <c r="F162" s="3">
        <v>150</v>
      </c>
      <c r="G162" s="13">
        <v>763</v>
      </c>
      <c r="H162" s="3">
        <v>114450</v>
      </c>
      <c r="I162" s="3">
        <v>45780</v>
      </c>
      <c r="J162" s="1" t="s">
        <v>16</v>
      </c>
      <c r="K162" s="1" t="s">
        <v>41</v>
      </c>
      <c r="L162" s="1" t="s">
        <v>42</v>
      </c>
      <c r="M162" s="1">
        <v>2018</v>
      </c>
      <c r="N162" s="1" t="str">
        <f t="shared" si="2"/>
        <v>Anglophone</v>
      </c>
      <c r="O162" s="3" t="str">
        <f>_xlfn.XLOOKUP(D:D,MappingTable[Brand],MappingTable[Brand Type], "not found")</f>
        <v>Malt</v>
      </c>
      <c r="P162" t="str">
        <f>_xlfn.XLOOKUP(L:L,MappingTable2[Month],MappingTable2[Quarters],"NIL")</f>
        <v>Q2</v>
      </c>
      <c r="Q162" s="1"/>
    </row>
    <row r="163" spans="1:17" x14ac:dyDescent="0.2">
      <c r="A163" s="1">
        <v>10262</v>
      </c>
      <c r="B163" s="1" t="s">
        <v>31</v>
      </c>
      <c r="C163" s="1" t="s">
        <v>32</v>
      </c>
      <c r="D163" s="1" t="s">
        <v>15</v>
      </c>
      <c r="E163" s="3">
        <v>150</v>
      </c>
      <c r="F163" s="3">
        <v>200</v>
      </c>
      <c r="G163" s="13">
        <v>885</v>
      </c>
      <c r="H163" s="3">
        <v>177000</v>
      </c>
      <c r="I163" s="3">
        <v>44250</v>
      </c>
      <c r="J163" s="1" t="s">
        <v>22</v>
      </c>
      <c r="K163" s="1" t="s">
        <v>44</v>
      </c>
      <c r="L163" s="1" t="s">
        <v>45</v>
      </c>
      <c r="M163" s="1">
        <v>2017</v>
      </c>
      <c r="N163" s="1" t="str">
        <f t="shared" si="2"/>
        <v>Anglophone</v>
      </c>
      <c r="O163" s="3" t="str">
        <f>_xlfn.XLOOKUP(D:D,MappingTable[Brand],MappingTable[Brand Type], "not found")</f>
        <v>Beer</v>
      </c>
      <c r="P163" t="str">
        <f>_xlfn.XLOOKUP(L:L,MappingTable2[Month],MappingTable2[Quarters],"NIL")</f>
        <v>Q2</v>
      </c>
      <c r="Q163" s="1"/>
    </row>
    <row r="164" spans="1:17" x14ac:dyDescent="0.2">
      <c r="A164" s="1">
        <v>10263</v>
      </c>
      <c r="B164" s="1" t="s">
        <v>51</v>
      </c>
      <c r="C164" s="1" t="s">
        <v>52</v>
      </c>
      <c r="D164" s="1" t="s">
        <v>21</v>
      </c>
      <c r="E164" s="3">
        <v>250</v>
      </c>
      <c r="F164" s="3">
        <v>500</v>
      </c>
      <c r="G164" s="13">
        <v>854</v>
      </c>
      <c r="H164" s="3">
        <v>427000</v>
      </c>
      <c r="I164" s="3">
        <v>213500</v>
      </c>
      <c r="J164" s="1" t="s">
        <v>28</v>
      </c>
      <c r="K164" s="1" t="s">
        <v>17</v>
      </c>
      <c r="L164" s="1" t="s">
        <v>49</v>
      </c>
      <c r="M164" s="1">
        <v>2018</v>
      </c>
      <c r="N164" s="1" t="str">
        <f t="shared" si="2"/>
        <v>Francophone</v>
      </c>
      <c r="O164" s="3" t="str">
        <f>_xlfn.XLOOKUP(D:D,MappingTable[Brand],MappingTable[Brand Type], "not found")</f>
        <v>Beer</v>
      </c>
      <c r="P164" t="str">
        <f>_xlfn.XLOOKUP(L:L,MappingTable2[Month],MappingTable2[Quarters],"NIL")</f>
        <v>Q3</v>
      </c>
      <c r="Q164" s="1"/>
    </row>
    <row r="165" spans="1:17" x14ac:dyDescent="0.2">
      <c r="A165" s="1">
        <v>10264</v>
      </c>
      <c r="B165" s="1" t="s">
        <v>31</v>
      </c>
      <c r="C165" s="1" t="s">
        <v>32</v>
      </c>
      <c r="D165" s="1" t="s">
        <v>27</v>
      </c>
      <c r="E165" s="3">
        <v>180</v>
      </c>
      <c r="F165" s="3">
        <v>450</v>
      </c>
      <c r="G165" s="13">
        <v>727</v>
      </c>
      <c r="H165" s="3">
        <v>327150</v>
      </c>
      <c r="I165" s="3">
        <v>196290</v>
      </c>
      <c r="J165" s="1" t="s">
        <v>34</v>
      </c>
      <c r="K165" s="1" t="s">
        <v>23</v>
      </c>
      <c r="L165" s="1" t="s">
        <v>50</v>
      </c>
      <c r="M165" s="1">
        <v>2018</v>
      </c>
      <c r="N165" s="1" t="str">
        <f t="shared" si="2"/>
        <v>Francophone</v>
      </c>
      <c r="O165" s="3" t="str">
        <f>_xlfn.XLOOKUP(D:D,MappingTable[Brand],MappingTable[Brand Type], "not found")</f>
        <v>Beer</v>
      </c>
      <c r="P165" t="str">
        <f>_xlfn.XLOOKUP(L:L,MappingTable2[Month],MappingTable2[Quarters],"NIL")</f>
        <v>Q3</v>
      </c>
      <c r="Q165" s="1"/>
    </row>
    <row r="166" spans="1:17" x14ac:dyDescent="0.2">
      <c r="A166" s="1">
        <v>10265</v>
      </c>
      <c r="B166" s="1" t="s">
        <v>57</v>
      </c>
      <c r="C166" s="1" t="s">
        <v>58</v>
      </c>
      <c r="D166" s="1" t="s">
        <v>33</v>
      </c>
      <c r="E166" s="3">
        <v>170</v>
      </c>
      <c r="F166" s="3">
        <v>250</v>
      </c>
      <c r="G166" s="13">
        <v>991</v>
      </c>
      <c r="H166" s="3">
        <v>247750</v>
      </c>
      <c r="I166" s="3">
        <v>79280</v>
      </c>
      <c r="J166" s="1" t="s">
        <v>40</v>
      </c>
      <c r="K166" s="1" t="s">
        <v>29</v>
      </c>
      <c r="L166" s="1" t="s">
        <v>53</v>
      </c>
      <c r="M166" s="1">
        <v>2018</v>
      </c>
      <c r="N166" s="1" t="str">
        <f t="shared" si="2"/>
        <v>Francophone</v>
      </c>
      <c r="O166" s="3" t="str">
        <f>_xlfn.XLOOKUP(D:D,MappingTable[Brand],MappingTable[Brand Type], "not found")</f>
        <v>Beer</v>
      </c>
      <c r="P166" t="str">
        <f>_xlfn.XLOOKUP(L:L,MappingTable2[Month],MappingTable2[Quarters],"NIL")</f>
        <v>Q3</v>
      </c>
      <c r="Q166" s="1"/>
    </row>
    <row r="167" spans="1:17" x14ac:dyDescent="0.2">
      <c r="A167" s="1">
        <v>10266</v>
      </c>
      <c r="B167" s="1" t="s">
        <v>63</v>
      </c>
      <c r="C167" s="1" t="s">
        <v>64</v>
      </c>
      <c r="D167" s="1" t="s">
        <v>39</v>
      </c>
      <c r="E167" s="3">
        <v>150</v>
      </c>
      <c r="F167" s="3">
        <v>200</v>
      </c>
      <c r="G167" s="13">
        <v>792</v>
      </c>
      <c r="H167" s="3">
        <v>158400</v>
      </c>
      <c r="I167" s="3">
        <v>39600</v>
      </c>
      <c r="J167" s="1" t="s">
        <v>16</v>
      </c>
      <c r="K167" s="1" t="s">
        <v>35</v>
      </c>
      <c r="L167" s="1" t="s">
        <v>56</v>
      </c>
      <c r="M167" s="1">
        <v>2019</v>
      </c>
      <c r="N167" s="1" t="str">
        <f t="shared" si="2"/>
        <v>Anglophone</v>
      </c>
      <c r="O167" s="3" t="str">
        <f>_xlfn.XLOOKUP(D:D,MappingTable[Brand],MappingTable[Brand Type], "not found")</f>
        <v>Beer</v>
      </c>
      <c r="P167" t="str">
        <f>_xlfn.XLOOKUP(L:L,MappingTable2[Month],MappingTable2[Quarters],"NIL")</f>
        <v>Q4</v>
      </c>
      <c r="Q167" s="1"/>
    </row>
    <row r="168" spans="1:17" x14ac:dyDescent="0.2">
      <c r="A168" s="1">
        <v>10267</v>
      </c>
      <c r="B168" s="1" t="s">
        <v>61</v>
      </c>
      <c r="C168" s="1" t="s">
        <v>62</v>
      </c>
      <c r="D168" s="1" t="s">
        <v>43</v>
      </c>
      <c r="E168" s="3">
        <v>80</v>
      </c>
      <c r="F168" s="3">
        <v>150</v>
      </c>
      <c r="G168" s="13">
        <v>898</v>
      </c>
      <c r="H168" s="3">
        <v>134700</v>
      </c>
      <c r="I168" s="3">
        <v>62860</v>
      </c>
      <c r="J168" s="1" t="s">
        <v>22</v>
      </c>
      <c r="K168" s="1" t="s">
        <v>41</v>
      </c>
      <c r="L168" s="1" t="s">
        <v>59</v>
      </c>
      <c r="M168" s="1">
        <v>2019</v>
      </c>
      <c r="N168" s="1" t="str">
        <f t="shared" si="2"/>
        <v>Anglophone</v>
      </c>
      <c r="O168" s="3" t="str">
        <f>_xlfn.XLOOKUP(D:D,MappingTable[Brand],MappingTable[Brand Type], "not found")</f>
        <v>Malt</v>
      </c>
      <c r="P168" t="str">
        <f>_xlfn.XLOOKUP(L:L,MappingTable2[Month],MappingTable2[Quarters],"NIL")</f>
        <v>Q4</v>
      </c>
      <c r="Q168" s="1"/>
    </row>
    <row r="169" spans="1:17" x14ac:dyDescent="0.2">
      <c r="A169" s="1">
        <v>10268</v>
      </c>
      <c r="B169" s="1" t="s">
        <v>57</v>
      </c>
      <c r="C169" s="1" t="s">
        <v>58</v>
      </c>
      <c r="D169" s="1" t="s">
        <v>48</v>
      </c>
      <c r="E169" s="3">
        <v>90</v>
      </c>
      <c r="F169" s="3">
        <v>150</v>
      </c>
      <c r="G169" s="13">
        <v>945</v>
      </c>
      <c r="H169" s="3">
        <v>141750</v>
      </c>
      <c r="I169" s="3">
        <v>56700</v>
      </c>
      <c r="J169" s="1" t="s">
        <v>28</v>
      </c>
      <c r="K169" s="1" t="s">
        <v>44</v>
      </c>
      <c r="L169" s="1" t="s">
        <v>60</v>
      </c>
      <c r="M169" s="1">
        <v>2019</v>
      </c>
      <c r="N169" s="1" t="str">
        <f t="shared" si="2"/>
        <v>Francophone</v>
      </c>
      <c r="O169" s="3" t="str">
        <f>_xlfn.XLOOKUP(D:D,MappingTable[Brand],MappingTable[Brand Type], "not found")</f>
        <v>Malt</v>
      </c>
      <c r="P169" t="str">
        <f>_xlfn.XLOOKUP(L:L,MappingTable2[Month],MappingTable2[Quarters],"NIL")</f>
        <v>Q4</v>
      </c>
      <c r="Q169" s="1"/>
    </row>
    <row r="170" spans="1:17" x14ac:dyDescent="0.2">
      <c r="A170" s="1">
        <v>10269</v>
      </c>
      <c r="B170" s="1" t="s">
        <v>19</v>
      </c>
      <c r="C170" s="1" t="s">
        <v>20</v>
      </c>
      <c r="D170" s="1" t="s">
        <v>15</v>
      </c>
      <c r="E170" s="3">
        <v>150</v>
      </c>
      <c r="F170" s="3">
        <v>200</v>
      </c>
      <c r="G170" s="13">
        <v>814</v>
      </c>
      <c r="H170" s="3">
        <v>162800</v>
      </c>
      <c r="I170" s="3">
        <v>40700</v>
      </c>
      <c r="J170" s="1" t="s">
        <v>34</v>
      </c>
      <c r="K170" s="1" t="s">
        <v>17</v>
      </c>
      <c r="L170" s="1" t="s">
        <v>18</v>
      </c>
      <c r="M170" s="1">
        <v>2019</v>
      </c>
      <c r="N170" s="1" t="str">
        <f t="shared" si="2"/>
        <v>Francophone</v>
      </c>
      <c r="O170" s="3" t="str">
        <f>_xlfn.XLOOKUP(D:D,MappingTable[Brand],MappingTable[Brand Type], "not found")</f>
        <v>Beer</v>
      </c>
      <c r="P170" t="str">
        <f>_xlfn.XLOOKUP(L:L,MappingTable2[Month],MappingTable2[Quarters],"NIL")</f>
        <v>Q1</v>
      </c>
      <c r="Q170" s="1"/>
    </row>
    <row r="171" spans="1:17" x14ac:dyDescent="0.2">
      <c r="A171" s="1">
        <v>10270</v>
      </c>
      <c r="B171" s="1" t="s">
        <v>61</v>
      </c>
      <c r="C171" s="1" t="s">
        <v>62</v>
      </c>
      <c r="D171" s="1" t="s">
        <v>21</v>
      </c>
      <c r="E171" s="3">
        <v>250</v>
      </c>
      <c r="F171" s="3">
        <v>500</v>
      </c>
      <c r="G171" s="13">
        <v>863</v>
      </c>
      <c r="H171" s="3">
        <v>431500</v>
      </c>
      <c r="I171" s="3">
        <v>215750</v>
      </c>
      <c r="J171" s="1" t="s">
        <v>40</v>
      </c>
      <c r="K171" s="1" t="s">
        <v>23</v>
      </c>
      <c r="L171" s="1" t="s">
        <v>24</v>
      </c>
      <c r="M171" s="1">
        <v>2018</v>
      </c>
      <c r="N171" s="1" t="str">
        <f t="shared" si="2"/>
        <v>Francophone</v>
      </c>
      <c r="O171" s="3" t="str">
        <f>_xlfn.XLOOKUP(D:D,MappingTable[Brand],MappingTable[Brand Type], "not found")</f>
        <v>Beer</v>
      </c>
      <c r="P171" t="str">
        <f>_xlfn.XLOOKUP(L:L,MappingTable2[Month],MappingTable2[Quarters],"NIL")</f>
        <v>Q1</v>
      </c>
      <c r="Q171" s="1"/>
    </row>
    <row r="172" spans="1:17" x14ac:dyDescent="0.2">
      <c r="A172" s="1">
        <v>10271</v>
      </c>
      <c r="B172" s="1" t="s">
        <v>31</v>
      </c>
      <c r="C172" s="1" t="s">
        <v>32</v>
      </c>
      <c r="D172" s="1" t="s">
        <v>27</v>
      </c>
      <c r="E172" s="3">
        <v>180</v>
      </c>
      <c r="F172" s="3">
        <v>450</v>
      </c>
      <c r="G172" s="13">
        <v>829</v>
      </c>
      <c r="H172" s="3">
        <v>373050</v>
      </c>
      <c r="I172" s="3">
        <v>223830</v>
      </c>
      <c r="J172" s="1" t="s">
        <v>16</v>
      </c>
      <c r="K172" s="1" t="s">
        <v>29</v>
      </c>
      <c r="L172" s="1" t="s">
        <v>30</v>
      </c>
      <c r="M172" s="1">
        <v>2019</v>
      </c>
      <c r="N172" s="1" t="str">
        <f t="shared" si="2"/>
        <v>Anglophone</v>
      </c>
      <c r="O172" s="3" t="str">
        <f>_xlfn.XLOOKUP(D:D,MappingTable[Brand],MappingTable[Brand Type], "not found")</f>
        <v>Beer</v>
      </c>
      <c r="P172" t="str">
        <f>_xlfn.XLOOKUP(L:L,MappingTable2[Month],MappingTable2[Quarters],"NIL")</f>
        <v>Q1</v>
      </c>
      <c r="Q172" s="1"/>
    </row>
    <row r="173" spans="1:17" x14ac:dyDescent="0.2">
      <c r="A173" s="1">
        <v>10272</v>
      </c>
      <c r="B173" s="1" t="s">
        <v>25</v>
      </c>
      <c r="C173" s="1" t="s">
        <v>26</v>
      </c>
      <c r="D173" s="1" t="s">
        <v>33</v>
      </c>
      <c r="E173" s="3">
        <v>170</v>
      </c>
      <c r="F173" s="3">
        <v>250</v>
      </c>
      <c r="G173" s="13">
        <v>747</v>
      </c>
      <c r="H173" s="3">
        <v>186750</v>
      </c>
      <c r="I173" s="3">
        <v>59760</v>
      </c>
      <c r="J173" s="1" t="s">
        <v>22</v>
      </c>
      <c r="K173" s="1" t="s">
        <v>35</v>
      </c>
      <c r="L173" s="1" t="s">
        <v>36</v>
      </c>
      <c r="M173" s="1">
        <v>2017</v>
      </c>
      <c r="N173" s="1" t="str">
        <f t="shared" si="2"/>
        <v>Anglophone</v>
      </c>
      <c r="O173" s="3" t="str">
        <f>_xlfn.XLOOKUP(D:D,MappingTable[Brand],MappingTable[Brand Type], "not found")</f>
        <v>Beer</v>
      </c>
      <c r="P173" t="str">
        <f>_xlfn.XLOOKUP(L:L,MappingTable2[Month],MappingTable2[Quarters],"NIL")</f>
        <v>Q2</v>
      </c>
      <c r="Q173" s="1"/>
    </row>
    <row r="174" spans="1:17" x14ac:dyDescent="0.2">
      <c r="A174" s="1">
        <v>10273</v>
      </c>
      <c r="B174" s="1" t="s">
        <v>13</v>
      </c>
      <c r="C174" s="1" t="s">
        <v>14</v>
      </c>
      <c r="D174" s="1" t="s">
        <v>39</v>
      </c>
      <c r="E174" s="3">
        <v>150</v>
      </c>
      <c r="F174" s="3">
        <v>200</v>
      </c>
      <c r="G174" s="13">
        <v>961</v>
      </c>
      <c r="H174" s="3">
        <v>192200</v>
      </c>
      <c r="I174" s="3">
        <v>48050</v>
      </c>
      <c r="J174" s="1" t="s">
        <v>28</v>
      </c>
      <c r="K174" s="1" t="s">
        <v>41</v>
      </c>
      <c r="L174" s="1" t="s">
        <v>42</v>
      </c>
      <c r="M174" s="1">
        <v>2018</v>
      </c>
      <c r="N174" s="1" t="str">
        <f t="shared" si="2"/>
        <v>Francophone</v>
      </c>
      <c r="O174" s="3" t="str">
        <f>_xlfn.XLOOKUP(D:D,MappingTable[Brand],MappingTable[Brand Type], "not found")</f>
        <v>Beer</v>
      </c>
      <c r="P174" t="str">
        <f>_xlfn.XLOOKUP(L:L,MappingTable2[Month],MappingTable2[Quarters],"NIL")</f>
        <v>Q2</v>
      </c>
      <c r="Q174" s="1"/>
    </row>
    <row r="175" spans="1:17" x14ac:dyDescent="0.2">
      <c r="A175" s="1">
        <v>10274</v>
      </c>
      <c r="B175" s="1" t="s">
        <v>37</v>
      </c>
      <c r="C175" s="1" t="s">
        <v>38</v>
      </c>
      <c r="D175" s="1" t="s">
        <v>43</v>
      </c>
      <c r="E175" s="3">
        <v>80</v>
      </c>
      <c r="F175" s="3">
        <v>150</v>
      </c>
      <c r="G175" s="13">
        <v>803</v>
      </c>
      <c r="H175" s="3">
        <v>120450</v>
      </c>
      <c r="I175" s="3">
        <v>56210</v>
      </c>
      <c r="J175" s="1" t="s">
        <v>34</v>
      </c>
      <c r="K175" s="1" t="s">
        <v>44</v>
      </c>
      <c r="L175" s="1" t="s">
        <v>45</v>
      </c>
      <c r="M175" s="1">
        <v>2019</v>
      </c>
      <c r="N175" s="1" t="str">
        <f t="shared" si="2"/>
        <v>Francophone</v>
      </c>
      <c r="O175" s="3" t="str">
        <f>_xlfn.XLOOKUP(D:D,MappingTable[Brand],MappingTable[Brand Type], "not found")</f>
        <v>Malt</v>
      </c>
      <c r="P175" t="str">
        <f>_xlfn.XLOOKUP(L:L,MappingTable2[Month],MappingTable2[Quarters],"NIL")</f>
        <v>Q2</v>
      </c>
      <c r="Q175" s="1"/>
    </row>
    <row r="176" spans="1:17" x14ac:dyDescent="0.2">
      <c r="A176" s="1">
        <v>10275</v>
      </c>
      <c r="B176" s="1" t="s">
        <v>54</v>
      </c>
      <c r="C176" s="1" t="s">
        <v>55</v>
      </c>
      <c r="D176" s="1" t="s">
        <v>48</v>
      </c>
      <c r="E176" s="3">
        <v>90</v>
      </c>
      <c r="F176" s="3">
        <v>150</v>
      </c>
      <c r="G176" s="13">
        <v>875</v>
      </c>
      <c r="H176" s="3">
        <v>131250</v>
      </c>
      <c r="I176" s="3">
        <v>52500</v>
      </c>
      <c r="J176" s="1" t="s">
        <v>40</v>
      </c>
      <c r="K176" s="1" t="s">
        <v>17</v>
      </c>
      <c r="L176" s="1" t="s">
        <v>49</v>
      </c>
      <c r="M176" s="1">
        <v>2017</v>
      </c>
      <c r="N176" s="1" t="str">
        <f t="shared" si="2"/>
        <v>Francophone</v>
      </c>
      <c r="O176" s="3" t="str">
        <f>_xlfn.XLOOKUP(D:D,MappingTable[Brand],MappingTable[Brand Type], "not found")</f>
        <v>Malt</v>
      </c>
      <c r="P176" t="str">
        <f>_xlfn.XLOOKUP(L:L,MappingTable2[Month],MappingTable2[Quarters],"NIL")</f>
        <v>Q3</v>
      </c>
      <c r="Q176" s="1"/>
    </row>
    <row r="177" spans="1:17" x14ac:dyDescent="0.2">
      <c r="A177" s="1">
        <v>10276</v>
      </c>
      <c r="B177" s="1" t="s">
        <v>19</v>
      </c>
      <c r="C177" s="1" t="s">
        <v>20</v>
      </c>
      <c r="D177" s="1" t="s">
        <v>15</v>
      </c>
      <c r="E177" s="3">
        <v>150</v>
      </c>
      <c r="F177" s="3">
        <v>200</v>
      </c>
      <c r="G177" s="13">
        <v>750</v>
      </c>
      <c r="H177" s="3">
        <v>150000</v>
      </c>
      <c r="I177" s="3">
        <v>37500</v>
      </c>
      <c r="J177" s="1" t="s">
        <v>16</v>
      </c>
      <c r="K177" s="1" t="s">
        <v>23</v>
      </c>
      <c r="L177" s="1" t="s">
        <v>50</v>
      </c>
      <c r="M177" s="1">
        <v>2018</v>
      </c>
      <c r="N177" s="1" t="str">
        <f t="shared" si="2"/>
        <v>Anglophone</v>
      </c>
      <c r="O177" s="3" t="str">
        <f>_xlfn.XLOOKUP(D:D,MappingTable[Brand],MappingTable[Brand Type], "not found")</f>
        <v>Beer</v>
      </c>
      <c r="P177" t="str">
        <f>_xlfn.XLOOKUP(L:L,MappingTable2[Month],MappingTable2[Quarters],"NIL")</f>
        <v>Q3</v>
      </c>
      <c r="Q177" s="1"/>
    </row>
    <row r="178" spans="1:17" x14ac:dyDescent="0.2">
      <c r="A178" s="1">
        <v>10277</v>
      </c>
      <c r="B178" s="1" t="s">
        <v>19</v>
      </c>
      <c r="C178" s="1" t="s">
        <v>20</v>
      </c>
      <c r="D178" s="1" t="s">
        <v>21</v>
      </c>
      <c r="E178" s="3">
        <v>250</v>
      </c>
      <c r="F178" s="3">
        <v>500</v>
      </c>
      <c r="G178" s="13">
        <v>850</v>
      </c>
      <c r="H178" s="3">
        <v>425000</v>
      </c>
      <c r="I178" s="3">
        <v>212500</v>
      </c>
      <c r="J178" s="1" t="s">
        <v>22</v>
      </c>
      <c r="K178" s="1" t="s">
        <v>29</v>
      </c>
      <c r="L178" s="1" t="s">
        <v>53</v>
      </c>
      <c r="M178" s="1">
        <v>2017</v>
      </c>
      <c r="N178" s="1" t="str">
        <f t="shared" si="2"/>
        <v>Anglophone</v>
      </c>
      <c r="O178" s="3" t="str">
        <f>_xlfn.XLOOKUP(D:D,MappingTable[Brand],MappingTable[Brand Type], "not found")</f>
        <v>Beer</v>
      </c>
      <c r="P178" t="str">
        <f>_xlfn.XLOOKUP(L:L,MappingTable2[Month],MappingTable2[Quarters],"NIL")</f>
        <v>Q3</v>
      </c>
      <c r="Q178" s="1"/>
    </row>
    <row r="179" spans="1:17" x14ac:dyDescent="0.2">
      <c r="A179" s="1">
        <v>10278</v>
      </c>
      <c r="B179" s="1" t="s">
        <v>63</v>
      </c>
      <c r="C179" s="1" t="s">
        <v>64</v>
      </c>
      <c r="D179" s="1" t="s">
        <v>27</v>
      </c>
      <c r="E179" s="3">
        <v>180</v>
      </c>
      <c r="F179" s="3">
        <v>450</v>
      </c>
      <c r="G179" s="13">
        <v>710</v>
      </c>
      <c r="H179" s="3">
        <v>319500</v>
      </c>
      <c r="I179" s="3">
        <v>191700</v>
      </c>
      <c r="J179" s="1" t="s">
        <v>28</v>
      </c>
      <c r="K179" s="1" t="s">
        <v>35</v>
      </c>
      <c r="L179" s="1" t="s">
        <v>56</v>
      </c>
      <c r="M179" s="1">
        <v>2018</v>
      </c>
      <c r="N179" s="1" t="str">
        <f t="shared" si="2"/>
        <v>Francophone</v>
      </c>
      <c r="O179" s="3" t="str">
        <f>_xlfn.XLOOKUP(D:D,MappingTable[Brand],MappingTable[Brand Type], "not found")</f>
        <v>Beer</v>
      </c>
      <c r="P179" t="str">
        <f>_xlfn.XLOOKUP(L:L,MappingTable2[Month],MappingTable2[Quarters],"NIL")</f>
        <v>Q4</v>
      </c>
      <c r="Q179" s="1"/>
    </row>
    <row r="180" spans="1:17" x14ac:dyDescent="0.2">
      <c r="A180" s="1">
        <v>10279</v>
      </c>
      <c r="B180" s="1" t="s">
        <v>31</v>
      </c>
      <c r="C180" s="1" t="s">
        <v>32</v>
      </c>
      <c r="D180" s="1" t="s">
        <v>33</v>
      </c>
      <c r="E180" s="3">
        <v>170</v>
      </c>
      <c r="F180" s="3">
        <v>250</v>
      </c>
      <c r="G180" s="13">
        <v>881</v>
      </c>
      <c r="H180" s="3">
        <v>220250</v>
      </c>
      <c r="I180" s="3">
        <v>70480</v>
      </c>
      <c r="J180" s="1" t="s">
        <v>34</v>
      </c>
      <c r="K180" s="1" t="s">
        <v>41</v>
      </c>
      <c r="L180" s="1" t="s">
        <v>59</v>
      </c>
      <c r="M180" s="1">
        <v>2017</v>
      </c>
      <c r="N180" s="1" t="str">
        <f t="shared" si="2"/>
        <v>Francophone</v>
      </c>
      <c r="O180" s="3" t="str">
        <f>_xlfn.XLOOKUP(D:D,MappingTable[Brand],MappingTable[Brand Type], "not found")</f>
        <v>Beer</v>
      </c>
      <c r="P180" t="str">
        <f>_xlfn.XLOOKUP(L:L,MappingTable2[Month],MappingTable2[Quarters],"NIL")</f>
        <v>Q4</v>
      </c>
      <c r="Q180" s="1"/>
    </row>
    <row r="181" spans="1:17" x14ac:dyDescent="0.2">
      <c r="A181" s="1">
        <v>10280</v>
      </c>
      <c r="B181" s="1" t="s">
        <v>51</v>
      </c>
      <c r="C181" s="1" t="s">
        <v>52</v>
      </c>
      <c r="D181" s="1" t="s">
        <v>39</v>
      </c>
      <c r="E181" s="3">
        <v>150</v>
      </c>
      <c r="F181" s="3">
        <v>200</v>
      </c>
      <c r="G181" s="13">
        <v>777</v>
      </c>
      <c r="H181" s="3">
        <v>155400</v>
      </c>
      <c r="I181" s="3">
        <v>38850</v>
      </c>
      <c r="J181" s="1" t="s">
        <v>40</v>
      </c>
      <c r="K181" s="1" t="s">
        <v>44</v>
      </c>
      <c r="L181" s="1" t="s">
        <v>60</v>
      </c>
      <c r="M181" s="1">
        <v>2018</v>
      </c>
      <c r="N181" s="1" t="str">
        <f t="shared" si="2"/>
        <v>Francophone</v>
      </c>
      <c r="O181" s="3" t="str">
        <f>_xlfn.XLOOKUP(D:D,MappingTable[Brand],MappingTable[Brand Type], "not found")</f>
        <v>Beer</v>
      </c>
      <c r="P181" t="str">
        <f>_xlfn.XLOOKUP(L:L,MappingTable2[Month],MappingTable2[Quarters],"NIL")</f>
        <v>Q4</v>
      </c>
      <c r="Q181" s="1"/>
    </row>
    <row r="182" spans="1:17" x14ac:dyDescent="0.2">
      <c r="A182" s="1">
        <v>10281</v>
      </c>
      <c r="B182" s="1" t="s">
        <v>63</v>
      </c>
      <c r="C182" s="1" t="s">
        <v>64</v>
      </c>
      <c r="D182" s="1" t="s">
        <v>43</v>
      </c>
      <c r="E182" s="3">
        <v>80</v>
      </c>
      <c r="F182" s="3">
        <v>150</v>
      </c>
      <c r="G182" s="13">
        <v>708</v>
      </c>
      <c r="H182" s="3">
        <v>106200</v>
      </c>
      <c r="I182" s="3">
        <v>49560</v>
      </c>
      <c r="J182" s="1" t="s">
        <v>16</v>
      </c>
      <c r="K182" s="1" t="s">
        <v>17</v>
      </c>
      <c r="L182" s="1" t="s">
        <v>18</v>
      </c>
      <c r="M182" s="1">
        <v>2017</v>
      </c>
      <c r="N182" s="1" t="str">
        <f t="shared" si="2"/>
        <v>Anglophone</v>
      </c>
      <c r="O182" s="3" t="str">
        <f>_xlfn.XLOOKUP(D:D,MappingTable[Brand],MappingTable[Brand Type], "not found")</f>
        <v>Malt</v>
      </c>
      <c r="P182" t="str">
        <f>_xlfn.XLOOKUP(L:L,MappingTable2[Month],MappingTable2[Quarters],"NIL")</f>
        <v>Q1</v>
      </c>
      <c r="Q182" s="1"/>
    </row>
    <row r="183" spans="1:17" x14ac:dyDescent="0.2">
      <c r="A183" s="1">
        <v>10282</v>
      </c>
      <c r="B183" s="1" t="s">
        <v>25</v>
      </c>
      <c r="C183" s="1" t="s">
        <v>26</v>
      </c>
      <c r="D183" s="1" t="s">
        <v>48</v>
      </c>
      <c r="E183" s="3">
        <v>90</v>
      </c>
      <c r="F183" s="3">
        <v>150</v>
      </c>
      <c r="G183" s="13">
        <v>996</v>
      </c>
      <c r="H183" s="3">
        <v>149400</v>
      </c>
      <c r="I183" s="3">
        <v>59760</v>
      </c>
      <c r="J183" s="1" t="s">
        <v>22</v>
      </c>
      <c r="K183" s="1" t="s">
        <v>23</v>
      </c>
      <c r="L183" s="1" t="s">
        <v>24</v>
      </c>
      <c r="M183" s="1">
        <v>2019</v>
      </c>
      <c r="N183" s="1" t="str">
        <f t="shared" si="2"/>
        <v>Anglophone</v>
      </c>
      <c r="O183" s="3" t="str">
        <f>_xlfn.XLOOKUP(D:D,MappingTable[Brand],MappingTable[Brand Type], "not found")</f>
        <v>Malt</v>
      </c>
      <c r="P183" t="str">
        <f>_xlfn.XLOOKUP(L:L,MappingTable2[Month],MappingTable2[Quarters],"NIL")</f>
        <v>Q1</v>
      </c>
      <c r="Q183" s="1"/>
    </row>
    <row r="184" spans="1:17" x14ac:dyDescent="0.2">
      <c r="A184" s="1">
        <v>10283</v>
      </c>
      <c r="B184" s="1" t="s">
        <v>19</v>
      </c>
      <c r="C184" s="1" t="s">
        <v>20</v>
      </c>
      <c r="D184" s="1" t="s">
        <v>15</v>
      </c>
      <c r="E184" s="3">
        <v>150</v>
      </c>
      <c r="F184" s="3">
        <v>200</v>
      </c>
      <c r="G184" s="13">
        <v>870</v>
      </c>
      <c r="H184" s="3">
        <v>174000</v>
      </c>
      <c r="I184" s="3">
        <v>43500</v>
      </c>
      <c r="J184" s="1" t="s">
        <v>28</v>
      </c>
      <c r="K184" s="1" t="s">
        <v>29</v>
      </c>
      <c r="L184" s="1" t="s">
        <v>30</v>
      </c>
      <c r="M184" s="1">
        <v>2019</v>
      </c>
      <c r="N184" s="1" t="str">
        <f t="shared" si="2"/>
        <v>Francophone</v>
      </c>
      <c r="O184" s="3" t="str">
        <f>_xlfn.XLOOKUP(D:D,MappingTable[Brand],MappingTable[Brand Type], "not found")</f>
        <v>Beer</v>
      </c>
      <c r="P184" t="str">
        <f>_xlfn.XLOOKUP(L:L,MappingTable2[Month],MappingTable2[Quarters],"NIL")</f>
        <v>Q1</v>
      </c>
      <c r="Q184" s="1"/>
    </row>
    <row r="185" spans="1:17" x14ac:dyDescent="0.2">
      <c r="A185" s="1">
        <v>10284</v>
      </c>
      <c r="B185" s="1" t="s">
        <v>25</v>
      </c>
      <c r="C185" s="1" t="s">
        <v>26</v>
      </c>
      <c r="D185" s="1" t="s">
        <v>21</v>
      </c>
      <c r="E185" s="3">
        <v>250</v>
      </c>
      <c r="F185" s="3">
        <v>500</v>
      </c>
      <c r="G185" s="13">
        <v>972</v>
      </c>
      <c r="H185" s="3">
        <v>486000</v>
      </c>
      <c r="I185" s="3">
        <v>243000</v>
      </c>
      <c r="J185" s="1" t="s">
        <v>34</v>
      </c>
      <c r="K185" s="1" t="s">
        <v>35</v>
      </c>
      <c r="L185" s="1" t="s">
        <v>36</v>
      </c>
      <c r="M185" s="1">
        <v>2019</v>
      </c>
      <c r="N185" s="1" t="str">
        <f t="shared" si="2"/>
        <v>Francophone</v>
      </c>
      <c r="O185" s="3" t="str">
        <f>_xlfn.XLOOKUP(D:D,MappingTable[Brand],MappingTable[Brand Type], "not found")</f>
        <v>Beer</v>
      </c>
      <c r="P185" t="str">
        <f>_xlfn.XLOOKUP(L:L,MappingTable2[Month],MappingTable2[Quarters],"NIL")</f>
        <v>Q2</v>
      </c>
      <c r="Q185" s="1"/>
    </row>
    <row r="186" spans="1:17" x14ac:dyDescent="0.2">
      <c r="A186" s="1">
        <v>10285</v>
      </c>
      <c r="B186" s="1" t="s">
        <v>46</v>
      </c>
      <c r="C186" s="1" t="s">
        <v>47</v>
      </c>
      <c r="D186" s="1" t="s">
        <v>27</v>
      </c>
      <c r="E186" s="3">
        <v>180</v>
      </c>
      <c r="F186" s="3">
        <v>450</v>
      </c>
      <c r="G186" s="13">
        <v>989</v>
      </c>
      <c r="H186" s="3">
        <v>445050</v>
      </c>
      <c r="I186" s="3">
        <v>267030</v>
      </c>
      <c r="J186" s="1" t="s">
        <v>40</v>
      </c>
      <c r="K186" s="1" t="s">
        <v>41</v>
      </c>
      <c r="L186" s="1" t="s">
        <v>42</v>
      </c>
      <c r="M186" s="1">
        <v>2018</v>
      </c>
      <c r="N186" s="1" t="str">
        <f t="shared" si="2"/>
        <v>Francophone</v>
      </c>
      <c r="O186" s="3" t="str">
        <f>_xlfn.XLOOKUP(D:D,MappingTable[Brand],MappingTable[Brand Type], "not found")</f>
        <v>Beer</v>
      </c>
      <c r="P186" t="str">
        <f>_xlfn.XLOOKUP(L:L,MappingTable2[Month],MappingTable2[Quarters],"NIL")</f>
        <v>Q2</v>
      </c>
      <c r="Q186" s="1"/>
    </row>
    <row r="187" spans="1:17" x14ac:dyDescent="0.2">
      <c r="A187" s="1">
        <v>10286</v>
      </c>
      <c r="B187" s="1" t="s">
        <v>37</v>
      </c>
      <c r="C187" s="1" t="s">
        <v>38</v>
      </c>
      <c r="D187" s="1" t="s">
        <v>33</v>
      </c>
      <c r="E187" s="3">
        <v>170</v>
      </c>
      <c r="F187" s="3">
        <v>250</v>
      </c>
      <c r="G187" s="13">
        <v>936</v>
      </c>
      <c r="H187" s="3">
        <v>234000</v>
      </c>
      <c r="I187" s="3">
        <v>74880</v>
      </c>
      <c r="J187" s="1" t="s">
        <v>16</v>
      </c>
      <c r="K187" s="1" t="s">
        <v>44</v>
      </c>
      <c r="L187" s="1" t="s">
        <v>45</v>
      </c>
      <c r="M187" s="1">
        <v>2018</v>
      </c>
      <c r="N187" s="1" t="str">
        <f t="shared" si="2"/>
        <v>Anglophone</v>
      </c>
      <c r="O187" s="3" t="str">
        <f>_xlfn.XLOOKUP(D:D,MappingTable[Brand],MappingTable[Brand Type], "not found")</f>
        <v>Beer</v>
      </c>
      <c r="P187" t="str">
        <f>_xlfn.XLOOKUP(L:L,MappingTable2[Month],MappingTable2[Quarters],"NIL")</f>
        <v>Q2</v>
      </c>
      <c r="Q187" s="1"/>
    </row>
    <row r="188" spans="1:17" x14ac:dyDescent="0.2">
      <c r="A188" s="1">
        <v>10287</v>
      </c>
      <c r="B188" s="1" t="s">
        <v>13</v>
      </c>
      <c r="C188" s="1" t="s">
        <v>14</v>
      </c>
      <c r="D188" s="1" t="s">
        <v>39</v>
      </c>
      <c r="E188" s="3">
        <v>150</v>
      </c>
      <c r="F188" s="3">
        <v>200</v>
      </c>
      <c r="G188" s="13">
        <v>1000</v>
      </c>
      <c r="H188" s="3">
        <v>200000</v>
      </c>
      <c r="I188" s="3">
        <v>50000</v>
      </c>
      <c r="J188" s="1" t="s">
        <v>22</v>
      </c>
      <c r="K188" s="1" t="s">
        <v>17</v>
      </c>
      <c r="L188" s="1" t="s">
        <v>49</v>
      </c>
      <c r="M188" s="1">
        <v>2017</v>
      </c>
      <c r="N188" s="1" t="str">
        <f t="shared" si="2"/>
        <v>Anglophone</v>
      </c>
      <c r="O188" s="3" t="str">
        <f>_xlfn.XLOOKUP(D:D,MappingTable[Brand],MappingTable[Brand Type], "not found")</f>
        <v>Beer</v>
      </c>
      <c r="P188" t="str">
        <f>_xlfn.XLOOKUP(L:L,MappingTable2[Month],MappingTable2[Quarters],"NIL")</f>
        <v>Q3</v>
      </c>
      <c r="Q188" s="1"/>
    </row>
    <row r="189" spans="1:17" x14ac:dyDescent="0.2">
      <c r="A189" s="1">
        <v>10288</v>
      </c>
      <c r="B189" s="1" t="s">
        <v>13</v>
      </c>
      <c r="C189" s="1" t="s">
        <v>14</v>
      </c>
      <c r="D189" s="1" t="s">
        <v>43</v>
      </c>
      <c r="E189" s="3">
        <v>80</v>
      </c>
      <c r="F189" s="3">
        <v>150</v>
      </c>
      <c r="G189" s="13">
        <v>947</v>
      </c>
      <c r="H189" s="3">
        <v>142050</v>
      </c>
      <c r="I189" s="3">
        <v>66290</v>
      </c>
      <c r="J189" s="1" t="s">
        <v>28</v>
      </c>
      <c r="K189" s="1" t="s">
        <v>23</v>
      </c>
      <c r="L189" s="1" t="s">
        <v>50</v>
      </c>
      <c r="M189" s="1">
        <v>2018</v>
      </c>
      <c r="N189" s="1" t="str">
        <f t="shared" si="2"/>
        <v>Francophone</v>
      </c>
      <c r="O189" s="3" t="str">
        <f>_xlfn.XLOOKUP(D:D,MappingTable[Brand],MappingTable[Brand Type], "not found")</f>
        <v>Malt</v>
      </c>
      <c r="P189" t="str">
        <f>_xlfn.XLOOKUP(L:L,MappingTable2[Month],MappingTable2[Quarters],"NIL")</f>
        <v>Q3</v>
      </c>
      <c r="Q189" s="1"/>
    </row>
    <row r="190" spans="1:17" x14ac:dyDescent="0.2">
      <c r="A190" s="1">
        <v>10289</v>
      </c>
      <c r="B190" s="1" t="s">
        <v>37</v>
      </c>
      <c r="C190" s="1" t="s">
        <v>38</v>
      </c>
      <c r="D190" s="1" t="s">
        <v>48</v>
      </c>
      <c r="E190" s="3">
        <v>90</v>
      </c>
      <c r="F190" s="3">
        <v>150</v>
      </c>
      <c r="G190" s="13">
        <v>762</v>
      </c>
      <c r="H190" s="3">
        <v>114300</v>
      </c>
      <c r="I190" s="3">
        <v>45720</v>
      </c>
      <c r="J190" s="1" t="s">
        <v>34</v>
      </c>
      <c r="K190" s="1" t="s">
        <v>29</v>
      </c>
      <c r="L190" s="1" t="s">
        <v>53</v>
      </c>
      <c r="M190" s="1">
        <v>2019</v>
      </c>
      <c r="N190" s="1" t="str">
        <f t="shared" si="2"/>
        <v>Francophone</v>
      </c>
      <c r="O190" s="3" t="str">
        <f>_xlfn.XLOOKUP(D:D,MappingTable[Brand],MappingTable[Brand Type], "not found")</f>
        <v>Malt</v>
      </c>
      <c r="P190" t="str">
        <f>_xlfn.XLOOKUP(L:L,MappingTable2[Month],MappingTable2[Quarters],"NIL")</f>
        <v>Q3</v>
      </c>
      <c r="Q190" s="1"/>
    </row>
    <row r="191" spans="1:17" x14ac:dyDescent="0.2">
      <c r="A191" s="1">
        <v>10290</v>
      </c>
      <c r="B191" s="1" t="s">
        <v>31</v>
      </c>
      <c r="C191" s="1" t="s">
        <v>32</v>
      </c>
      <c r="D191" s="1" t="s">
        <v>15</v>
      </c>
      <c r="E191" s="3">
        <v>150</v>
      </c>
      <c r="F191" s="3">
        <v>200</v>
      </c>
      <c r="G191" s="13">
        <v>742</v>
      </c>
      <c r="H191" s="3">
        <v>148400</v>
      </c>
      <c r="I191" s="3">
        <v>37100</v>
      </c>
      <c r="J191" s="1" t="s">
        <v>40</v>
      </c>
      <c r="K191" s="1" t="s">
        <v>35</v>
      </c>
      <c r="L191" s="1" t="s">
        <v>56</v>
      </c>
      <c r="M191" s="1">
        <v>2017</v>
      </c>
      <c r="N191" s="1" t="str">
        <f t="shared" si="2"/>
        <v>Francophone</v>
      </c>
      <c r="O191" s="3" t="str">
        <f>_xlfn.XLOOKUP(D:D,MappingTable[Brand],MappingTable[Brand Type], "not found")</f>
        <v>Beer</v>
      </c>
      <c r="P191" t="str">
        <f>_xlfn.XLOOKUP(L:L,MappingTable2[Month],MappingTable2[Quarters],"NIL")</f>
        <v>Q4</v>
      </c>
      <c r="Q191" s="1"/>
    </row>
    <row r="192" spans="1:17" x14ac:dyDescent="0.2">
      <c r="A192" s="1">
        <v>10291</v>
      </c>
      <c r="B192" s="1" t="s">
        <v>51</v>
      </c>
      <c r="C192" s="1" t="s">
        <v>52</v>
      </c>
      <c r="D192" s="1" t="s">
        <v>21</v>
      </c>
      <c r="E192" s="3">
        <v>250</v>
      </c>
      <c r="F192" s="3">
        <v>500</v>
      </c>
      <c r="G192" s="13">
        <v>902</v>
      </c>
      <c r="H192" s="3">
        <v>451000</v>
      </c>
      <c r="I192" s="3">
        <v>225500</v>
      </c>
      <c r="J192" s="1" t="s">
        <v>16</v>
      </c>
      <c r="K192" s="1" t="s">
        <v>41</v>
      </c>
      <c r="L192" s="1" t="s">
        <v>59</v>
      </c>
      <c r="M192" s="1">
        <v>2019</v>
      </c>
      <c r="N192" s="1" t="str">
        <f t="shared" si="2"/>
        <v>Anglophone</v>
      </c>
      <c r="O192" s="3" t="str">
        <f>_xlfn.XLOOKUP(D:D,MappingTable[Brand],MappingTable[Brand Type], "not found")</f>
        <v>Beer</v>
      </c>
      <c r="P192" t="str">
        <f>_xlfn.XLOOKUP(L:L,MappingTable2[Month],MappingTable2[Quarters],"NIL")</f>
        <v>Q4</v>
      </c>
      <c r="Q192" s="1"/>
    </row>
    <row r="193" spans="1:17" x14ac:dyDescent="0.2">
      <c r="A193" s="1">
        <v>10292</v>
      </c>
      <c r="B193" s="1" t="s">
        <v>63</v>
      </c>
      <c r="C193" s="1" t="s">
        <v>64</v>
      </c>
      <c r="D193" s="1" t="s">
        <v>27</v>
      </c>
      <c r="E193" s="3">
        <v>180</v>
      </c>
      <c r="F193" s="3">
        <v>450</v>
      </c>
      <c r="G193" s="13">
        <v>840</v>
      </c>
      <c r="H193" s="3">
        <v>378000</v>
      </c>
      <c r="I193" s="3">
        <v>226800</v>
      </c>
      <c r="J193" s="1" t="s">
        <v>22</v>
      </c>
      <c r="K193" s="1" t="s">
        <v>44</v>
      </c>
      <c r="L193" s="1" t="s">
        <v>60</v>
      </c>
      <c r="M193" s="1">
        <v>2018</v>
      </c>
      <c r="N193" s="1" t="str">
        <f t="shared" si="2"/>
        <v>Anglophone</v>
      </c>
      <c r="O193" s="3" t="str">
        <f>_xlfn.XLOOKUP(D:D,MappingTable[Brand],MappingTable[Brand Type], "not found")</f>
        <v>Beer</v>
      </c>
      <c r="P193" t="str">
        <f>_xlfn.XLOOKUP(L:L,MappingTable2[Month],MappingTable2[Quarters],"NIL")</f>
        <v>Q4</v>
      </c>
      <c r="Q193" s="1"/>
    </row>
    <row r="194" spans="1:17" x14ac:dyDescent="0.2">
      <c r="A194" s="1">
        <v>10293</v>
      </c>
      <c r="B194" s="1" t="s">
        <v>25</v>
      </c>
      <c r="C194" s="1" t="s">
        <v>26</v>
      </c>
      <c r="D194" s="1" t="s">
        <v>33</v>
      </c>
      <c r="E194" s="3">
        <v>170</v>
      </c>
      <c r="F194" s="3">
        <v>250</v>
      </c>
      <c r="G194" s="13">
        <v>773</v>
      </c>
      <c r="H194" s="3">
        <v>193250</v>
      </c>
      <c r="I194" s="3">
        <v>61840</v>
      </c>
      <c r="J194" s="1" t="s">
        <v>28</v>
      </c>
      <c r="K194" s="1" t="s">
        <v>17</v>
      </c>
      <c r="L194" s="1" t="s">
        <v>18</v>
      </c>
      <c r="M194" s="1">
        <v>2017</v>
      </c>
      <c r="N194" s="1" t="str">
        <f t="shared" ref="N194:N257" si="3">IF(ISNUMBER(MATCH(J194,$S$7:$S$8,0)), "Anglophone","Francophone")</f>
        <v>Francophone</v>
      </c>
      <c r="O194" s="3" t="str">
        <f>_xlfn.XLOOKUP(D:D,MappingTable[Brand],MappingTable[Brand Type], "not found")</f>
        <v>Beer</v>
      </c>
      <c r="P194" t="str">
        <f>_xlfn.XLOOKUP(L:L,MappingTable2[Month],MappingTable2[Quarters],"NIL")</f>
        <v>Q1</v>
      </c>
      <c r="Q194" s="1"/>
    </row>
    <row r="195" spans="1:17" x14ac:dyDescent="0.2">
      <c r="A195" s="1">
        <v>10294</v>
      </c>
      <c r="B195" s="1" t="s">
        <v>19</v>
      </c>
      <c r="C195" s="1" t="s">
        <v>20</v>
      </c>
      <c r="D195" s="1" t="s">
        <v>39</v>
      </c>
      <c r="E195" s="3">
        <v>150</v>
      </c>
      <c r="F195" s="3">
        <v>200</v>
      </c>
      <c r="G195" s="13">
        <v>934</v>
      </c>
      <c r="H195" s="3">
        <v>186800</v>
      </c>
      <c r="I195" s="3">
        <v>46700</v>
      </c>
      <c r="J195" s="1" t="s">
        <v>34</v>
      </c>
      <c r="K195" s="1" t="s">
        <v>23</v>
      </c>
      <c r="L195" s="1" t="s">
        <v>24</v>
      </c>
      <c r="M195" s="1">
        <v>2018</v>
      </c>
      <c r="N195" s="1" t="str">
        <f t="shared" si="3"/>
        <v>Francophone</v>
      </c>
      <c r="O195" s="3" t="str">
        <f>_xlfn.XLOOKUP(D:D,MappingTable[Brand],MappingTable[Brand Type], "not found")</f>
        <v>Beer</v>
      </c>
      <c r="P195" t="str">
        <f>_xlfn.XLOOKUP(L:L,MappingTable2[Month],MappingTable2[Quarters],"NIL")</f>
        <v>Q1</v>
      </c>
      <c r="Q195" s="1"/>
    </row>
    <row r="196" spans="1:17" x14ac:dyDescent="0.2">
      <c r="A196" s="1">
        <v>10295</v>
      </c>
      <c r="B196" s="1" t="s">
        <v>25</v>
      </c>
      <c r="C196" s="1" t="s">
        <v>26</v>
      </c>
      <c r="D196" s="1" t="s">
        <v>43</v>
      </c>
      <c r="E196" s="3">
        <v>80</v>
      </c>
      <c r="F196" s="3">
        <v>150</v>
      </c>
      <c r="G196" s="13">
        <v>983</v>
      </c>
      <c r="H196" s="3">
        <v>147450</v>
      </c>
      <c r="I196" s="3">
        <v>68810</v>
      </c>
      <c r="J196" s="1" t="s">
        <v>40</v>
      </c>
      <c r="K196" s="1" t="s">
        <v>29</v>
      </c>
      <c r="L196" s="1" t="s">
        <v>30</v>
      </c>
      <c r="M196" s="1">
        <v>2017</v>
      </c>
      <c r="N196" s="1" t="str">
        <f t="shared" si="3"/>
        <v>Francophone</v>
      </c>
      <c r="O196" s="3" t="str">
        <f>_xlfn.XLOOKUP(D:D,MappingTable[Brand],MappingTable[Brand Type], "not found")</f>
        <v>Malt</v>
      </c>
      <c r="P196" t="str">
        <f>_xlfn.XLOOKUP(L:L,MappingTable2[Month],MappingTable2[Quarters],"NIL")</f>
        <v>Q1</v>
      </c>
      <c r="Q196" s="1"/>
    </row>
    <row r="197" spans="1:17" x14ac:dyDescent="0.2">
      <c r="A197" s="1">
        <v>10296</v>
      </c>
      <c r="B197" s="1" t="s">
        <v>46</v>
      </c>
      <c r="C197" s="1" t="s">
        <v>47</v>
      </c>
      <c r="D197" s="1" t="s">
        <v>48</v>
      </c>
      <c r="E197" s="3">
        <v>90</v>
      </c>
      <c r="F197" s="3">
        <v>150</v>
      </c>
      <c r="G197" s="13">
        <v>729</v>
      </c>
      <c r="H197" s="3">
        <v>109350</v>
      </c>
      <c r="I197" s="3">
        <v>43740</v>
      </c>
      <c r="J197" s="1" t="s">
        <v>16</v>
      </c>
      <c r="K197" s="1" t="s">
        <v>35</v>
      </c>
      <c r="L197" s="1" t="s">
        <v>36</v>
      </c>
      <c r="M197" s="1">
        <v>2018</v>
      </c>
      <c r="N197" s="1" t="str">
        <f t="shared" si="3"/>
        <v>Anglophone</v>
      </c>
      <c r="O197" s="3" t="str">
        <f>_xlfn.XLOOKUP(D:D,MappingTable[Brand],MappingTable[Brand Type], "not found")</f>
        <v>Malt</v>
      </c>
      <c r="P197" t="str">
        <f>_xlfn.XLOOKUP(L:L,MappingTable2[Month],MappingTable2[Quarters],"NIL")</f>
        <v>Q2</v>
      </c>
      <c r="Q197" s="1"/>
    </row>
    <row r="198" spans="1:17" x14ac:dyDescent="0.2">
      <c r="A198" s="1">
        <v>10297</v>
      </c>
      <c r="B198" s="1" t="s">
        <v>37</v>
      </c>
      <c r="C198" s="1" t="s">
        <v>38</v>
      </c>
      <c r="D198" s="1" t="s">
        <v>15</v>
      </c>
      <c r="E198" s="3">
        <v>150</v>
      </c>
      <c r="F198" s="3">
        <v>200</v>
      </c>
      <c r="G198" s="13">
        <v>786</v>
      </c>
      <c r="H198" s="3">
        <v>157200</v>
      </c>
      <c r="I198" s="3">
        <v>39300</v>
      </c>
      <c r="J198" s="1" t="s">
        <v>22</v>
      </c>
      <c r="K198" s="1" t="s">
        <v>41</v>
      </c>
      <c r="L198" s="1" t="s">
        <v>42</v>
      </c>
      <c r="M198" s="1">
        <v>2017</v>
      </c>
      <c r="N198" s="1" t="str">
        <f t="shared" si="3"/>
        <v>Anglophone</v>
      </c>
      <c r="O198" s="3" t="str">
        <f>_xlfn.XLOOKUP(D:D,MappingTable[Brand],MappingTable[Brand Type], "not found")</f>
        <v>Beer</v>
      </c>
      <c r="P198" t="str">
        <f>_xlfn.XLOOKUP(L:L,MappingTable2[Month],MappingTable2[Quarters],"NIL")</f>
        <v>Q2</v>
      </c>
      <c r="Q198" s="1"/>
    </row>
    <row r="199" spans="1:17" x14ac:dyDescent="0.2">
      <c r="A199" s="1">
        <v>10298</v>
      </c>
      <c r="B199" s="1" t="s">
        <v>13</v>
      </c>
      <c r="C199" s="1" t="s">
        <v>14</v>
      </c>
      <c r="D199" s="1" t="s">
        <v>21</v>
      </c>
      <c r="E199" s="3">
        <v>250</v>
      </c>
      <c r="F199" s="3">
        <v>500</v>
      </c>
      <c r="G199" s="13">
        <v>843</v>
      </c>
      <c r="H199" s="3">
        <v>421500</v>
      </c>
      <c r="I199" s="3">
        <v>210750</v>
      </c>
      <c r="J199" s="1" t="s">
        <v>28</v>
      </c>
      <c r="K199" s="1" t="s">
        <v>44</v>
      </c>
      <c r="L199" s="1" t="s">
        <v>45</v>
      </c>
      <c r="M199" s="1">
        <v>2018</v>
      </c>
      <c r="N199" s="1" t="str">
        <f t="shared" si="3"/>
        <v>Francophone</v>
      </c>
      <c r="O199" s="3" t="str">
        <f>_xlfn.XLOOKUP(D:D,MappingTable[Brand],MappingTable[Brand Type], "not found")</f>
        <v>Beer</v>
      </c>
      <c r="P199" t="str">
        <f>_xlfn.XLOOKUP(L:L,MappingTable2[Month],MappingTable2[Quarters],"NIL")</f>
        <v>Q2</v>
      </c>
      <c r="Q199" s="1"/>
    </row>
    <row r="200" spans="1:17" x14ac:dyDescent="0.2">
      <c r="A200" s="1">
        <v>10299</v>
      </c>
      <c r="B200" s="1" t="s">
        <v>13</v>
      </c>
      <c r="C200" s="1" t="s">
        <v>14</v>
      </c>
      <c r="D200" s="1" t="s">
        <v>27</v>
      </c>
      <c r="E200" s="3">
        <v>180</v>
      </c>
      <c r="F200" s="3">
        <v>450</v>
      </c>
      <c r="G200" s="13">
        <v>897</v>
      </c>
      <c r="H200" s="3">
        <v>403650</v>
      </c>
      <c r="I200" s="3">
        <v>242190</v>
      </c>
      <c r="J200" s="1" t="s">
        <v>34</v>
      </c>
      <c r="K200" s="1" t="s">
        <v>17</v>
      </c>
      <c r="L200" s="1" t="s">
        <v>49</v>
      </c>
      <c r="M200" s="1">
        <v>2017</v>
      </c>
      <c r="N200" s="1" t="str">
        <f t="shared" si="3"/>
        <v>Francophone</v>
      </c>
      <c r="O200" s="3" t="str">
        <f>_xlfn.XLOOKUP(D:D,MappingTable[Brand],MappingTable[Brand Type], "not found")</f>
        <v>Beer</v>
      </c>
      <c r="P200" t="str">
        <f>_xlfn.XLOOKUP(L:L,MappingTable2[Month],MappingTable2[Quarters],"NIL")</f>
        <v>Q3</v>
      </c>
      <c r="Q200" s="1"/>
    </row>
    <row r="201" spans="1:17" x14ac:dyDescent="0.2">
      <c r="A201" s="1">
        <v>10300</v>
      </c>
      <c r="B201" s="1" t="s">
        <v>37</v>
      </c>
      <c r="C201" s="1" t="s">
        <v>38</v>
      </c>
      <c r="D201" s="1" t="s">
        <v>33</v>
      </c>
      <c r="E201" s="3">
        <v>170</v>
      </c>
      <c r="F201" s="3">
        <v>250</v>
      </c>
      <c r="G201" s="13">
        <v>733</v>
      </c>
      <c r="H201" s="3">
        <v>183250</v>
      </c>
      <c r="I201" s="3">
        <v>58640</v>
      </c>
      <c r="J201" s="1" t="s">
        <v>40</v>
      </c>
      <c r="K201" s="1" t="s">
        <v>23</v>
      </c>
      <c r="L201" s="1" t="s">
        <v>50</v>
      </c>
      <c r="M201" s="1">
        <v>2018</v>
      </c>
      <c r="N201" s="1" t="str">
        <f t="shared" si="3"/>
        <v>Francophone</v>
      </c>
      <c r="O201" s="3" t="str">
        <f>_xlfn.XLOOKUP(D:D,MappingTable[Brand],MappingTable[Brand Type], "not found")</f>
        <v>Beer</v>
      </c>
      <c r="P201" t="str">
        <f>_xlfn.XLOOKUP(L:L,MappingTable2[Month],MappingTable2[Quarters],"NIL")</f>
        <v>Q3</v>
      </c>
      <c r="Q201" s="1"/>
    </row>
    <row r="202" spans="1:17" x14ac:dyDescent="0.2">
      <c r="A202" s="1">
        <v>10301</v>
      </c>
      <c r="B202" s="1" t="s">
        <v>13</v>
      </c>
      <c r="C202" s="1" t="s">
        <v>14</v>
      </c>
      <c r="D202" s="1" t="s">
        <v>39</v>
      </c>
      <c r="E202" s="3">
        <v>150</v>
      </c>
      <c r="F202" s="3">
        <v>200</v>
      </c>
      <c r="G202" s="13">
        <v>939</v>
      </c>
      <c r="H202" s="3">
        <v>187800</v>
      </c>
      <c r="I202" s="3">
        <v>46950</v>
      </c>
      <c r="J202" s="1" t="s">
        <v>16</v>
      </c>
      <c r="K202" s="1" t="s">
        <v>29</v>
      </c>
      <c r="L202" s="1" t="s">
        <v>53</v>
      </c>
      <c r="M202" s="1">
        <v>2019</v>
      </c>
      <c r="N202" s="1" t="str">
        <f t="shared" si="3"/>
        <v>Anglophone</v>
      </c>
      <c r="O202" s="3" t="str">
        <f>_xlfn.XLOOKUP(D:D,MappingTable[Brand],MappingTable[Brand Type], "not found")</f>
        <v>Beer</v>
      </c>
      <c r="P202" t="str">
        <f>_xlfn.XLOOKUP(L:L,MappingTable2[Month],MappingTable2[Quarters],"NIL")</f>
        <v>Q3</v>
      </c>
      <c r="Q202" s="1"/>
    </row>
    <row r="203" spans="1:17" x14ac:dyDescent="0.2">
      <c r="A203" s="1">
        <v>10302</v>
      </c>
      <c r="B203" s="1" t="s">
        <v>19</v>
      </c>
      <c r="C203" s="1" t="s">
        <v>20</v>
      </c>
      <c r="D203" s="1" t="s">
        <v>43</v>
      </c>
      <c r="E203" s="3">
        <v>80</v>
      </c>
      <c r="F203" s="3">
        <v>150</v>
      </c>
      <c r="G203" s="13">
        <v>836</v>
      </c>
      <c r="H203" s="3">
        <v>125400</v>
      </c>
      <c r="I203" s="3">
        <v>58520</v>
      </c>
      <c r="J203" s="1" t="s">
        <v>22</v>
      </c>
      <c r="K203" s="1" t="s">
        <v>35</v>
      </c>
      <c r="L203" s="1" t="s">
        <v>56</v>
      </c>
      <c r="M203" s="1">
        <v>2017</v>
      </c>
      <c r="N203" s="1" t="str">
        <f t="shared" si="3"/>
        <v>Anglophone</v>
      </c>
      <c r="O203" s="3" t="str">
        <f>_xlfn.XLOOKUP(D:D,MappingTable[Brand],MappingTable[Brand Type], "not found")</f>
        <v>Malt</v>
      </c>
      <c r="P203" t="str">
        <f>_xlfn.XLOOKUP(L:L,MappingTable2[Month],MappingTable2[Quarters],"NIL")</f>
        <v>Q4</v>
      </c>
      <c r="Q203" s="1"/>
    </row>
    <row r="204" spans="1:17" x14ac:dyDescent="0.2">
      <c r="A204" s="1">
        <v>10303</v>
      </c>
      <c r="B204" s="1" t="s">
        <v>25</v>
      </c>
      <c r="C204" s="1" t="s">
        <v>26</v>
      </c>
      <c r="D204" s="1" t="s">
        <v>48</v>
      </c>
      <c r="E204" s="3">
        <v>90</v>
      </c>
      <c r="F204" s="3">
        <v>150</v>
      </c>
      <c r="G204" s="13">
        <v>874</v>
      </c>
      <c r="H204" s="3">
        <v>131100</v>
      </c>
      <c r="I204" s="3">
        <v>52440</v>
      </c>
      <c r="J204" s="1" t="s">
        <v>28</v>
      </c>
      <c r="K204" s="1" t="s">
        <v>41</v>
      </c>
      <c r="L204" s="1" t="s">
        <v>59</v>
      </c>
      <c r="M204" s="1">
        <v>2018</v>
      </c>
      <c r="N204" s="1" t="str">
        <f t="shared" si="3"/>
        <v>Francophone</v>
      </c>
      <c r="O204" s="3" t="str">
        <f>_xlfn.XLOOKUP(D:D,MappingTable[Brand],MappingTable[Brand Type], "not found")</f>
        <v>Malt</v>
      </c>
      <c r="P204" t="str">
        <f>_xlfn.XLOOKUP(L:L,MappingTable2[Month],MappingTable2[Quarters],"NIL")</f>
        <v>Q4</v>
      </c>
      <c r="Q204" s="1"/>
    </row>
    <row r="205" spans="1:17" x14ac:dyDescent="0.2">
      <c r="A205" s="1">
        <v>10304</v>
      </c>
      <c r="B205" s="1" t="s">
        <v>31</v>
      </c>
      <c r="C205" s="1" t="s">
        <v>32</v>
      </c>
      <c r="D205" s="1" t="s">
        <v>15</v>
      </c>
      <c r="E205" s="3">
        <v>150</v>
      </c>
      <c r="F205" s="3">
        <v>200</v>
      </c>
      <c r="G205" s="13">
        <v>764</v>
      </c>
      <c r="H205" s="3">
        <v>152800</v>
      </c>
      <c r="I205" s="3">
        <v>38200</v>
      </c>
      <c r="J205" s="1" t="s">
        <v>34</v>
      </c>
      <c r="K205" s="1" t="s">
        <v>44</v>
      </c>
      <c r="L205" s="1" t="s">
        <v>60</v>
      </c>
      <c r="M205" s="1">
        <v>2018</v>
      </c>
      <c r="N205" s="1" t="str">
        <f t="shared" si="3"/>
        <v>Francophone</v>
      </c>
      <c r="O205" s="3" t="str">
        <f>_xlfn.XLOOKUP(D:D,MappingTable[Brand],MappingTable[Brand Type], "not found")</f>
        <v>Beer</v>
      </c>
      <c r="P205" t="str">
        <f>_xlfn.XLOOKUP(L:L,MappingTable2[Month],MappingTable2[Quarters],"NIL")</f>
        <v>Q4</v>
      </c>
      <c r="Q205" s="1"/>
    </row>
    <row r="206" spans="1:17" x14ac:dyDescent="0.2">
      <c r="A206" s="1">
        <v>10305</v>
      </c>
      <c r="B206" s="1" t="s">
        <v>37</v>
      </c>
      <c r="C206" s="1" t="s">
        <v>38</v>
      </c>
      <c r="D206" s="1" t="s">
        <v>21</v>
      </c>
      <c r="E206" s="3">
        <v>250</v>
      </c>
      <c r="F206" s="3">
        <v>500</v>
      </c>
      <c r="G206" s="13">
        <v>920</v>
      </c>
      <c r="H206" s="3">
        <v>460000</v>
      </c>
      <c r="I206" s="3">
        <v>230000</v>
      </c>
      <c r="J206" s="1" t="s">
        <v>40</v>
      </c>
      <c r="K206" s="1" t="s">
        <v>17</v>
      </c>
      <c r="L206" s="1" t="s">
        <v>18</v>
      </c>
      <c r="M206" s="1">
        <v>2019</v>
      </c>
      <c r="N206" s="1" t="str">
        <f t="shared" si="3"/>
        <v>Francophone</v>
      </c>
      <c r="O206" s="3" t="str">
        <f>_xlfn.XLOOKUP(D:D,MappingTable[Brand],MappingTable[Brand Type], "not found")</f>
        <v>Beer</v>
      </c>
      <c r="P206" t="str">
        <f>_xlfn.XLOOKUP(L:L,MappingTable2[Month],MappingTable2[Quarters],"NIL")</f>
        <v>Q1</v>
      </c>
      <c r="Q206" s="1"/>
    </row>
    <row r="207" spans="1:17" x14ac:dyDescent="0.2">
      <c r="A207" s="1">
        <v>10306</v>
      </c>
      <c r="B207" s="1" t="s">
        <v>13</v>
      </c>
      <c r="C207" s="1" t="s">
        <v>14</v>
      </c>
      <c r="D207" s="1" t="s">
        <v>27</v>
      </c>
      <c r="E207" s="3">
        <v>180</v>
      </c>
      <c r="F207" s="3">
        <v>450</v>
      </c>
      <c r="G207" s="13">
        <v>950</v>
      </c>
      <c r="H207" s="3">
        <v>427500</v>
      </c>
      <c r="I207" s="3">
        <v>256500</v>
      </c>
      <c r="J207" s="1" t="s">
        <v>16</v>
      </c>
      <c r="K207" s="1" t="s">
        <v>23</v>
      </c>
      <c r="L207" s="1" t="s">
        <v>24</v>
      </c>
      <c r="M207" s="1">
        <v>2017</v>
      </c>
      <c r="N207" s="1" t="str">
        <f t="shared" si="3"/>
        <v>Anglophone</v>
      </c>
      <c r="O207" s="3" t="str">
        <f>_xlfn.XLOOKUP(D:D,MappingTable[Brand],MappingTable[Brand Type], "not found")</f>
        <v>Beer</v>
      </c>
      <c r="P207" t="str">
        <f>_xlfn.XLOOKUP(L:L,MappingTable2[Month],MappingTable2[Quarters],"NIL")</f>
        <v>Q1</v>
      </c>
      <c r="Q207" s="1"/>
    </row>
    <row r="208" spans="1:17" x14ac:dyDescent="0.2">
      <c r="A208" s="1">
        <v>10307</v>
      </c>
      <c r="B208" s="1" t="s">
        <v>46</v>
      </c>
      <c r="C208" s="1" t="s">
        <v>47</v>
      </c>
      <c r="D208" s="1" t="s">
        <v>33</v>
      </c>
      <c r="E208" s="3">
        <v>170</v>
      </c>
      <c r="F208" s="3">
        <v>250</v>
      </c>
      <c r="G208" s="13">
        <v>841</v>
      </c>
      <c r="H208" s="3">
        <v>210250</v>
      </c>
      <c r="I208" s="3">
        <v>67280</v>
      </c>
      <c r="J208" s="1" t="s">
        <v>22</v>
      </c>
      <c r="K208" s="1" t="s">
        <v>29</v>
      </c>
      <c r="L208" s="1" t="s">
        <v>30</v>
      </c>
      <c r="M208" s="1">
        <v>2017</v>
      </c>
      <c r="N208" s="1" t="str">
        <f t="shared" si="3"/>
        <v>Anglophone</v>
      </c>
      <c r="O208" s="3" t="str">
        <f>_xlfn.XLOOKUP(D:D,MappingTable[Brand],MappingTable[Brand Type], "not found")</f>
        <v>Beer</v>
      </c>
      <c r="P208" t="str">
        <f>_xlfn.XLOOKUP(L:L,MappingTable2[Month],MappingTable2[Quarters],"NIL")</f>
        <v>Q1</v>
      </c>
      <c r="Q208" s="1"/>
    </row>
    <row r="209" spans="1:17" x14ac:dyDescent="0.2">
      <c r="A209" s="1">
        <v>10308</v>
      </c>
      <c r="B209" s="1" t="s">
        <v>31</v>
      </c>
      <c r="C209" s="1" t="s">
        <v>32</v>
      </c>
      <c r="D209" s="1" t="s">
        <v>39</v>
      </c>
      <c r="E209" s="3">
        <v>150</v>
      </c>
      <c r="F209" s="3">
        <v>200</v>
      </c>
      <c r="G209" s="13">
        <v>801</v>
      </c>
      <c r="H209" s="3">
        <v>160200</v>
      </c>
      <c r="I209" s="3">
        <v>40050</v>
      </c>
      <c r="J209" s="1" t="s">
        <v>28</v>
      </c>
      <c r="K209" s="1" t="s">
        <v>35</v>
      </c>
      <c r="L209" s="1" t="s">
        <v>36</v>
      </c>
      <c r="M209" s="1">
        <v>2017</v>
      </c>
      <c r="N209" s="1" t="str">
        <f t="shared" si="3"/>
        <v>Francophone</v>
      </c>
      <c r="O209" s="3" t="str">
        <f>_xlfn.XLOOKUP(D:D,MappingTable[Brand],MappingTable[Brand Type], "not found")</f>
        <v>Beer</v>
      </c>
      <c r="P209" t="str">
        <f>_xlfn.XLOOKUP(L:L,MappingTable2[Month],MappingTable2[Quarters],"NIL")</f>
        <v>Q2</v>
      </c>
      <c r="Q209" s="1"/>
    </row>
    <row r="210" spans="1:17" x14ac:dyDescent="0.2">
      <c r="A210" s="1">
        <v>10309</v>
      </c>
      <c r="B210" s="1" t="s">
        <v>51</v>
      </c>
      <c r="C210" s="1" t="s">
        <v>52</v>
      </c>
      <c r="D210" s="1" t="s">
        <v>43</v>
      </c>
      <c r="E210" s="3">
        <v>80</v>
      </c>
      <c r="F210" s="3">
        <v>150</v>
      </c>
      <c r="G210" s="13">
        <v>867</v>
      </c>
      <c r="H210" s="3">
        <v>130050</v>
      </c>
      <c r="I210" s="3">
        <v>60690</v>
      </c>
      <c r="J210" s="1" t="s">
        <v>34</v>
      </c>
      <c r="K210" s="1" t="s">
        <v>41</v>
      </c>
      <c r="L210" s="1" t="s">
        <v>42</v>
      </c>
      <c r="M210" s="1">
        <v>2018</v>
      </c>
      <c r="N210" s="1" t="str">
        <f t="shared" si="3"/>
        <v>Francophone</v>
      </c>
      <c r="O210" s="3" t="str">
        <f>_xlfn.XLOOKUP(D:D,MappingTable[Brand],MappingTable[Brand Type], "not found")</f>
        <v>Malt</v>
      </c>
      <c r="P210" t="str">
        <f>_xlfn.XLOOKUP(L:L,MappingTable2[Month],MappingTable2[Quarters],"NIL")</f>
        <v>Q2</v>
      </c>
      <c r="Q210" s="1"/>
    </row>
    <row r="211" spans="1:17" x14ac:dyDescent="0.2">
      <c r="A211" s="1">
        <v>10310</v>
      </c>
      <c r="B211" s="1" t="s">
        <v>54</v>
      </c>
      <c r="C211" s="1" t="s">
        <v>55</v>
      </c>
      <c r="D211" s="1" t="s">
        <v>48</v>
      </c>
      <c r="E211" s="3">
        <v>90</v>
      </c>
      <c r="F211" s="3">
        <v>150</v>
      </c>
      <c r="G211" s="13">
        <v>721</v>
      </c>
      <c r="H211" s="3">
        <v>108150</v>
      </c>
      <c r="I211" s="3">
        <v>43260</v>
      </c>
      <c r="J211" s="1" t="s">
        <v>40</v>
      </c>
      <c r="K211" s="1" t="s">
        <v>44</v>
      </c>
      <c r="L211" s="1" t="s">
        <v>45</v>
      </c>
      <c r="M211" s="1">
        <v>2017</v>
      </c>
      <c r="N211" s="1" t="str">
        <f t="shared" si="3"/>
        <v>Francophone</v>
      </c>
      <c r="O211" s="3" t="str">
        <f>_xlfn.XLOOKUP(D:D,MappingTable[Brand],MappingTable[Brand Type], "not found")</f>
        <v>Malt</v>
      </c>
      <c r="P211" t="str">
        <f>_xlfn.XLOOKUP(L:L,MappingTable2[Month],MappingTable2[Quarters],"NIL")</f>
        <v>Q2</v>
      </c>
      <c r="Q211" s="1"/>
    </row>
    <row r="212" spans="1:17" x14ac:dyDescent="0.2">
      <c r="A212" s="1">
        <v>10311</v>
      </c>
      <c r="B212" s="1" t="s">
        <v>57</v>
      </c>
      <c r="C212" s="1" t="s">
        <v>58</v>
      </c>
      <c r="D212" s="1" t="s">
        <v>15</v>
      </c>
      <c r="E212" s="3">
        <v>150</v>
      </c>
      <c r="F212" s="3">
        <v>200</v>
      </c>
      <c r="G212" s="13">
        <v>755</v>
      </c>
      <c r="H212" s="3">
        <v>151000</v>
      </c>
      <c r="I212" s="3">
        <v>37750</v>
      </c>
      <c r="J212" s="1" t="s">
        <v>16</v>
      </c>
      <c r="K212" s="1" t="s">
        <v>17</v>
      </c>
      <c r="L212" s="1" t="s">
        <v>49</v>
      </c>
      <c r="M212" s="1">
        <v>2017</v>
      </c>
      <c r="N212" s="1" t="str">
        <f t="shared" si="3"/>
        <v>Anglophone</v>
      </c>
      <c r="O212" s="3" t="str">
        <f>_xlfn.XLOOKUP(D:D,MappingTable[Brand],MappingTable[Brand Type], "not found")</f>
        <v>Beer</v>
      </c>
      <c r="P212" t="str">
        <f>_xlfn.XLOOKUP(L:L,MappingTable2[Month],MappingTable2[Quarters],"NIL")</f>
        <v>Q3</v>
      </c>
      <c r="Q212" s="1"/>
    </row>
    <row r="213" spans="1:17" x14ac:dyDescent="0.2">
      <c r="A213" s="1">
        <v>10312</v>
      </c>
      <c r="B213" s="1" t="s">
        <v>31</v>
      </c>
      <c r="C213" s="1" t="s">
        <v>32</v>
      </c>
      <c r="D213" s="1" t="s">
        <v>21</v>
      </c>
      <c r="E213" s="3">
        <v>250</v>
      </c>
      <c r="F213" s="3">
        <v>500</v>
      </c>
      <c r="G213" s="13">
        <v>937</v>
      </c>
      <c r="H213" s="3">
        <v>468500</v>
      </c>
      <c r="I213" s="3">
        <v>234250</v>
      </c>
      <c r="J213" s="1" t="s">
        <v>22</v>
      </c>
      <c r="K213" s="1" t="s">
        <v>23</v>
      </c>
      <c r="L213" s="1" t="s">
        <v>50</v>
      </c>
      <c r="M213" s="1">
        <v>2018</v>
      </c>
      <c r="N213" s="1" t="str">
        <f t="shared" si="3"/>
        <v>Anglophone</v>
      </c>
      <c r="O213" s="3" t="str">
        <f>_xlfn.XLOOKUP(D:D,MappingTable[Brand],MappingTable[Brand Type], "not found")</f>
        <v>Beer</v>
      </c>
      <c r="P213" t="str">
        <f>_xlfn.XLOOKUP(L:L,MappingTable2[Month],MappingTable2[Quarters],"NIL")</f>
        <v>Q3</v>
      </c>
      <c r="Q213" s="1"/>
    </row>
    <row r="214" spans="1:17" x14ac:dyDescent="0.2">
      <c r="A214" s="1">
        <v>10313</v>
      </c>
      <c r="B214" s="1" t="s">
        <v>61</v>
      </c>
      <c r="C214" s="1" t="s">
        <v>62</v>
      </c>
      <c r="D214" s="1" t="s">
        <v>27</v>
      </c>
      <c r="E214" s="3">
        <v>180</v>
      </c>
      <c r="F214" s="3">
        <v>450</v>
      </c>
      <c r="G214" s="13">
        <v>865</v>
      </c>
      <c r="H214" s="3">
        <v>389250</v>
      </c>
      <c r="I214" s="3">
        <v>233550</v>
      </c>
      <c r="J214" s="1" t="s">
        <v>28</v>
      </c>
      <c r="K214" s="1" t="s">
        <v>29</v>
      </c>
      <c r="L214" s="1" t="s">
        <v>53</v>
      </c>
      <c r="M214" s="1">
        <v>2017</v>
      </c>
      <c r="N214" s="1" t="str">
        <f t="shared" si="3"/>
        <v>Francophone</v>
      </c>
      <c r="O214" s="3" t="str">
        <f>_xlfn.XLOOKUP(D:D,MappingTable[Brand],MappingTable[Brand Type], "not found")</f>
        <v>Beer</v>
      </c>
      <c r="P214" t="str">
        <f>_xlfn.XLOOKUP(L:L,MappingTable2[Month],MappingTable2[Quarters],"NIL")</f>
        <v>Q3</v>
      </c>
      <c r="Q214" s="1"/>
    </row>
    <row r="215" spans="1:17" x14ac:dyDescent="0.2">
      <c r="A215" s="1">
        <v>10314</v>
      </c>
      <c r="B215" s="1" t="s">
        <v>31</v>
      </c>
      <c r="C215" s="1" t="s">
        <v>32</v>
      </c>
      <c r="D215" s="1" t="s">
        <v>33</v>
      </c>
      <c r="E215" s="3">
        <v>170</v>
      </c>
      <c r="F215" s="3">
        <v>250</v>
      </c>
      <c r="G215" s="13">
        <v>736</v>
      </c>
      <c r="H215" s="3">
        <v>184000</v>
      </c>
      <c r="I215" s="3">
        <v>58880</v>
      </c>
      <c r="J215" s="1" t="s">
        <v>34</v>
      </c>
      <c r="K215" s="1" t="s">
        <v>35</v>
      </c>
      <c r="L215" s="1" t="s">
        <v>56</v>
      </c>
      <c r="M215" s="1">
        <v>2018</v>
      </c>
      <c r="N215" s="1" t="str">
        <f t="shared" si="3"/>
        <v>Francophone</v>
      </c>
      <c r="O215" s="3" t="str">
        <f>_xlfn.XLOOKUP(D:D,MappingTable[Brand],MappingTable[Brand Type], "not found")</f>
        <v>Beer</v>
      </c>
      <c r="P215" t="str">
        <f>_xlfn.XLOOKUP(L:L,MappingTable2[Month],MappingTable2[Quarters],"NIL")</f>
        <v>Q4</v>
      </c>
      <c r="Q215" s="1"/>
    </row>
    <row r="216" spans="1:17" x14ac:dyDescent="0.2">
      <c r="A216" s="1">
        <v>10315</v>
      </c>
      <c r="B216" s="1" t="s">
        <v>13</v>
      </c>
      <c r="C216" s="1" t="s">
        <v>14</v>
      </c>
      <c r="D216" s="1" t="s">
        <v>39</v>
      </c>
      <c r="E216" s="3">
        <v>150</v>
      </c>
      <c r="F216" s="3">
        <v>200</v>
      </c>
      <c r="G216" s="13">
        <v>982</v>
      </c>
      <c r="H216" s="3">
        <v>196400</v>
      </c>
      <c r="I216" s="3">
        <v>49100</v>
      </c>
      <c r="J216" s="1" t="s">
        <v>40</v>
      </c>
      <c r="K216" s="1" t="s">
        <v>41</v>
      </c>
      <c r="L216" s="1" t="s">
        <v>59</v>
      </c>
      <c r="M216" s="1">
        <v>2017</v>
      </c>
      <c r="N216" s="1" t="str">
        <f t="shared" si="3"/>
        <v>Francophone</v>
      </c>
      <c r="O216" s="3" t="str">
        <f>_xlfn.XLOOKUP(D:D,MappingTable[Brand],MappingTable[Brand Type], "not found")</f>
        <v>Beer</v>
      </c>
      <c r="P216" t="str">
        <f>_xlfn.XLOOKUP(L:L,MappingTable2[Month],MappingTable2[Quarters],"NIL")</f>
        <v>Q4</v>
      </c>
      <c r="Q216" s="1"/>
    </row>
    <row r="217" spans="1:17" x14ac:dyDescent="0.2">
      <c r="A217" s="1">
        <v>10316</v>
      </c>
      <c r="B217" s="1" t="s">
        <v>19</v>
      </c>
      <c r="C217" s="1" t="s">
        <v>20</v>
      </c>
      <c r="D217" s="1" t="s">
        <v>43</v>
      </c>
      <c r="E217" s="3">
        <v>80</v>
      </c>
      <c r="F217" s="3">
        <v>150</v>
      </c>
      <c r="G217" s="13">
        <v>850</v>
      </c>
      <c r="H217" s="3">
        <v>127500</v>
      </c>
      <c r="I217" s="3">
        <v>59500</v>
      </c>
      <c r="J217" s="1" t="s">
        <v>16</v>
      </c>
      <c r="K217" s="1" t="s">
        <v>44</v>
      </c>
      <c r="L217" s="1" t="s">
        <v>60</v>
      </c>
      <c r="M217" s="1">
        <v>2017</v>
      </c>
      <c r="N217" s="1" t="str">
        <f t="shared" si="3"/>
        <v>Anglophone</v>
      </c>
      <c r="O217" s="3" t="str">
        <f>_xlfn.XLOOKUP(D:D,MappingTable[Brand],MappingTable[Brand Type], "not found")</f>
        <v>Malt</v>
      </c>
      <c r="P217" t="str">
        <f>_xlfn.XLOOKUP(L:L,MappingTable2[Month],MappingTable2[Quarters],"NIL")</f>
        <v>Q4</v>
      </c>
      <c r="Q217" s="1"/>
    </row>
    <row r="218" spans="1:17" x14ac:dyDescent="0.2">
      <c r="A218" s="1">
        <v>10317</v>
      </c>
      <c r="B218" s="1" t="s">
        <v>25</v>
      </c>
      <c r="C218" s="1" t="s">
        <v>26</v>
      </c>
      <c r="D218" s="1" t="s">
        <v>48</v>
      </c>
      <c r="E218" s="3">
        <v>90</v>
      </c>
      <c r="F218" s="3">
        <v>150</v>
      </c>
      <c r="G218" s="13">
        <v>754</v>
      </c>
      <c r="H218" s="3">
        <v>113100</v>
      </c>
      <c r="I218" s="3">
        <v>45240</v>
      </c>
      <c r="J218" s="1" t="s">
        <v>22</v>
      </c>
      <c r="K218" s="1" t="s">
        <v>17</v>
      </c>
      <c r="L218" s="1" t="s">
        <v>18</v>
      </c>
      <c r="M218" s="1">
        <v>2017</v>
      </c>
      <c r="N218" s="1" t="str">
        <f t="shared" si="3"/>
        <v>Anglophone</v>
      </c>
      <c r="O218" s="3" t="str">
        <f>_xlfn.XLOOKUP(D:D,MappingTable[Brand],MappingTable[Brand Type], "not found")</f>
        <v>Malt</v>
      </c>
      <c r="P218" t="str">
        <f>_xlfn.XLOOKUP(L:L,MappingTable2[Month],MappingTable2[Quarters],"NIL")</f>
        <v>Q1</v>
      </c>
      <c r="Q218" s="1"/>
    </row>
    <row r="219" spans="1:17" x14ac:dyDescent="0.2">
      <c r="A219" s="1">
        <v>10318</v>
      </c>
      <c r="B219" s="1" t="s">
        <v>31</v>
      </c>
      <c r="C219" s="1" t="s">
        <v>32</v>
      </c>
      <c r="D219" s="1" t="s">
        <v>15</v>
      </c>
      <c r="E219" s="3">
        <v>150</v>
      </c>
      <c r="F219" s="3">
        <v>200</v>
      </c>
      <c r="G219" s="13">
        <v>912</v>
      </c>
      <c r="H219" s="3">
        <v>182400</v>
      </c>
      <c r="I219" s="3">
        <v>45600</v>
      </c>
      <c r="J219" s="1" t="s">
        <v>28</v>
      </c>
      <c r="K219" s="1" t="s">
        <v>23</v>
      </c>
      <c r="L219" s="1" t="s">
        <v>24</v>
      </c>
      <c r="M219" s="1">
        <v>2018</v>
      </c>
      <c r="N219" s="1" t="str">
        <f t="shared" si="3"/>
        <v>Francophone</v>
      </c>
      <c r="O219" s="3" t="str">
        <f>_xlfn.XLOOKUP(D:D,MappingTable[Brand],MappingTable[Brand Type], "not found")</f>
        <v>Beer</v>
      </c>
      <c r="P219" t="str">
        <f>_xlfn.XLOOKUP(L:L,MappingTable2[Month],MappingTable2[Quarters],"NIL")</f>
        <v>Q1</v>
      </c>
      <c r="Q219" s="1"/>
    </row>
    <row r="220" spans="1:17" x14ac:dyDescent="0.2">
      <c r="A220" s="1">
        <v>10319</v>
      </c>
      <c r="B220" s="1" t="s">
        <v>37</v>
      </c>
      <c r="C220" s="1" t="s">
        <v>38</v>
      </c>
      <c r="D220" s="1" t="s">
        <v>21</v>
      </c>
      <c r="E220" s="3">
        <v>250</v>
      </c>
      <c r="F220" s="3">
        <v>500</v>
      </c>
      <c r="G220" s="13">
        <v>881</v>
      </c>
      <c r="H220" s="3">
        <v>440500</v>
      </c>
      <c r="I220" s="3">
        <v>220250</v>
      </c>
      <c r="J220" s="1" t="s">
        <v>34</v>
      </c>
      <c r="K220" s="1" t="s">
        <v>29</v>
      </c>
      <c r="L220" s="1" t="s">
        <v>30</v>
      </c>
      <c r="M220" s="1">
        <v>2017</v>
      </c>
      <c r="N220" s="1" t="str">
        <f t="shared" si="3"/>
        <v>Francophone</v>
      </c>
      <c r="O220" s="3" t="str">
        <f>_xlfn.XLOOKUP(D:D,MappingTable[Brand],MappingTable[Brand Type], "not found")</f>
        <v>Beer</v>
      </c>
      <c r="P220" t="str">
        <f>_xlfn.XLOOKUP(L:L,MappingTable2[Month],MappingTable2[Quarters],"NIL")</f>
        <v>Q1</v>
      </c>
      <c r="Q220" s="1"/>
    </row>
    <row r="221" spans="1:17" x14ac:dyDescent="0.2">
      <c r="A221" s="1">
        <v>10320</v>
      </c>
      <c r="B221" s="1" t="s">
        <v>13</v>
      </c>
      <c r="C221" s="1" t="s">
        <v>14</v>
      </c>
      <c r="D221" s="1" t="s">
        <v>27</v>
      </c>
      <c r="E221" s="3">
        <v>180</v>
      </c>
      <c r="F221" s="3">
        <v>450</v>
      </c>
      <c r="G221" s="13">
        <v>818</v>
      </c>
      <c r="H221" s="3">
        <v>368100</v>
      </c>
      <c r="I221" s="3">
        <v>220860</v>
      </c>
      <c r="J221" s="1" t="s">
        <v>40</v>
      </c>
      <c r="K221" s="1" t="s">
        <v>35</v>
      </c>
      <c r="L221" s="1" t="s">
        <v>36</v>
      </c>
      <c r="M221" s="1">
        <v>2017</v>
      </c>
      <c r="N221" s="1" t="str">
        <f t="shared" si="3"/>
        <v>Francophone</v>
      </c>
      <c r="O221" s="3" t="str">
        <f>_xlfn.XLOOKUP(D:D,MappingTable[Brand],MappingTable[Brand Type], "not found")</f>
        <v>Beer</v>
      </c>
      <c r="P221" t="str">
        <f>_xlfn.XLOOKUP(L:L,MappingTable2[Month],MappingTable2[Quarters],"NIL")</f>
        <v>Q2</v>
      </c>
      <c r="Q221" s="1"/>
    </row>
    <row r="222" spans="1:17" x14ac:dyDescent="0.2">
      <c r="A222" s="1">
        <v>10321</v>
      </c>
      <c r="B222" s="1" t="s">
        <v>46</v>
      </c>
      <c r="C222" s="1" t="s">
        <v>47</v>
      </c>
      <c r="D222" s="1" t="s">
        <v>33</v>
      </c>
      <c r="E222" s="3">
        <v>170</v>
      </c>
      <c r="F222" s="3">
        <v>250</v>
      </c>
      <c r="G222" s="13">
        <v>781</v>
      </c>
      <c r="H222" s="3">
        <v>195250</v>
      </c>
      <c r="I222" s="3">
        <v>62480</v>
      </c>
      <c r="J222" s="1" t="s">
        <v>16</v>
      </c>
      <c r="K222" s="1" t="s">
        <v>41</v>
      </c>
      <c r="L222" s="1" t="s">
        <v>42</v>
      </c>
      <c r="M222" s="1">
        <v>2017</v>
      </c>
      <c r="N222" s="1" t="str">
        <f t="shared" si="3"/>
        <v>Anglophone</v>
      </c>
      <c r="O222" s="3" t="str">
        <f>_xlfn.XLOOKUP(D:D,MappingTable[Brand],MappingTable[Brand Type], "not found")</f>
        <v>Beer</v>
      </c>
      <c r="P222" t="str">
        <f>_xlfn.XLOOKUP(L:L,MappingTable2[Month],MappingTable2[Quarters],"NIL")</f>
        <v>Q2</v>
      </c>
      <c r="Q222" s="1"/>
    </row>
    <row r="223" spans="1:17" x14ac:dyDescent="0.2">
      <c r="A223" s="1">
        <v>10322</v>
      </c>
      <c r="B223" s="1" t="s">
        <v>31</v>
      </c>
      <c r="C223" s="1" t="s">
        <v>32</v>
      </c>
      <c r="D223" s="1" t="s">
        <v>39</v>
      </c>
      <c r="E223" s="3">
        <v>150</v>
      </c>
      <c r="F223" s="3">
        <v>200</v>
      </c>
      <c r="G223" s="13">
        <v>910</v>
      </c>
      <c r="H223" s="3">
        <v>182000</v>
      </c>
      <c r="I223" s="3">
        <v>45500</v>
      </c>
      <c r="J223" s="1" t="s">
        <v>22</v>
      </c>
      <c r="K223" s="1" t="s">
        <v>44</v>
      </c>
      <c r="L223" s="1" t="s">
        <v>45</v>
      </c>
      <c r="M223" s="1">
        <v>2018</v>
      </c>
      <c r="N223" s="1" t="str">
        <f t="shared" si="3"/>
        <v>Anglophone</v>
      </c>
      <c r="O223" s="3" t="str">
        <f>_xlfn.XLOOKUP(D:D,MappingTable[Brand],MappingTable[Brand Type], "not found")</f>
        <v>Beer</v>
      </c>
      <c r="P223" t="str">
        <f>_xlfn.XLOOKUP(L:L,MappingTable2[Month],MappingTable2[Quarters],"NIL")</f>
        <v>Q2</v>
      </c>
      <c r="Q223" s="1"/>
    </row>
    <row r="224" spans="1:17" x14ac:dyDescent="0.2">
      <c r="A224" s="1">
        <v>10323</v>
      </c>
      <c r="B224" s="1" t="s">
        <v>51</v>
      </c>
      <c r="C224" s="1" t="s">
        <v>52</v>
      </c>
      <c r="D224" s="1" t="s">
        <v>43</v>
      </c>
      <c r="E224" s="3">
        <v>80</v>
      </c>
      <c r="F224" s="3">
        <v>150</v>
      </c>
      <c r="G224" s="13">
        <v>704</v>
      </c>
      <c r="H224" s="3">
        <v>105600</v>
      </c>
      <c r="I224" s="3">
        <v>49280</v>
      </c>
      <c r="J224" s="1" t="s">
        <v>28</v>
      </c>
      <c r="K224" s="1" t="s">
        <v>17</v>
      </c>
      <c r="L224" s="1" t="s">
        <v>49</v>
      </c>
      <c r="M224" s="1">
        <v>2019</v>
      </c>
      <c r="N224" s="1" t="str">
        <f t="shared" si="3"/>
        <v>Francophone</v>
      </c>
      <c r="O224" s="3" t="str">
        <f>_xlfn.XLOOKUP(D:D,MappingTable[Brand],MappingTable[Brand Type], "not found")</f>
        <v>Malt</v>
      </c>
      <c r="P224" t="str">
        <f>_xlfn.XLOOKUP(L:L,MappingTable2[Month],MappingTable2[Quarters],"NIL")</f>
        <v>Q3</v>
      </c>
      <c r="Q224" s="1"/>
    </row>
    <row r="225" spans="1:17" x14ac:dyDescent="0.2">
      <c r="A225" s="1">
        <v>10324</v>
      </c>
      <c r="B225" s="1" t="s">
        <v>54</v>
      </c>
      <c r="C225" s="1" t="s">
        <v>55</v>
      </c>
      <c r="D225" s="1" t="s">
        <v>48</v>
      </c>
      <c r="E225" s="3">
        <v>90</v>
      </c>
      <c r="F225" s="3">
        <v>150</v>
      </c>
      <c r="G225" s="13">
        <v>824</v>
      </c>
      <c r="H225" s="3">
        <v>123600</v>
      </c>
      <c r="I225" s="3">
        <v>49440</v>
      </c>
      <c r="J225" s="1" t="s">
        <v>34</v>
      </c>
      <c r="K225" s="1" t="s">
        <v>23</v>
      </c>
      <c r="L225" s="1" t="s">
        <v>50</v>
      </c>
      <c r="M225" s="1">
        <v>2018</v>
      </c>
      <c r="N225" s="1" t="str">
        <f t="shared" si="3"/>
        <v>Francophone</v>
      </c>
      <c r="O225" s="3" t="str">
        <f>_xlfn.XLOOKUP(D:D,MappingTable[Brand],MappingTable[Brand Type], "not found")</f>
        <v>Malt</v>
      </c>
      <c r="P225" t="str">
        <f>_xlfn.XLOOKUP(L:L,MappingTable2[Month],MappingTable2[Quarters],"NIL")</f>
        <v>Q3</v>
      </c>
      <c r="Q225" s="1"/>
    </row>
    <row r="226" spans="1:17" x14ac:dyDescent="0.2">
      <c r="A226" s="1">
        <v>10325</v>
      </c>
      <c r="B226" s="1" t="s">
        <v>57</v>
      </c>
      <c r="C226" s="1" t="s">
        <v>58</v>
      </c>
      <c r="D226" s="1" t="s">
        <v>15</v>
      </c>
      <c r="E226" s="3">
        <v>150</v>
      </c>
      <c r="F226" s="3">
        <v>200</v>
      </c>
      <c r="G226" s="13">
        <v>710</v>
      </c>
      <c r="H226" s="3">
        <v>142000</v>
      </c>
      <c r="I226" s="3">
        <v>35500</v>
      </c>
      <c r="J226" s="1" t="s">
        <v>40</v>
      </c>
      <c r="K226" s="1" t="s">
        <v>29</v>
      </c>
      <c r="L226" s="1" t="s">
        <v>53</v>
      </c>
      <c r="M226" s="1">
        <v>2019</v>
      </c>
      <c r="N226" s="1" t="str">
        <f t="shared" si="3"/>
        <v>Francophone</v>
      </c>
      <c r="O226" s="3" t="str">
        <f>_xlfn.XLOOKUP(D:D,MappingTable[Brand],MappingTable[Brand Type], "not found")</f>
        <v>Beer</v>
      </c>
      <c r="P226" t="str">
        <f>_xlfn.XLOOKUP(L:L,MappingTable2[Month],MappingTable2[Quarters],"NIL")</f>
        <v>Q3</v>
      </c>
      <c r="Q226" s="1"/>
    </row>
    <row r="227" spans="1:17" x14ac:dyDescent="0.2">
      <c r="A227" s="1">
        <v>10326</v>
      </c>
      <c r="B227" s="1" t="s">
        <v>31</v>
      </c>
      <c r="C227" s="1" t="s">
        <v>32</v>
      </c>
      <c r="D227" s="1" t="s">
        <v>21</v>
      </c>
      <c r="E227" s="3">
        <v>250</v>
      </c>
      <c r="F227" s="3">
        <v>500</v>
      </c>
      <c r="G227" s="13">
        <v>913</v>
      </c>
      <c r="H227" s="3">
        <v>456500</v>
      </c>
      <c r="I227" s="3">
        <v>228250</v>
      </c>
      <c r="J227" s="1" t="s">
        <v>16</v>
      </c>
      <c r="K227" s="1" t="s">
        <v>35</v>
      </c>
      <c r="L227" s="1" t="s">
        <v>56</v>
      </c>
      <c r="M227" s="1">
        <v>2018</v>
      </c>
      <c r="N227" s="1" t="str">
        <f t="shared" si="3"/>
        <v>Anglophone</v>
      </c>
      <c r="O227" s="3" t="str">
        <f>_xlfn.XLOOKUP(D:D,MappingTable[Brand],MappingTable[Brand Type], "not found")</f>
        <v>Beer</v>
      </c>
      <c r="P227" t="str">
        <f>_xlfn.XLOOKUP(L:L,MappingTable2[Month],MappingTable2[Quarters],"NIL")</f>
        <v>Q4</v>
      </c>
      <c r="Q227" s="1"/>
    </row>
    <row r="228" spans="1:17" x14ac:dyDescent="0.2">
      <c r="A228" s="1">
        <v>10327</v>
      </c>
      <c r="B228" s="1" t="s">
        <v>61</v>
      </c>
      <c r="C228" s="1" t="s">
        <v>62</v>
      </c>
      <c r="D228" s="1" t="s">
        <v>27</v>
      </c>
      <c r="E228" s="3">
        <v>180</v>
      </c>
      <c r="F228" s="3">
        <v>450</v>
      </c>
      <c r="G228" s="13">
        <v>983</v>
      </c>
      <c r="H228" s="3">
        <v>442350</v>
      </c>
      <c r="I228" s="3">
        <v>265410</v>
      </c>
      <c r="J228" s="1" t="s">
        <v>22</v>
      </c>
      <c r="K228" s="1" t="s">
        <v>41</v>
      </c>
      <c r="L228" s="1" t="s">
        <v>59</v>
      </c>
      <c r="M228" s="1">
        <v>2018</v>
      </c>
      <c r="N228" s="1" t="str">
        <f t="shared" si="3"/>
        <v>Anglophone</v>
      </c>
      <c r="O228" s="3" t="str">
        <f>_xlfn.XLOOKUP(D:D,MappingTable[Brand],MappingTable[Brand Type], "not found")</f>
        <v>Beer</v>
      </c>
      <c r="P228" t="str">
        <f>_xlfn.XLOOKUP(L:L,MappingTable2[Month],MappingTable2[Quarters],"NIL")</f>
        <v>Q4</v>
      </c>
      <c r="Q228" s="1"/>
    </row>
    <row r="229" spans="1:17" x14ac:dyDescent="0.2">
      <c r="A229" s="1">
        <v>10328</v>
      </c>
      <c r="B229" s="1" t="s">
        <v>31</v>
      </c>
      <c r="C229" s="1" t="s">
        <v>32</v>
      </c>
      <c r="D229" s="1" t="s">
        <v>33</v>
      </c>
      <c r="E229" s="3">
        <v>170</v>
      </c>
      <c r="F229" s="3">
        <v>250</v>
      </c>
      <c r="G229" s="13">
        <v>706</v>
      </c>
      <c r="H229" s="3">
        <v>176500</v>
      </c>
      <c r="I229" s="3">
        <v>56480</v>
      </c>
      <c r="J229" s="1" t="s">
        <v>28</v>
      </c>
      <c r="K229" s="1" t="s">
        <v>44</v>
      </c>
      <c r="L229" s="1" t="s">
        <v>60</v>
      </c>
      <c r="M229" s="1">
        <v>2019</v>
      </c>
      <c r="N229" s="1" t="str">
        <f t="shared" si="3"/>
        <v>Francophone</v>
      </c>
      <c r="O229" s="3" t="str">
        <f>_xlfn.XLOOKUP(D:D,MappingTable[Brand],MappingTable[Brand Type], "not found")</f>
        <v>Beer</v>
      </c>
      <c r="P229" t="str">
        <f>_xlfn.XLOOKUP(L:L,MappingTable2[Month],MappingTable2[Quarters],"NIL")</f>
        <v>Q4</v>
      </c>
      <c r="Q229" s="1"/>
    </row>
    <row r="230" spans="1:17" x14ac:dyDescent="0.2">
      <c r="A230" s="1">
        <v>10329</v>
      </c>
      <c r="B230" s="1" t="s">
        <v>51</v>
      </c>
      <c r="C230" s="1" t="s">
        <v>52</v>
      </c>
      <c r="D230" s="1" t="s">
        <v>39</v>
      </c>
      <c r="E230" s="3">
        <v>150</v>
      </c>
      <c r="F230" s="3">
        <v>200</v>
      </c>
      <c r="G230" s="13">
        <v>819</v>
      </c>
      <c r="H230" s="3">
        <v>163800</v>
      </c>
      <c r="I230" s="3">
        <v>40950</v>
      </c>
      <c r="J230" s="1" t="s">
        <v>34</v>
      </c>
      <c r="K230" s="1" t="s">
        <v>17</v>
      </c>
      <c r="L230" s="1" t="s">
        <v>18</v>
      </c>
      <c r="M230" s="1">
        <v>2018</v>
      </c>
      <c r="N230" s="1" t="str">
        <f t="shared" si="3"/>
        <v>Francophone</v>
      </c>
      <c r="O230" s="3" t="str">
        <f>_xlfn.XLOOKUP(D:D,MappingTable[Brand],MappingTable[Brand Type], "not found")</f>
        <v>Beer</v>
      </c>
      <c r="P230" t="str">
        <f>_xlfn.XLOOKUP(L:L,MappingTable2[Month],MappingTable2[Quarters],"NIL")</f>
        <v>Q1</v>
      </c>
      <c r="Q230" s="1"/>
    </row>
    <row r="231" spans="1:17" x14ac:dyDescent="0.2">
      <c r="A231" s="1">
        <v>10330</v>
      </c>
      <c r="B231" s="1" t="s">
        <v>31</v>
      </c>
      <c r="C231" s="1" t="s">
        <v>32</v>
      </c>
      <c r="D231" s="1" t="s">
        <v>43</v>
      </c>
      <c r="E231" s="3">
        <v>80</v>
      </c>
      <c r="F231" s="3">
        <v>150</v>
      </c>
      <c r="G231" s="13">
        <v>762</v>
      </c>
      <c r="H231" s="3">
        <v>114300</v>
      </c>
      <c r="I231" s="3">
        <v>53340</v>
      </c>
      <c r="J231" s="1" t="s">
        <v>40</v>
      </c>
      <c r="K231" s="1" t="s">
        <v>23</v>
      </c>
      <c r="L231" s="1" t="s">
        <v>24</v>
      </c>
      <c r="M231" s="1">
        <v>2018</v>
      </c>
      <c r="N231" s="1" t="str">
        <f t="shared" si="3"/>
        <v>Francophone</v>
      </c>
      <c r="O231" s="3" t="str">
        <f>_xlfn.XLOOKUP(D:D,MappingTable[Brand],MappingTable[Brand Type], "not found")</f>
        <v>Malt</v>
      </c>
      <c r="P231" t="str">
        <f>_xlfn.XLOOKUP(L:L,MappingTable2[Month],MappingTable2[Quarters],"NIL")</f>
        <v>Q1</v>
      </c>
      <c r="Q231" s="1"/>
    </row>
    <row r="232" spans="1:17" x14ac:dyDescent="0.2">
      <c r="A232" s="1">
        <v>10331</v>
      </c>
      <c r="B232" s="1" t="s">
        <v>57</v>
      </c>
      <c r="C232" s="1" t="s">
        <v>58</v>
      </c>
      <c r="D232" s="1" t="s">
        <v>48</v>
      </c>
      <c r="E232" s="3">
        <v>90</v>
      </c>
      <c r="F232" s="3">
        <v>150</v>
      </c>
      <c r="G232" s="13">
        <v>760</v>
      </c>
      <c r="H232" s="3">
        <v>114000</v>
      </c>
      <c r="I232" s="3">
        <v>45600</v>
      </c>
      <c r="J232" s="1" t="s">
        <v>16</v>
      </c>
      <c r="K232" s="1" t="s">
        <v>29</v>
      </c>
      <c r="L232" s="1" t="s">
        <v>30</v>
      </c>
      <c r="M232" s="1">
        <v>2019</v>
      </c>
      <c r="N232" s="1" t="str">
        <f t="shared" si="3"/>
        <v>Anglophone</v>
      </c>
      <c r="O232" s="3" t="str">
        <f>_xlfn.XLOOKUP(D:D,MappingTable[Brand],MappingTable[Brand Type], "not found")</f>
        <v>Malt</v>
      </c>
      <c r="P232" t="str">
        <f>_xlfn.XLOOKUP(L:L,MappingTable2[Month],MappingTable2[Quarters],"NIL")</f>
        <v>Q1</v>
      </c>
      <c r="Q232" s="1"/>
    </row>
    <row r="233" spans="1:17" x14ac:dyDescent="0.2">
      <c r="A233" s="1">
        <v>10332</v>
      </c>
      <c r="B233" s="1" t="s">
        <v>63</v>
      </c>
      <c r="C233" s="1" t="s">
        <v>64</v>
      </c>
      <c r="D233" s="1" t="s">
        <v>15</v>
      </c>
      <c r="E233" s="3">
        <v>150</v>
      </c>
      <c r="F233" s="3">
        <v>200</v>
      </c>
      <c r="G233" s="13">
        <v>872</v>
      </c>
      <c r="H233" s="3">
        <v>174400</v>
      </c>
      <c r="I233" s="3">
        <v>43600</v>
      </c>
      <c r="J233" s="1" t="s">
        <v>22</v>
      </c>
      <c r="K233" s="1" t="s">
        <v>35</v>
      </c>
      <c r="L233" s="1" t="s">
        <v>36</v>
      </c>
      <c r="M233" s="1">
        <v>2019</v>
      </c>
      <c r="N233" s="1" t="str">
        <f t="shared" si="3"/>
        <v>Anglophone</v>
      </c>
      <c r="O233" s="3" t="str">
        <f>_xlfn.XLOOKUP(D:D,MappingTable[Brand],MappingTable[Brand Type], "not found")</f>
        <v>Beer</v>
      </c>
      <c r="P233" t="str">
        <f>_xlfn.XLOOKUP(L:L,MappingTable2[Month],MappingTable2[Quarters],"NIL")</f>
        <v>Q2</v>
      </c>
      <c r="Q233" s="1"/>
    </row>
    <row r="234" spans="1:17" x14ac:dyDescent="0.2">
      <c r="A234" s="1">
        <v>10333</v>
      </c>
      <c r="B234" s="1" t="s">
        <v>61</v>
      </c>
      <c r="C234" s="1" t="s">
        <v>62</v>
      </c>
      <c r="D234" s="1" t="s">
        <v>21</v>
      </c>
      <c r="E234" s="3">
        <v>250</v>
      </c>
      <c r="F234" s="3">
        <v>500</v>
      </c>
      <c r="G234" s="13">
        <v>723</v>
      </c>
      <c r="H234" s="3">
        <v>361500</v>
      </c>
      <c r="I234" s="3">
        <v>180750</v>
      </c>
      <c r="J234" s="1" t="s">
        <v>28</v>
      </c>
      <c r="K234" s="1" t="s">
        <v>41</v>
      </c>
      <c r="L234" s="1" t="s">
        <v>42</v>
      </c>
      <c r="M234" s="1">
        <v>2019</v>
      </c>
      <c r="N234" s="1" t="str">
        <f t="shared" si="3"/>
        <v>Francophone</v>
      </c>
      <c r="O234" s="3" t="str">
        <f>_xlfn.XLOOKUP(D:D,MappingTable[Brand],MappingTable[Brand Type], "not found")</f>
        <v>Beer</v>
      </c>
      <c r="P234" t="str">
        <f>_xlfn.XLOOKUP(L:L,MappingTable2[Month],MappingTable2[Quarters],"NIL")</f>
        <v>Q2</v>
      </c>
      <c r="Q234" s="1"/>
    </row>
    <row r="235" spans="1:17" x14ac:dyDescent="0.2">
      <c r="A235" s="1">
        <v>10334</v>
      </c>
      <c r="B235" s="1" t="s">
        <v>57</v>
      </c>
      <c r="C235" s="1" t="s">
        <v>58</v>
      </c>
      <c r="D235" s="1" t="s">
        <v>27</v>
      </c>
      <c r="E235" s="3">
        <v>180</v>
      </c>
      <c r="F235" s="3">
        <v>450</v>
      </c>
      <c r="G235" s="13">
        <v>913</v>
      </c>
      <c r="H235" s="3">
        <v>410850</v>
      </c>
      <c r="I235" s="3">
        <v>246510</v>
      </c>
      <c r="J235" s="1" t="s">
        <v>34</v>
      </c>
      <c r="K235" s="1" t="s">
        <v>44</v>
      </c>
      <c r="L235" s="1" t="s">
        <v>45</v>
      </c>
      <c r="M235" s="1">
        <v>2019</v>
      </c>
      <c r="N235" s="1" t="str">
        <f t="shared" si="3"/>
        <v>Francophone</v>
      </c>
      <c r="O235" s="3" t="str">
        <f>_xlfn.XLOOKUP(D:D,MappingTable[Brand],MappingTable[Brand Type], "not found")</f>
        <v>Beer</v>
      </c>
      <c r="P235" t="str">
        <f>_xlfn.XLOOKUP(L:L,MappingTable2[Month],MappingTable2[Quarters],"NIL")</f>
        <v>Q2</v>
      </c>
      <c r="Q235" s="1"/>
    </row>
    <row r="236" spans="1:17" x14ac:dyDescent="0.2">
      <c r="A236" s="1">
        <v>10335</v>
      </c>
      <c r="B236" s="1" t="s">
        <v>19</v>
      </c>
      <c r="C236" s="1" t="s">
        <v>20</v>
      </c>
      <c r="D236" s="1" t="s">
        <v>33</v>
      </c>
      <c r="E236" s="3">
        <v>170</v>
      </c>
      <c r="F236" s="3">
        <v>250</v>
      </c>
      <c r="G236" s="13">
        <v>852</v>
      </c>
      <c r="H236" s="3">
        <v>213000</v>
      </c>
      <c r="I236" s="3">
        <v>68160</v>
      </c>
      <c r="J236" s="1" t="s">
        <v>40</v>
      </c>
      <c r="K236" s="1" t="s">
        <v>17</v>
      </c>
      <c r="L236" s="1" t="s">
        <v>49</v>
      </c>
      <c r="M236" s="1">
        <v>2017</v>
      </c>
      <c r="N236" s="1" t="str">
        <f t="shared" si="3"/>
        <v>Francophone</v>
      </c>
      <c r="O236" s="3" t="str">
        <f>_xlfn.XLOOKUP(D:D,MappingTable[Brand],MappingTable[Brand Type], "not found")</f>
        <v>Beer</v>
      </c>
      <c r="P236" t="str">
        <f>_xlfn.XLOOKUP(L:L,MappingTable2[Month],MappingTable2[Quarters],"NIL")</f>
        <v>Q3</v>
      </c>
      <c r="Q236" s="1"/>
    </row>
    <row r="237" spans="1:17" x14ac:dyDescent="0.2">
      <c r="A237" s="1">
        <v>10336</v>
      </c>
      <c r="B237" s="1" t="s">
        <v>61</v>
      </c>
      <c r="C237" s="1" t="s">
        <v>62</v>
      </c>
      <c r="D237" s="1" t="s">
        <v>39</v>
      </c>
      <c r="E237" s="3">
        <v>150</v>
      </c>
      <c r="F237" s="3">
        <v>200</v>
      </c>
      <c r="G237" s="13">
        <v>856</v>
      </c>
      <c r="H237" s="3">
        <v>171200</v>
      </c>
      <c r="I237" s="3">
        <v>42800</v>
      </c>
      <c r="J237" s="1" t="s">
        <v>16</v>
      </c>
      <c r="K237" s="1" t="s">
        <v>23</v>
      </c>
      <c r="L237" s="1" t="s">
        <v>50</v>
      </c>
      <c r="M237" s="1">
        <v>2019</v>
      </c>
      <c r="N237" s="1" t="str">
        <f t="shared" si="3"/>
        <v>Anglophone</v>
      </c>
      <c r="O237" s="3" t="str">
        <f>_xlfn.XLOOKUP(D:D,MappingTable[Brand],MappingTable[Brand Type], "not found")</f>
        <v>Beer</v>
      </c>
      <c r="P237" t="str">
        <f>_xlfn.XLOOKUP(L:L,MappingTable2[Month],MappingTable2[Quarters],"NIL")</f>
        <v>Q3</v>
      </c>
      <c r="Q237" s="1"/>
    </row>
    <row r="238" spans="1:17" x14ac:dyDescent="0.2">
      <c r="A238" s="1">
        <v>10337</v>
      </c>
      <c r="B238" s="1" t="s">
        <v>31</v>
      </c>
      <c r="C238" s="1" t="s">
        <v>32</v>
      </c>
      <c r="D238" s="1" t="s">
        <v>43</v>
      </c>
      <c r="E238" s="3">
        <v>80</v>
      </c>
      <c r="F238" s="3">
        <v>150</v>
      </c>
      <c r="G238" s="13">
        <v>827</v>
      </c>
      <c r="H238" s="3">
        <v>124050</v>
      </c>
      <c r="I238" s="3">
        <v>57890</v>
      </c>
      <c r="J238" s="1" t="s">
        <v>22</v>
      </c>
      <c r="K238" s="1" t="s">
        <v>29</v>
      </c>
      <c r="L238" s="1" t="s">
        <v>53</v>
      </c>
      <c r="M238" s="1">
        <v>2019</v>
      </c>
      <c r="N238" s="1" t="str">
        <f t="shared" si="3"/>
        <v>Anglophone</v>
      </c>
      <c r="O238" s="3" t="str">
        <f>_xlfn.XLOOKUP(D:D,MappingTable[Brand],MappingTable[Brand Type], "not found")</f>
        <v>Malt</v>
      </c>
      <c r="P238" t="str">
        <f>_xlfn.XLOOKUP(L:L,MappingTable2[Month],MappingTable2[Quarters],"NIL")</f>
        <v>Q3</v>
      </c>
      <c r="Q238" s="1"/>
    </row>
    <row r="239" spans="1:17" x14ac:dyDescent="0.2">
      <c r="A239" s="1">
        <v>10338</v>
      </c>
      <c r="B239" s="1" t="s">
        <v>25</v>
      </c>
      <c r="C239" s="1" t="s">
        <v>26</v>
      </c>
      <c r="D239" s="1" t="s">
        <v>48</v>
      </c>
      <c r="E239" s="3">
        <v>90</v>
      </c>
      <c r="F239" s="3">
        <v>150</v>
      </c>
      <c r="G239" s="13">
        <v>735</v>
      </c>
      <c r="H239" s="3">
        <v>110250</v>
      </c>
      <c r="I239" s="3">
        <v>44100</v>
      </c>
      <c r="J239" s="1" t="s">
        <v>28</v>
      </c>
      <c r="K239" s="1" t="s">
        <v>35</v>
      </c>
      <c r="L239" s="1" t="s">
        <v>56</v>
      </c>
      <c r="M239" s="1">
        <v>2017</v>
      </c>
      <c r="N239" s="1" t="str">
        <f t="shared" si="3"/>
        <v>Francophone</v>
      </c>
      <c r="O239" s="3" t="str">
        <f>_xlfn.XLOOKUP(D:D,MappingTable[Brand],MappingTable[Brand Type], "not found")</f>
        <v>Malt</v>
      </c>
      <c r="P239" t="str">
        <f>_xlfn.XLOOKUP(L:L,MappingTable2[Month],MappingTable2[Quarters],"NIL")</f>
        <v>Q4</v>
      </c>
      <c r="Q239" s="1"/>
    </row>
    <row r="240" spans="1:17" x14ac:dyDescent="0.2">
      <c r="A240" s="1">
        <v>10339</v>
      </c>
      <c r="B240" s="1" t="s">
        <v>13</v>
      </c>
      <c r="C240" s="1" t="s">
        <v>14</v>
      </c>
      <c r="D240" s="1" t="s">
        <v>15</v>
      </c>
      <c r="E240" s="3">
        <v>150</v>
      </c>
      <c r="F240" s="3">
        <v>200</v>
      </c>
      <c r="G240" s="13">
        <v>819</v>
      </c>
      <c r="H240" s="3">
        <v>163800</v>
      </c>
      <c r="I240" s="3">
        <v>40950</v>
      </c>
      <c r="J240" s="1" t="s">
        <v>34</v>
      </c>
      <c r="K240" s="1" t="s">
        <v>41</v>
      </c>
      <c r="L240" s="1" t="s">
        <v>59</v>
      </c>
      <c r="M240" s="1">
        <v>2019</v>
      </c>
      <c r="N240" s="1" t="str">
        <f t="shared" si="3"/>
        <v>Francophone</v>
      </c>
      <c r="O240" s="3" t="str">
        <f>_xlfn.XLOOKUP(D:D,MappingTable[Brand],MappingTable[Brand Type], "not found")</f>
        <v>Beer</v>
      </c>
      <c r="P240" t="str">
        <f>_xlfn.XLOOKUP(L:L,MappingTable2[Month],MappingTable2[Quarters],"NIL")</f>
        <v>Q4</v>
      </c>
      <c r="Q240" s="1"/>
    </row>
    <row r="241" spans="1:17" x14ac:dyDescent="0.2">
      <c r="A241" s="1">
        <v>10340</v>
      </c>
      <c r="B241" s="1" t="s">
        <v>37</v>
      </c>
      <c r="C241" s="1" t="s">
        <v>38</v>
      </c>
      <c r="D241" s="1" t="s">
        <v>21</v>
      </c>
      <c r="E241" s="3">
        <v>250</v>
      </c>
      <c r="F241" s="3">
        <v>500</v>
      </c>
      <c r="G241" s="13">
        <v>882</v>
      </c>
      <c r="H241" s="3">
        <v>441000</v>
      </c>
      <c r="I241" s="3">
        <v>220500</v>
      </c>
      <c r="J241" s="1" t="s">
        <v>40</v>
      </c>
      <c r="K241" s="1" t="s">
        <v>44</v>
      </c>
      <c r="L241" s="1" t="s">
        <v>60</v>
      </c>
      <c r="M241" s="1">
        <v>2018</v>
      </c>
      <c r="N241" s="1" t="str">
        <f t="shared" si="3"/>
        <v>Francophone</v>
      </c>
      <c r="O241" s="3" t="str">
        <f>_xlfn.XLOOKUP(D:D,MappingTable[Brand],MappingTable[Brand Type], "not found")</f>
        <v>Beer</v>
      </c>
      <c r="P241" t="str">
        <f>_xlfn.XLOOKUP(L:L,MappingTable2[Month],MappingTable2[Quarters],"NIL")</f>
        <v>Q4</v>
      </c>
      <c r="Q241" s="1"/>
    </row>
    <row r="242" spans="1:17" x14ac:dyDescent="0.2">
      <c r="A242" s="1">
        <v>10341</v>
      </c>
      <c r="B242" s="1" t="s">
        <v>54</v>
      </c>
      <c r="C242" s="1" t="s">
        <v>55</v>
      </c>
      <c r="D242" s="1" t="s">
        <v>27</v>
      </c>
      <c r="E242" s="3">
        <v>180</v>
      </c>
      <c r="F242" s="3">
        <v>450</v>
      </c>
      <c r="G242" s="13">
        <v>897</v>
      </c>
      <c r="H242" s="3">
        <v>403650</v>
      </c>
      <c r="I242" s="3">
        <v>242190</v>
      </c>
      <c r="J242" s="1" t="s">
        <v>16</v>
      </c>
      <c r="K242" s="1" t="s">
        <v>17</v>
      </c>
      <c r="L242" s="1" t="s">
        <v>18</v>
      </c>
      <c r="M242" s="1">
        <v>2017</v>
      </c>
      <c r="N242" s="1" t="str">
        <f t="shared" si="3"/>
        <v>Anglophone</v>
      </c>
      <c r="O242" s="3" t="str">
        <f>_xlfn.XLOOKUP(D:D,MappingTable[Brand],MappingTable[Brand Type], "not found")</f>
        <v>Beer</v>
      </c>
      <c r="P242" t="str">
        <f>_xlfn.XLOOKUP(L:L,MappingTable2[Month],MappingTable2[Quarters],"NIL")</f>
        <v>Q1</v>
      </c>
      <c r="Q242" s="1"/>
    </row>
    <row r="243" spans="1:17" x14ac:dyDescent="0.2">
      <c r="A243" s="1">
        <v>10342</v>
      </c>
      <c r="B243" s="1" t="s">
        <v>19</v>
      </c>
      <c r="C243" s="1" t="s">
        <v>20</v>
      </c>
      <c r="D243" s="1" t="s">
        <v>33</v>
      </c>
      <c r="E243" s="3">
        <v>170</v>
      </c>
      <c r="F243" s="3">
        <v>250</v>
      </c>
      <c r="G243" s="13">
        <v>922</v>
      </c>
      <c r="H243" s="3">
        <v>230500</v>
      </c>
      <c r="I243" s="3">
        <v>73760</v>
      </c>
      <c r="J243" s="1" t="s">
        <v>22</v>
      </c>
      <c r="K243" s="1" t="s">
        <v>23</v>
      </c>
      <c r="L243" s="1" t="s">
        <v>24</v>
      </c>
      <c r="M243" s="1">
        <v>2018</v>
      </c>
      <c r="N243" s="1" t="str">
        <f t="shared" si="3"/>
        <v>Anglophone</v>
      </c>
      <c r="O243" s="3" t="str">
        <f>_xlfn.XLOOKUP(D:D,MappingTable[Brand],MappingTable[Brand Type], "not found")</f>
        <v>Beer</v>
      </c>
      <c r="P243" t="str">
        <f>_xlfn.XLOOKUP(L:L,MappingTable2[Month],MappingTable2[Quarters],"NIL")</f>
        <v>Q1</v>
      </c>
      <c r="Q243" s="1"/>
    </row>
    <row r="244" spans="1:17" x14ac:dyDescent="0.2">
      <c r="A244" s="1">
        <v>10343</v>
      </c>
      <c r="B244" s="1" t="s">
        <v>19</v>
      </c>
      <c r="C244" s="1" t="s">
        <v>20</v>
      </c>
      <c r="D244" s="1" t="s">
        <v>39</v>
      </c>
      <c r="E244" s="3">
        <v>150</v>
      </c>
      <c r="F244" s="3">
        <v>200</v>
      </c>
      <c r="G244" s="13">
        <v>838</v>
      </c>
      <c r="H244" s="3">
        <v>167600</v>
      </c>
      <c r="I244" s="3">
        <v>41900</v>
      </c>
      <c r="J244" s="1" t="s">
        <v>28</v>
      </c>
      <c r="K244" s="1" t="s">
        <v>29</v>
      </c>
      <c r="L244" s="1" t="s">
        <v>30</v>
      </c>
      <c r="M244" s="1">
        <v>2017</v>
      </c>
      <c r="N244" s="1" t="str">
        <f t="shared" si="3"/>
        <v>Francophone</v>
      </c>
      <c r="O244" s="3" t="str">
        <f>_xlfn.XLOOKUP(D:D,MappingTable[Brand],MappingTable[Brand Type], "not found")</f>
        <v>Beer</v>
      </c>
      <c r="P244" t="str">
        <f>_xlfn.XLOOKUP(L:L,MappingTable2[Month],MappingTable2[Quarters],"NIL")</f>
        <v>Q1</v>
      </c>
      <c r="Q244" s="1"/>
    </row>
    <row r="245" spans="1:17" x14ac:dyDescent="0.2">
      <c r="A245" s="1">
        <v>10344</v>
      </c>
      <c r="B245" s="1" t="s">
        <v>63</v>
      </c>
      <c r="C245" s="1" t="s">
        <v>64</v>
      </c>
      <c r="D245" s="1" t="s">
        <v>43</v>
      </c>
      <c r="E245" s="3">
        <v>80</v>
      </c>
      <c r="F245" s="3">
        <v>150</v>
      </c>
      <c r="G245" s="13">
        <v>859</v>
      </c>
      <c r="H245" s="3">
        <v>128850</v>
      </c>
      <c r="I245" s="3">
        <v>60130</v>
      </c>
      <c r="J245" s="1" t="s">
        <v>34</v>
      </c>
      <c r="K245" s="1" t="s">
        <v>35</v>
      </c>
      <c r="L245" s="1" t="s">
        <v>36</v>
      </c>
      <c r="M245" s="1">
        <v>2018</v>
      </c>
      <c r="N245" s="1" t="str">
        <f t="shared" si="3"/>
        <v>Francophone</v>
      </c>
      <c r="O245" s="3" t="str">
        <f>_xlfn.XLOOKUP(D:D,MappingTable[Brand],MappingTable[Brand Type], "not found")</f>
        <v>Malt</v>
      </c>
      <c r="P245" t="str">
        <f>_xlfn.XLOOKUP(L:L,MappingTable2[Month],MappingTable2[Quarters],"NIL")</f>
        <v>Q2</v>
      </c>
      <c r="Q245" s="1"/>
    </row>
    <row r="246" spans="1:17" x14ac:dyDescent="0.2">
      <c r="A246" s="1">
        <v>10345</v>
      </c>
      <c r="B246" s="1" t="s">
        <v>31</v>
      </c>
      <c r="C246" s="1" t="s">
        <v>32</v>
      </c>
      <c r="D246" s="1" t="s">
        <v>48</v>
      </c>
      <c r="E246" s="3">
        <v>90</v>
      </c>
      <c r="F246" s="3">
        <v>150</v>
      </c>
      <c r="G246" s="13">
        <v>950</v>
      </c>
      <c r="H246" s="3">
        <v>142500</v>
      </c>
      <c r="I246" s="3">
        <v>57000</v>
      </c>
      <c r="J246" s="1" t="s">
        <v>40</v>
      </c>
      <c r="K246" s="1" t="s">
        <v>41</v>
      </c>
      <c r="L246" s="1" t="s">
        <v>42</v>
      </c>
      <c r="M246" s="1">
        <v>2017</v>
      </c>
      <c r="N246" s="1" t="str">
        <f t="shared" si="3"/>
        <v>Francophone</v>
      </c>
      <c r="O246" s="3" t="str">
        <f>_xlfn.XLOOKUP(D:D,MappingTable[Brand],MappingTable[Brand Type], "not found")</f>
        <v>Malt</v>
      </c>
      <c r="P246" t="str">
        <f>_xlfn.XLOOKUP(L:L,MappingTable2[Month],MappingTable2[Quarters],"NIL")</f>
        <v>Q2</v>
      </c>
      <c r="Q246" s="1"/>
    </row>
    <row r="247" spans="1:17" x14ac:dyDescent="0.2">
      <c r="A247" s="1">
        <v>10346</v>
      </c>
      <c r="B247" s="1" t="s">
        <v>51</v>
      </c>
      <c r="C247" s="1" t="s">
        <v>52</v>
      </c>
      <c r="D247" s="1" t="s">
        <v>15</v>
      </c>
      <c r="E247" s="3">
        <v>150</v>
      </c>
      <c r="F247" s="3">
        <v>200</v>
      </c>
      <c r="G247" s="13">
        <v>706</v>
      </c>
      <c r="H247" s="3">
        <v>141200</v>
      </c>
      <c r="I247" s="3">
        <v>35300</v>
      </c>
      <c r="J247" s="1" t="s">
        <v>16</v>
      </c>
      <c r="K247" s="1" t="s">
        <v>44</v>
      </c>
      <c r="L247" s="1" t="s">
        <v>45</v>
      </c>
      <c r="M247" s="1">
        <v>2019</v>
      </c>
      <c r="N247" s="1" t="str">
        <f t="shared" si="3"/>
        <v>Anglophone</v>
      </c>
      <c r="O247" s="3" t="str">
        <f>_xlfn.XLOOKUP(D:D,MappingTable[Brand],MappingTable[Brand Type], "not found")</f>
        <v>Beer</v>
      </c>
      <c r="P247" t="str">
        <f>_xlfn.XLOOKUP(L:L,MappingTable2[Month],MappingTable2[Quarters],"NIL")</f>
        <v>Q2</v>
      </c>
      <c r="Q247" s="1"/>
    </row>
    <row r="248" spans="1:17" x14ac:dyDescent="0.2">
      <c r="A248" s="1">
        <v>10347</v>
      </c>
      <c r="B248" s="1" t="s">
        <v>63</v>
      </c>
      <c r="C248" s="1" t="s">
        <v>64</v>
      </c>
      <c r="D248" s="1" t="s">
        <v>21</v>
      </c>
      <c r="E248" s="3">
        <v>250</v>
      </c>
      <c r="F248" s="3">
        <v>500</v>
      </c>
      <c r="G248" s="13">
        <v>702</v>
      </c>
      <c r="H248" s="3">
        <v>351000</v>
      </c>
      <c r="I248" s="3">
        <v>175500</v>
      </c>
      <c r="J248" s="1" t="s">
        <v>22</v>
      </c>
      <c r="K248" s="1" t="s">
        <v>17</v>
      </c>
      <c r="L248" s="1" t="s">
        <v>49</v>
      </c>
      <c r="M248" s="1">
        <v>2018</v>
      </c>
      <c r="N248" s="1" t="str">
        <f t="shared" si="3"/>
        <v>Anglophone</v>
      </c>
      <c r="O248" s="3" t="str">
        <f>_xlfn.XLOOKUP(D:D,MappingTable[Brand],MappingTable[Brand Type], "not found")</f>
        <v>Beer</v>
      </c>
      <c r="P248" t="str">
        <f>_xlfn.XLOOKUP(L:L,MappingTable2[Month],MappingTable2[Quarters],"NIL")</f>
        <v>Q3</v>
      </c>
      <c r="Q248" s="1"/>
    </row>
    <row r="249" spans="1:17" x14ac:dyDescent="0.2">
      <c r="A249" s="1">
        <v>10348</v>
      </c>
      <c r="B249" s="1" t="s">
        <v>25</v>
      </c>
      <c r="C249" s="1" t="s">
        <v>26</v>
      </c>
      <c r="D249" s="1" t="s">
        <v>27</v>
      </c>
      <c r="E249" s="3">
        <v>180</v>
      </c>
      <c r="F249" s="3">
        <v>450</v>
      </c>
      <c r="G249" s="13">
        <v>899</v>
      </c>
      <c r="H249" s="3">
        <v>404550</v>
      </c>
      <c r="I249" s="3">
        <v>242730</v>
      </c>
      <c r="J249" s="1" t="s">
        <v>28</v>
      </c>
      <c r="K249" s="1" t="s">
        <v>23</v>
      </c>
      <c r="L249" s="1" t="s">
        <v>50</v>
      </c>
      <c r="M249" s="1">
        <v>2019</v>
      </c>
      <c r="N249" s="1" t="str">
        <f t="shared" si="3"/>
        <v>Francophone</v>
      </c>
      <c r="O249" s="3" t="str">
        <f>_xlfn.XLOOKUP(D:D,MappingTable[Brand],MappingTable[Brand Type], "not found")</f>
        <v>Beer</v>
      </c>
      <c r="P249" t="str">
        <f>_xlfn.XLOOKUP(L:L,MappingTable2[Month],MappingTable2[Quarters],"NIL")</f>
        <v>Q3</v>
      </c>
      <c r="Q249" s="1"/>
    </row>
    <row r="250" spans="1:17" x14ac:dyDescent="0.2">
      <c r="A250" s="1">
        <v>10349</v>
      </c>
      <c r="B250" s="1" t="s">
        <v>19</v>
      </c>
      <c r="C250" s="1" t="s">
        <v>20</v>
      </c>
      <c r="D250" s="1" t="s">
        <v>33</v>
      </c>
      <c r="E250" s="3">
        <v>170</v>
      </c>
      <c r="F250" s="3">
        <v>250</v>
      </c>
      <c r="G250" s="13">
        <v>738</v>
      </c>
      <c r="H250" s="3">
        <v>184500</v>
      </c>
      <c r="I250" s="3">
        <v>59040</v>
      </c>
      <c r="J250" s="1" t="s">
        <v>34</v>
      </c>
      <c r="K250" s="1" t="s">
        <v>29</v>
      </c>
      <c r="L250" s="1" t="s">
        <v>53</v>
      </c>
      <c r="M250" s="1">
        <v>2019</v>
      </c>
      <c r="N250" s="1" t="str">
        <f t="shared" si="3"/>
        <v>Francophone</v>
      </c>
      <c r="O250" s="3" t="str">
        <f>_xlfn.XLOOKUP(D:D,MappingTable[Brand],MappingTable[Brand Type], "not found")</f>
        <v>Beer</v>
      </c>
      <c r="P250" t="str">
        <f>_xlfn.XLOOKUP(L:L,MappingTable2[Month],MappingTable2[Quarters],"NIL")</f>
        <v>Q3</v>
      </c>
      <c r="Q250" s="1"/>
    </row>
    <row r="251" spans="1:17" x14ac:dyDescent="0.2">
      <c r="A251" s="1">
        <v>10350</v>
      </c>
      <c r="B251" s="1" t="s">
        <v>25</v>
      </c>
      <c r="C251" s="1" t="s">
        <v>26</v>
      </c>
      <c r="D251" s="1" t="s">
        <v>39</v>
      </c>
      <c r="E251" s="3">
        <v>150</v>
      </c>
      <c r="F251" s="3">
        <v>200</v>
      </c>
      <c r="G251" s="13">
        <v>917</v>
      </c>
      <c r="H251" s="3">
        <v>183400</v>
      </c>
      <c r="I251" s="3">
        <v>45850</v>
      </c>
      <c r="J251" s="1" t="s">
        <v>40</v>
      </c>
      <c r="K251" s="1" t="s">
        <v>35</v>
      </c>
      <c r="L251" s="1" t="s">
        <v>56</v>
      </c>
      <c r="M251" s="1">
        <v>2017</v>
      </c>
      <c r="N251" s="1" t="str">
        <f t="shared" si="3"/>
        <v>Francophone</v>
      </c>
      <c r="O251" s="3" t="str">
        <f>_xlfn.XLOOKUP(D:D,MappingTable[Brand],MappingTable[Brand Type], "not found")</f>
        <v>Beer</v>
      </c>
      <c r="P251" t="str">
        <f>_xlfn.XLOOKUP(L:L,MappingTable2[Month],MappingTable2[Quarters],"NIL")</f>
        <v>Q4</v>
      </c>
      <c r="Q251" s="1"/>
    </row>
    <row r="252" spans="1:17" x14ac:dyDescent="0.2">
      <c r="A252" s="1">
        <v>10351</v>
      </c>
      <c r="B252" s="1" t="s">
        <v>46</v>
      </c>
      <c r="C252" s="1" t="s">
        <v>47</v>
      </c>
      <c r="D252" s="1" t="s">
        <v>43</v>
      </c>
      <c r="E252" s="3">
        <v>80</v>
      </c>
      <c r="F252" s="3">
        <v>150</v>
      </c>
      <c r="G252" s="13">
        <v>783</v>
      </c>
      <c r="H252" s="3">
        <v>117450</v>
      </c>
      <c r="I252" s="3">
        <v>54810</v>
      </c>
      <c r="J252" s="1" t="s">
        <v>16</v>
      </c>
      <c r="K252" s="1" t="s">
        <v>41</v>
      </c>
      <c r="L252" s="1" t="s">
        <v>59</v>
      </c>
      <c r="M252" s="1">
        <v>2019</v>
      </c>
      <c r="N252" s="1" t="str">
        <f t="shared" si="3"/>
        <v>Anglophone</v>
      </c>
      <c r="O252" s="3" t="str">
        <f>_xlfn.XLOOKUP(D:D,MappingTable[Brand],MappingTable[Brand Type], "not found")</f>
        <v>Malt</v>
      </c>
      <c r="P252" t="str">
        <f>_xlfn.XLOOKUP(L:L,MappingTable2[Month],MappingTable2[Quarters],"NIL")</f>
        <v>Q4</v>
      </c>
      <c r="Q252" s="1"/>
    </row>
    <row r="253" spans="1:17" x14ac:dyDescent="0.2">
      <c r="A253" s="1">
        <v>10352</v>
      </c>
      <c r="B253" s="1" t="s">
        <v>37</v>
      </c>
      <c r="C253" s="1" t="s">
        <v>38</v>
      </c>
      <c r="D253" s="1" t="s">
        <v>48</v>
      </c>
      <c r="E253" s="3">
        <v>90</v>
      </c>
      <c r="F253" s="3">
        <v>150</v>
      </c>
      <c r="G253" s="13">
        <v>831</v>
      </c>
      <c r="H253" s="3">
        <v>124650</v>
      </c>
      <c r="I253" s="3">
        <v>49860</v>
      </c>
      <c r="J253" s="1" t="s">
        <v>22</v>
      </c>
      <c r="K253" s="1" t="s">
        <v>44</v>
      </c>
      <c r="L253" s="1" t="s">
        <v>60</v>
      </c>
      <c r="M253" s="1">
        <v>2019</v>
      </c>
      <c r="N253" s="1" t="str">
        <f t="shared" si="3"/>
        <v>Anglophone</v>
      </c>
      <c r="O253" s="3" t="str">
        <f>_xlfn.XLOOKUP(D:D,MappingTable[Brand],MappingTable[Brand Type], "not found")</f>
        <v>Malt</v>
      </c>
      <c r="P253" t="str">
        <f>_xlfn.XLOOKUP(L:L,MappingTable2[Month],MappingTable2[Quarters],"NIL")</f>
        <v>Q4</v>
      </c>
      <c r="Q253" s="1"/>
    </row>
    <row r="254" spans="1:17" x14ac:dyDescent="0.2">
      <c r="A254" s="1">
        <v>10353</v>
      </c>
      <c r="B254" s="1" t="s">
        <v>13</v>
      </c>
      <c r="C254" s="1" t="s">
        <v>14</v>
      </c>
      <c r="D254" s="1" t="s">
        <v>15</v>
      </c>
      <c r="E254" s="3">
        <v>150</v>
      </c>
      <c r="F254" s="3">
        <v>200</v>
      </c>
      <c r="G254" s="13">
        <v>869</v>
      </c>
      <c r="H254" s="3">
        <v>173800</v>
      </c>
      <c r="I254" s="3">
        <v>43450</v>
      </c>
      <c r="J254" s="1" t="s">
        <v>28</v>
      </c>
      <c r="K254" s="1" t="s">
        <v>17</v>
      </c>
      <c r="L254" s="1" t="s">
        <v>18</v>
      </c>
      <c r="M254" s="1">
        <v>2019</v>
      </c>
      <c r="N254" s="1" t="str">
        <f t="shared" si="3"/>
        <v>Francophone</v>
      </c>
      <c r="O254" s="3" t="str">
        <f>_xlfn.XLOOKUP(D:D,MappingTable[Brand],MappingTable[Brand Type], "not found")</f>
        <v>Beer</v>
      </c>
      <c r="P254" t="str">
        <f>_xlfn.XLOOKUP(L:L,MappingTable2[Month],MappingTable2[Quarters],"NIL")</f>
        <v>Q1</v>
      </c>
      <c r="Q254" s="1"/>
    </row>
    <row r="255" spans="1:17" x14ac:dyDescent="0.2">
      <c r="A255" s="1">
        <v>10354</v>
      </c>
      <c r="B255" s="1" t="s">
        <v>13</v>
      </c>
      <c r="C255" s="1" t="s">
        <v>14</v>
      </c>
      <c r="D255" s="1" t="s">
        <v>21</v>
      </c>
      <c r="E255" s="3">
        <v>250</v>
      </c>
      <c r="F255" s="3">
        <v>500</v>
      </c>
      <c r="G255" s="13">
        <v>750</v>
      </c>
      <c r="H255" s="3">
        <v>375000</v>
      </c>
      <c r="I255" s="3">
        <v>187500</v>
      </c>
      <c r="J255" s="1" t="s">
        <v>34</v>
      </c>
      <c r="K255" s="1" t="s">
        <v>23</v>
      </c>
      <c r="L255" s="1" t="s">
        <v>24</v>
      </c>
      <c r="M255" s="1">
        <v>2017</v>
      </c>
      <c r="N255" s="1" t="str">
        <f t="shared" si="3"/>
        <v>Francophone</v>
      </c>
      <c r="O255" s="3" t="str">
        <f>_xlfn.XLOOKUP(D:D,MappingTable[Brand],MappingTable[Brand Type], "not found")</f>
        <v>Beer</v>
      </c>
      <c r="P255" t="str">
        <f>_xlfn.XLOOKUP(L:L,MappingTable2[Month],MappingTable2[Quarters],"NIL")</f>
        <v>Q1</v>
      </c>
      <c r="Q255" s="1"/>
    </row>
    <row r="256" spans="1:17" x14ac:dyDescent="0.2">
      <c r="A256" s="1">
        <v>10355</v>
      </c>
      <c r="B256" s="1" t="s">
        <v>37</v>
      </c>
      <c r="C256" s="1" t="s">
        <v>38</v>
      </c>
      <c r="D256" s="1" t="s">
        <v>27</v>
      </c>
      <c r="E256" s="3">
        <v>180</v>
      </c>
      <c r="F256" s="3">
        <v>450</v>
      </c>
      <c r="G256" s="13">
        <v>931</v>
      </c>
      <c r="H256" s="3">
        <v>418950</v>
      </c>
      <c r="I256" s="3">
        <v>251370</v>
      </c>
      <c r="J256" s="1" t="s">
        <v>40</v>
      </c>
      <c r="K256" s="1" t="s">
        <v>29</v>
      </c>
      <c r="L256" s="1" t="s">
        <v>30</v>
      </c>
      <c r="M256" s="1">
        <v>2019</v>
      </c>
      <c r="N256" s="1" t="str">
        <f t="shared" si="3"/>
        <v>Francophone</v>
      </c>
      <c r="O256" s="3" t="str">
        <f>_xlfn.XLOOKUP(D:D,MappingTable[Brand],MappingTable[Brand Type], "not found")</f>
        <v>Beer</v>
      </c>
      <c r="P256" t="str">
        <f>_xlfn.XLOOKUP(L:L,MappingTable2[Month],MappingTable2[Quarters],"NIL")</f>
        <v>Q1</v>
      </c>
      <c r="Q256" s="1"/>
    </row>
    <row r="257" spans="1:17" x14ac:dyDescent="0.2">
      <c r="A257" s="1">
        <v>10356</v>
      </c>
      <c r="B257" s="1" t="s">
        <v>13</v>
      </c>
      <c r="C257" s="1" t="s">
        <v>14</v>
      </c>
      <c r="D257" s="1" t="s">
        <v>33</v>
      </c>
      <c r="E257" s="3">
        <v>170</v>
      </c>
      <c r="F257" s="3">
        <v>250</v>
      </c>
      <c r="G257" s="13">
        <v>972</v>
      </c>
      <c r="H257" s="3">
        <v>243000</v>
      </c>
      <c r="I257" s="3">
        <v>77760</v>
      </c>
      <c r="J257" s="1" t="s">
        <v>16</v>
      </c>
      <c r="K257" s="1" t="s">
        <v>35</v>
      </c>
      <c r="L257" s="1" t="s">
        <v>36</v>
      </c>
      <c r="M257" s="1">
        <v>2017</v>
      </c>
      <c r="N257" s="1" t="str">
        <f t="shared" si="3"/>
        <v>Anglophone</v>
      </c>
      <c r="O257" s="3" t="str">
        <f>_xlfn.XLOOKUP(D:D,MappingTable[Brand],MappingTable[Brand Type], "not found")</f>
        <v>Beer</v>
      </c>
      <c r="P257" t="str">
        <f>_xlfn.XLOOKUP(L:L,MappingTable2[Month],MappingTable2[Quarters],"NIL")</f>
        <v>Q2</v>
      </c>
      <c r="Q257" s="1"/>
    </row>
    <row r="258" spans="1:17" x14ac:dyDescent="0.2">
      <c r="A258" s="1">
        <v>10357</v>
      </c>
      <c r="B258" s="1" t="s">
        <v>19</v>
      </c>
      <c r="C258" s="1" t="s">
        <v>20</v>
      </c>
      <c r="D258" s="1" t="s">
        <v>39</v>
      </c>
      <c r="E258" s="3">
        <v>150</v>
      </c>
      <c r="F258" s="3">
        <v>200</v>
      </c>
      <c r="G258" s="13">
        <v>985</v>
      </c>
      <c r="H258" s="3">
        <v>197000</v>
      </c>
      <c r="I258" s="3">
        <v>49250</v>
      </c>
      <c r="J258" s="1" t="s">
        <v>22</v>
      </c>
      <c r="K258" s="1" t="s">
        <v>41</v>
      </c>
      <c r="L258" s="1" t="s">
        <v>42</v>
      </c>
      <c r="M258" s="1">
        <v>2017</v>
      </c>
      <c r="N258" s="1" t="str">
        <f t="shared" ref="N258:N321" si="4">IF(ISNUMBER(MATCH(J258,$S$7:$S$8,0)), "Anglophone","Francophone")</f>
        <v>Anglophone</v>
      </c>
      <c r="O258" s="3" t="str">
        <f>_xlfn.XLOOKUP(D:D,MappingTable[Brand],MappingTable[Brand Type], "not found")</f>
        <v>Beer</v>
      </c>
      <c r="P258" t="str">
        <f>_xlfn.XLOOKUP(L:L,MappingTable2[Month],MappingTable2[Quarters],"NIL")</f>
        <v>Q2</v>
      </c>
      <c r="Q258" s="1"/>
    </row>
    <row r="259" spans="1:17" x14ac:dyDescent="0.2">
      <c r="A259" s="1">
        <v>10358</v>
      </c>
      <c r="B259" s="1" t="s">
        <v>25</v>
      </c>
      <c r="C259" s="1" t="s">
        <v>26</v>
      </c>
      <c r="D259" s="1" t="s">
        <v>43</v>
      </c>
      <c r="E259" s="3">
        <v>80</v>
      </c>
      <c r="F259" s="3">
        <v>150</v>
      </c>
      <c r="G259" s="13">
        <v>826</v>
      </c>
      <c r="H259" s="3">
        <v>123900</v>
      </c>
      <c r="I259" s="3">
        <v>57820</v>
      </c>
      <c r="J259" s="1" t="s">
        <v>28</v>
      </c>
      <c r="K259" s="1" t="s">
        <v>44</v>
      </c>
      <c r="L259" s="1" t="s">
        <v>45</v>
      </c>
      <c r="M259" s="1">
        <v>2018</v>
      </c>
      <c r="N259" s="1" t="str">
        <f t="shared" si="4"/>
        <v>Francophone</v>
      </c>
      <c r="O259" s="3" t="str">
        <f>_xlfn.XLOOKUP(D:D,MappingTable[Brand],MappingTable[Brand Type], "not found")</f>
        <v>Malt</v>
      </c>
      <c r="P259" t="str">
        <f>_xlfn.XLOOKUP(L:L,MappingTable2[Month],MappingTable2[Quarters],"NIL")</f>
        <v>Q2</v>
      </c>
      <c r="Q259" s="1"/>
    </row>
    <row r="260" spans="1:17" x14ac:dyDescent="0.2">
      <c r="A260" s="1">
        <v>10359</v>
      </c>
      <c r="B260" s="1" t="s">
        <v>31</v>
      </c>
      <c r="C260" s="1" t="s">
        <v>32</v>
      </c>
      <c r="D260" s="1" t="s">
        <v>48</v>
      </c>
      <c r="E260" s="3">
        <v>90</v>
      </c>
      <c r="F260" s="3">
        <v>150</v>
      </c>
      <c r="G260" s="13">
        <v>907</v>
      </c>
      <c r="H260" s="3">
        <v>136050</v>
      </c>
      <c r="I260" s="3">
        <v>54420</v>
      </c>
      <c r="J260" s="1" t="s">
        <v>34</v>
      </c>
      <c r="K260" s="1" t="s">
        <v>17</v>
      </c>
      <c r="L260" s="1" t="s">
        <v>49</v>
      </c>
      <c r="M260" s="1">
        <v>2018</v>
      </c>
      <c r="N260" s="1" t="str">
        <f t="shared" si="4"/>
        <v>Francophone</v>
      </c>
      <c r="O260" s="3" t="str">
        <f>_xlfn.XLOOKUP(D:D,MappingTable[Brand],MappingTable[Brand Type], "not found")</f>
        <v>Malt</v>
      </c>
      <c r="P260" t="str">
        <f>_xlfn.XLOOKUP(L:L,MappingTable2[Month],MappingTable2[Quarters],"NIL")</f>
        <v>Q3</v>
      </c>
      <c r="Q260" s="1"/>
    </row>
    <row r="261" spans="1:17" x14ac:dyDescent="0.2">
      <c r="A261" s="1">
        <v>10360</v>
      </c>
      <c r="B261" s="1" t="s">
        <v>37</v>
      </c>
      <c r="C261" s="1" t="s">
        <v>38</v>
      </c>
      <c r="D261" s="1" t="s">
        <v>15</v>
      </c>
      <c r="E261" s="3">
        <v>150</v>
      </c>
      <c r="F261" s="3">
        <v>200</v>
      </c>
      <c r="G261" s="13">
        <v>704</v>
      </c>
      <c r="H261" s="3">
        <v>140800</v>
      </c>
      <c r="I261" s="3">
        <v>35200</v>
      </c>
      <c r="J261" s="1" t="s">
        <v>40</v>
      </c>
      <c r="K261" s="1" t="s">
        <v>23</v>
      </c>
      <c r="L261" s="1" t="s">
        <v>50</v>
      </c>
      <c r="M261" s="1">
        <v>2019</v>
      </c>
      <c r="N261" s="1" t="str">
        <f t="shared" si="4"/>
        <v>Francophone</v>
      </c>
      <c r="O261" s="3" t="str">
        <f>_xlfn.XLOOKUP(D:D,MappingTable[Brand],MappingTable[Brand Type], "not found")</f>
        <v>Beer</v>
      </c>
      <c r="P261" t="str">
        <f>_xlfn.XLOOKUP(L:L,MappingTable2[Month],MappingTable2[Quarters],"NIL")</f>
        <v>Q3</v>
      </c>
      <c r="Q261" s="1"/>
    </row>
    <row r="262" spans="1:17" x14ac:dyDescent="0.2">
      <c r="A262" s="1">
        <v>10361</v>
      </c>
      <c r="B262" s="1" t="s">
        <v>13</v>
      </c>
      <c r="C262" s="1" t="s">
        <v>14</v>
      </c>
      <c r="D262" s="1" t="s">
        <v>21</v>
      </c>
      <c r="E262" s="3">
        <v>250</v>
      </c>
      <c r="F262" s="3">
        <v>500</v>
      </c>
      <c r="G262" s="13">
        <v>719</v>
      </c>
      <c r="H262" s="3">
        <v>359500</v>
      </c>
      <c r="I262" s="3">
        <v>179750</v>
      </c>
      <c r="J262" s="1" t="s">
        <v>16</v>
      </c>
      <c r="K262" s="1" t="s">
        <v>29</v>
      </c>
      <c r="L262" s="1" t="s">
        <v>53</v>
      </c>
      <c r="M262" s="1">
        <v>2019</v>
      </c>
      <c r="N262" s="1" t="str">
        <f t="shared" si="4"/>
        <v>Anglophone</v>
      </c>
      <c r="O262" s="3" t="str">
        <f>_xlfn.XLOOKUP(D:D,MappingTable[Brand],MappingTable[Brand Type], "not found")</f>
        <v>Beer</v>
      </c>
      <c r="P262" t="str">
        <f>_xlfn.XLOOKUP(L:L,MappingTable2[Month],MappingTable2[Quarters],"NIL")</f>
        <v>Q3</v>
      </c>
      <c r="Q262" s="1"/>
    </row>
    <row r="263" spans="1:17" x14ac:dyDescent="0.2">
      <c r="A263" s="1">
        <v>10362</v>
      </c>
      <c r="B263" s="1" t="s">
        <v>46</v>
      </c>
      <c r="C263" s="1" t="s">
        <v>47</v>
      </c>
      <c r="D263" s="1" t="s">
        <v>27</v>
      </c>
      <c r="E263" s="3">
        <v>180</v>
      </c>
      <c r="F263" s="3">
        <v>450</v>
      </c>
      <c r="G263" s="13">
        <v>718</v>
      </c>
      <c r="H263" s="3">
        <v>323100</v>
      </c>
      <c r="I263" s="3">
        <v>193860</v>
      </c>
      <c r="J263" s="1" t="s">
        <v>22</v>
      </c>
      <c r="K263" s="1" t="s">
        <v>35</v>
      </c>
      <c r="L263" s="1" t="s">
        <v>56</v>
      </c>
      <c r="M263" s="1">
        <v>2018</v>
      </c>
      <c r="N263" s="1" t="str">
        <f t="shared" si="4"/>
        <v>Anglophone</v>
      </c>
      <c r="O263" s="3" t="str">
        <f>_xlfn.XLOOKUP(D:D,MappingTable[Brand],MappingTable[Brand Type], "not found")</f>
        <v>Beer</v>
      </c>
      <c r="P263" t="str">
        <f>_xlfn.XLOOKUP(L:L,MappingTable2[Month],MappingTable2[Quarters],"NIL")</f>
        <v>Q4</v>
      </c>
      <c r="Q263" s="1"/>
    </row>
    <row r="264" spans="1:17" x14ac:dyDescent="0.2">
      <c r="A264" s="1">
        <v>10363</v>
      </c>
      <c r="B264" s="1" t="s">
        <v>31</v>
      </c>
      <c r="C264" s="1" t="s">
        <v>32</v>
      </c>
      <c r="D264" s="1" t="s">
        <v>33</v>
      </c>
      <c r="E264" s="3">
        <v>170</v>
      </c>
      <c r="F264" s="3">
        <v>250</v>
      </c>
      <c r="G264" s="13">
        <v>879</v>
      </c>
      <c r="H264" s="3">
        <v>219750</v>
      </c>
      <c r="I264" s="3">
        <v>70320</v>
      </c>
      <c r="J264" s="1" t="s">
        <v>28</v>
      </c>
      <c r="K264" s="1" t="s">
        <v>41</v>
      </c>
      <c r="L264" s="1" t="s">
        <v>59</v>
      </c>
      <c r="M264" s="1">
        <v>2017</v>
      </c>
      <c r="N264" s="1" t="str">
        <f t="shared" si="4"/>
        <v>Francophone</v>
      </c>
      <c r="O264" s="3" t="str">
        <f>_xlfn.XLOOKUP(D:D,MappingTable[Brand],MappingTable[Brand Type], "not found")</f>
        <v>Beer</v>
      </c>
      <c r="P264" t="str">
        <f>_xlfn.XLOOKUP(L:L,MappingTable2[Month],MappingTable2[Quarters],"NIL")</f>
        <v>Q4</v>
      </c>
      <c r="Q264" s="1"/>
    </row>
    <row r="265" spans="1:17" x14ac:dyDescent="0.2">
      <c r="A265" s="1">
        <v>10364</v>
      </c>
      <c r="B265" s="1" t="s">
        <v>51</v>
      </c>
      <c r="C265" s="1" t="s">
        <v>52</v>
      </c>
      <c r="D265" s="1" t="s">
        <v>39</v>
      </c>
      <c r="E265" s="3">
        <v>150</v>
      </c>
      <c r="F265" s="3">
        <v>200</v>
      </c>
      <c r="G265" s="13">
        <v>816</v>
      </c>
      <c r="H265" s="3">
        <v>163200</v>
      </c>
      <c r="I265" s="3">
        <v>40800</v>
      </c>
      <c r="J265" s="1" t="s">
        <v>34</v>
      </c>
      <c r="K265" s="1" t="s">
        <v>44</v>
      </c>
      <c r="L265" s="1" t="s">
        <v>60</v>
      </c>
      <c r="M265" s="1">
        <v>2017</v>
      </c>
      <c r="N265" s="1" t="str">
        <f t="shared" si="4"/>
        <v>Francophone</v>
      </c>
      <c r="O265" s="3" t="str">
        <f>_xlfn.XLOOKUP(D:D,MappingTable[Brand],MappingTable[Brand Type], "not found")</f>
        <v>Beer</v>
      </c>
      <c r="P265" t="str">
        <f>_xlfn.XLOOKUP(L:L,MappingTable2[Month],MappingTable2[Quarters],"NIL")</f>
        <v>Q4</v>
      </c>
      <c r="Q265" s="1"/>
    </row>
    <row r="266" spans="1:17" x14ac:dyDescent="0.2">
      <c r="A266" s="1">
        <v>10365</v>
      </c>
      <c r="B266" s="1" t="s">
        <v>54</v>
      </c>
      <c r="C266" s="1" t="s">
        <v>55</v>
      </c>
      <c r="D266" s="1" t="s">
        <v>43</v>
      </c>
      <c r="E266" s="3">
        <v>80</v>
      </c>
      <c r="F266" s="3">
        <v>150</v>
      </c>
      <c r="G266" s="13">
        <v>803</v>
      </c>
      <c r="H266" s="3">
        <v>120450</v>
      </c>
      <c r="I266" s="3">
        <v>56210</v>
      </c>
      <c r="J266" s="1" t="s">
        <v>40</v>
      </c>
      <c r="K266" s="1" t="s">
        <v>17</v>
      </c>
      <c r="L266" s="1" t="s">
        <v>18</v>
      </c>
      <c r="M266" s="1">
        <v>2017</v>
      </c>
      <c r="N266" s="1" t="str">
        <f t="shared" si="4"/>
        <v>Francophone</v>
      </c>
      <c r="O266" s="3" t="str">
        <f>_xlfn.XLOOKUP(D:D,MappingTable[Brand],MappingTable[Brand Type], "not found")</f>
        <v>Malt</v>
      </c>
      <c r="P266" t="str">
        <f>_xlfn.XLOOKUP(L:L,MappingTable2[Month],MappingTable2[Quarters],"NIL")</f>
        <v>Q1</v>
      </c>
      <c r="Q266" s="1"/>
    </row>
    <row r="267" spans="1:17" x14ac:dyDescent="0.2">
      <c r="A267" s="1">
        <v>10366</v>
      </c>
      <c r="B267" s="1" t="s">
        <v>57</v>
      </c>
      <c r="C267" s="1" t="s">
        <v>58</v>
      </c>
      <c r="D267" s="1" t="s">
        <v>48</v>
      </c>
      <c r="E267" s="3">
        <v>90</v>
      </c>
      <c r="F267" s="3">
        <v>150</v>
      </c>
      <c r="G267" s="13">
        <v>744</v>
      </c>
      <c r="H267" s="3">
        <v>111600</v>
      </c>
      <c r="I267" s="3">
        <v>44640</v>
      </c>
      <c r="J267" s="1" t="s">
        <v>16</v>
      </c>
      <c r="K267" s="1" t="s">
        <v>23</v>
      </c>
      <c r="L267" s="1" t="s">
        <v>24</v>
      </c>
      <c r="M267" s="1">
        <v>2018</v>
      </c>
      <c r="N267" s="1" t="str">
        <f t="shared" si="4"/>
        <v>Anglophone</v>
      </c>
      <c r="O267" s="3" t="str">
        <f>_xlfn.XLOOKUP(D:D,MappingTable[Brand],MappingTable[Brand Type], "not found")</f>
        <v>Malt</v>
      </c>
      <c r="P267" t="str">
        <f>_xlfn.XLOOKUP(L:L,MappingTable2[Month],MappingTable2[Quarters],"NIL")</f>
        <v>Q1</v>
      </c>
      <c r="Q267" s="1"/>
    </row>
    <row r="268" spans="1:17" x14ac:dyDescent="0.2">
      <c r="A268" s="1">
        <v>10367</v>
      </c>
      <c r="B268" s="1" t="s">
        <v>31</v>
      </c>
      <c r="C268" s="1" t="s">
        <v>32</v>
      </c>
      <c r="D268" s="1" t="s">
        <v>15</v>
      </c>
      <c r="E268" s="3">
        <v>150</v>
      </c>
      <c r="F268" s="3">
        <v>200</v>
      </c>
      <c r="G268" s="13">
        <v>912</v>
      </c>
      <c r="H268" s="3">
        <v>182400</v>
      </c>
      <c r="I268" s="3">
        <v>45600</v>
      </c>
      <c r="J268" s="1" t="s">
        <v>22</v>
      </c>
      <c r="K268" s="1" t="s">
        <v>29</v>
      </c>
      <c r="L268" s="1" t="s">
        <v>30</v>
      </c>
      <c r="M268" s="1">
        <v>2017</v>
      </c>
      <c r="N268" s="1" t="str">
        <f t="shared" si="4"/>
        <v>Anglophone</v>
      </c>
      <c r="O268" s="3" t="str">
        <f>_xlfn.XLOOKUP(D:D,MappingTable[Brand],MappingTable[Brand Type], "not found")</f>
        <v>Beer</v>
      </c>
      <c r="P268" t="str">
        <f>_xlfn.XLOOKUP(L:L,MappingTable2[Month],MappingTable2[Quarters],"NIL")</f>
        <v>Q1</v>
      </c>
      <c r="Q268" s="1"/>
    </row>
    <row r="269" spans="1:17" x14ac:dyDescent="0.2">
      <c r="A269" s="1">
        <v>10368</v>
      </c>
      <c r="B269" s="1" t="s">
        <v>61</v>
      </c>
      <c r="C269" s="1" t="s">
        <v>62</v>
      </c>
      <c r="D269" s="1" t="s">
        <v>21</v>
      </c>
      <c r="E269" s="3">
        <v>250</v>
      </c>
      <c r="F269" s="3">
        <v>500</v>
      </c>
      <c r="G269" s="13">
        <v>801</v>
      </c>
      <c r="H269" s="3">
        <v>400500</v>
      </c>
      <c r="I269" s="3">
        <v>200250</v>
      </c>
      <c r="J269" s="1" t="s">
        <v>28</v>
      </c>
      <c r="K269" s="1" t="s">
        <v>35</v>
      </c>
      <c r="L269" s="1" t="s">
        <v>36</v>
      </c>
      <c r="M269" s="1">
        <v>2018</v>
      </c>
      <c r="N269" s="1" t="str">
        <f t="shared" si="4"/>
        <v>Francophone</v>
      </c>
      <c r="O269" s="3" t="str">
        <f>_xlfn.XLOOKUP(D:D,MappingTable[Brand],MappingTable[Brand Type], "not found")</f>
        <v>Beer</v>
      </c>
      <c r="P269" t="str">
        <f>_xlfn.XLOOKUP(L:L,MappingTable2[Month],MappingTable2[Quarters],"NIL")</f>
        <v>Q2</v>
      </c>
      <c r="Q269" s="1"/>
    </row>
    <row r="270" spans="1:17" x14ac:dyDescent="0.2">
      <c r="A270" s="1">
        <v>10369</v>
      </c>
      <c r="B270" s="1" t="s">
        <v>31</v>
      </c>
      <c r="C270" s="1" t="s">
        <v>32</v>
      </c>
      <c r="D270" s="1" t="s">
        <v>27</v>
      </c>
      <c r="E270" s="3">
        <v>180</v>
      </c>
      <c r="F270" s="3">
        <v>450</v>
      </c>
      <c r="G270" s="13">
        <v>720</v>
      </c>
      <c r="H270" s="3">
        <v>324000</v>
      </c>
      <c r="I270" s="3">
        <v>194400</v>
      </c>
      <c r="J270" s="1" t="s">
        <v>34</v>
      </c>
      <c r="K270" s="1" t="s">
        <v>41</v>
      </c>
      <c r="L270" s="1" t="s">
        <v>42</v>
      </c>
      <c r="M270" s="1">
        <v>2018</v>
      </c>
      <c r="N270" s="1" t="str">
        <f t="shared" si="4"/>
        <v>Francophone</v>
      </c>
      <c r="O270" s="3" t="str">
        <f>_xlfn.XLOOKUP(D:D,MappingTable[Brand],MappingTable[Brand Type], "not found")</f>
        <v>Beer</v>
      </c>
      <c r="P270" t="str">
        <f>_xlfn.XLOOKUP(L:L,MappingTable2[Month],MappingTable2[Quarters],"NIL")</f>
        <v>Q2</v>
      </c>
      <c r="Q270" s="1"/>
    </row>
    <row r="271" spans="1:17" x14ac:dyDescent="0.2">
      <c r="A271" s="1">
        <v>10370</v>
      </c>
      <c r="B271" s="1" t="s">
        <v>51</v>
      </c>
      <c r="C271" s="1" t="s">
        <v>52</v>
      </c>
      <c r="D271" s="1" t="s">
        <v>33</v>
      </c>
      <c r="E271" s="3">
        <v>170</v>
      </c>
      <c r="F271" s="3">
        <v>250</v>
      </c>
      <c r="G271" s="13">
        <v>983</v>
      </c>
      <c r="H271" s="3">
        <v>245750</v>
      </c>
      <c r="I271" s="3">
        <v>78640</v>
      </c>
      <c r="J271" s="1" t="s">
        <v>40</v>
      </c>
      <c r="K271" s="1" t="s">
        <v>44</v>
      </c>
      <c r="L271" s="1" t="s">
        <v>45</v>
      </c>
      <c r="M271" s="1">
        <v>2019</v>
      </c>
      <c r="N271" s="1" t="str">
        <f t="shared" si="4"/>
        <v>Francophone</v>
      </c>
      <c r="O271" s="3" t="str">
        <f>_xlfn.XLOOKUP(D:D,MappingTable[Brand],MappingTable[Brand Type], "not found")</f>
        <v>Beer</v>
      </c>
      <c r="P271" t="str">
        <f>_xlfn.XLOOKUP(L:L,MappingTable2[Month],MappingTable2[Quarters],"NIL")</f>
        <v>Q2</v>
      </c>
      <c r="Q271" s="1"/>
    </row>
    <row r="272" spans="1:17" x14ac:dyDescent="0.2">
      <c r="A272" s="1">
        <v>10371</v>
      </c>
      <c r="B272" s="1" t="s">
        <v>31</v>
      </c>
      <c r="C272" s="1" t="s">
        <v>32</v>
      </c>
      <c r="D272" s="1" t="s">
        <v>39</v>
      </c>
      <c r="E272" s="3">
        <v>150</v>
      </c>
      <c r="F272" s="3">
        <v>200</v>
      </c>
      <c r="G272" s="13">
        <v>989</v>
      </c>
      <c r="H272" s="3">
        <v>197800</v>
      </c>
      <c r="I272" s="3">
        <v>49450</v>
      </c>
      <c r="J272" s="1" t="s">
        <v>16</v>
      </c>
      <c r="K272" s="1" t="s">
        <v>17</v>
      </c>
      <c r="L272" s="1" t="s">
        <v>49</v>
      </c>
      <c r="M272" s="1">
        <v>2019</v>
      </c>
      <c r="N272" s="1" t="str">
        <f t="shared" si="4"/>
        <v>Anglophone</v>
      </c>
      <c r="O272" s="3" t="str">
        <f>_xlfn.XLOOKUP(D:D,MappingTable[Brand],MappingTable[Brand Type], "not found")</f>
        <v>Beer</v>
      </c>
      <c r="P272" t="str">
        <f>_xlfn.XLOOKUP(L:L,MappingTable2[Month],MappingTable2[Quarters],"NIL")</f>
        <v>Q3</v>
      </c>
      <c r="Q272" s="1"/>
    </row>
    <row r="273" spans="1:17" x14ac:dyDescent="0.2">
      <c r="A273" s="1">
        <v>10372</v>
      </c>
      <c r="B273" s="1" t="s">
        <v>57</v>
      </c>
      <c r="C273" s="1" t="s">
        <v>58</v>
      </c>
      <c r="D273" s="1" t="s">
        <v>43</v>
      </c>
      <c r="E273" s="3">
        <v>80</v>
      </c>
      <c r="F273" s="3">
        <v>150</v>
      </c>
      <c r="G273" s="13">
        <v>996</v>
      </c>
      <c r="H273" s="3">
        <v>149400</v>
      </c>
      <c r="I273" s="3">
        <v>69720</v>
      </c>
      <c r="J273" s="1" t="s">
        <v>22</v>
      </c>
      <c r="K273" s="1" t="s">
        <v>23</v>
      </c>
      <c r="L273" s="1" t="s">
        <v>50</v>
      </c>
      <c r="M273" s="1">
        <v>2018</v>
      </c>
      <c r="N273" s="1" t="str">
        <f t="shared" si="4"/>
        <v>Anglophone</v>
      </c>
      <c r="O273" s="3" t="str">
        <f>_xlfn.XLOOKUP(D:D,MappingTable[Brand],MappingTable[Brand Type], "not found")</f>
        <v>Malt</v>
      </c>
      <c r="P273" t="str">
        <f>_xlfn.XLOOKUP(L:L,MappingTable2[Month],MappingTable2[Quarters],"NIL")</f>
        <v>Q3</v>
      </c>
      <c r="Q273" s="1"/>
    </row>
    <row r="274" spans="1:17" x14ac:dyDescent="0.2">
      <c r="A274" s="1">
        <v>10373</v>
      </c>
      <c r="B274" s="1" t="s">
        <v>63</v>
      </c>
      <c r="C274" s="1" t="s">
        <v>64</v>
      </c>
      <c r="D274" s="1" t="s">
        <v>48</v>
      </c>
      <c r="E274" s="3">
        <v>90</v>
      </c>
      <c r="F274" s="3">
        <v>150</v>
      </c>
      <c r="G274" s="13">
        <v>801</v>
      </c>
      <c r="H274" s="3">
        <v>120150</v>
      </c>
      <c r="I274" s="3">
        <v>48060</v>
      </c>
      <c r="J274" s="1" t="s">
        <v>28</v>
      </c>
      <c r="K274" s="1" t="s">
        <v>29</v>
      </c>
      <c r="L274" s="1" t="s">
        <v>53</v>
      </c>
      <c r="M274" s="1">
        <v>2017</v>
      </c>
      <c r="N274" s="1" t="str">
        <f t="shared" si="4"/>
        <v>Francophone</v>
      </c>
      <c r="O274" s="3" t="str">
        <f>_xlfn.XLOOKUP(D:D,MappingTable[Brand],MappingTable[Brand Type], "not found")</f>
        <v>Malt</v>
      </c>
      <c r="P274" t="str">
        <f>_xlfn.XLOOKUP(L:L,MappingTable2[Month],MappingTable2[Quarters],"NIL")</f>
        <v>Q3</v>
      </c>
      <c r="Q274" s="1"/>
    </row>
    <row r="275" spans="1:17" x14ac:dyDescent="0.2">
      <c r="A275" s="1">
        <v>10374</v>
      </c>
      <c r="B275" s="1" t="s">
        <v>61</v>
      </c>
      <c r="C275" s="1" t="s">
        <v>62</v>
      </c>
      <c r="D275" s="1" t="s">
        <v>15</v>
      </c>
      <c r="E275" s="3">
        <v>150</v>
      </c>
      <c r="F275" s="3">
        <v>200</v>
      </c>
      <c r="G275" s="13">
        <v>857</v>
      </c>
      <c r="H275" s="3">
        <v>171400</v>
      </c>
      <c r="I275" s="3">
        <v>42850</v>
      </c>
      <c r="J275" s="1" t="s">
        <v>34</v>
      </c>
      <c r="K275" s="1" t="s">
        <v>35</v>
      </c>
      <c r="L275" s="1" t="s">
        <v>56</v>
      </c>
      <c r="M275" s="1">
        <v>2019</v>
      </c>
      <c r="N275" s="1" t="str">
        <f t="shared" si="4"/>
        <v>Francophone</v>
      </c>
      <c r="O275" s="3" t="str">
        <f>_xlfn.XLOOKUP(D:D,MappingTable[Brand],MappingTable[Brand Type], "not found")</f>
        <v>Beer</v>
      </c>
      <c r="P275" t="str">
        <f>_xlfn.XLOOKUP(L:L,MappingTable2[Month],MappingTable2[Quarters],"NIL")</f>
        <v>Q4</v>
      </c>
      <c r="Q275" s="1"/>
    </row>
    <row r="276" spans="1:17" x14ac:dyDescent="0.2">
      <c r="A276" s="1">
        <v>10375</v>
      </c>
      <c r="B276" s="1" t="s">
        <v>57</v>
      </c>
      <c r="C276" s="1" t="s">
        <v>58</v>
      </c>
      <c r="D276" s="1" t="s">
        <v>21</v>
      </c>
      <c r="E276" s="3">
        <v>250</v>
      </c>
      <c r="F276" s="3">
        <v>500</v>
      </c>
      <c r="G276" s="13">
        <v>928</v>
      </c>
      <c r="H276" s="3">
        <v>464000</v>
      </c>
      <c r="I276" s="3">
        <v>232000</v>
      </c>
      <c r="J276" s="1" t="s">
        <v>40</v>
      </c>
      <c r="K276" s="1" t="s">
        <v>41</v>
      </c>
      <c r="L276" s="1" t="s">
        <v>59</v>
      </c>
      <c r="M276" s="1">
        <v>2018</v>
      </c>
      <c r="N276" s="1" t="str">
        <f t="shared" si="4"/>
        <v>Francophone</v>
      </c>
      <c r="O276" s="3" t="str">
        <f>_xlfn.XLOOKUP(D:D,MappingTable[Brand],MappingTable[Brand Type], "not found")</f>
        <v>Beer</v>
      </c>
      <c r="P276" t="str">
        <f>_xlfn.XLOOKUP(L:L,MappingTable2[Month],MappingTable2[Quarters],"NIL")</f>
        <v>Q4</v>
      </c>
      <c r="Q276" s="1"/>
    </row>
    <row r="277" spans="1:17" x14ac:dyDescent="0.2">
      <c r="A277" s="1">
        <v>10376</v>
      </c>
      <c r="B277" s="1" t="s">
        <v>19</v>
      </c>
      <c r="C277" s="1" t="s">
        <v>20</v>
      </c>
      <c r="D277" s="1" t="s">
        <v>27</v>
      </c>
      <c r="E277" s="3">
        <v>180</v>
      </c>
      <c r="F277" s="3">
        <v>450</v>
      </c>
      <c r="G277" s="13">
        <v>788</v>
      </c>
      <c r="H277" s="3">
        <v>354600</v>
      </c>
      <c r="I277" s="3">
        <v>212760</v>
      </c>
      <c r="J277" s="1" t="s">
        <v>16</v>
      </c>
      <c r="K277" s="1" t="s">
        <v>44</v>
      </c>
      <c r="L277" s="1" t="s">
        <v>60</v>
      </c>
      <c r="M277" s="1">
        <v>2019</v>
      </c>
      <c r="N277" s="1" t="str">
        <f t="shared" si="4"/>
        <v>Anglophone</v>
      </c>
      <c r="O277" s="3" t="str">
        <f>_xlfn.XLOOKUP(D:D,MappingTable[Brand],MappingTable[Brand Type], "not found")</f>
        <v>Beer</v>
      </c>
      <c r="P277" t="str">
        <f>_xlfn.XLOOKUP(L:L,MappingTable2[Month],MappingTable2[Quarters],"NIL")</f>
        <v>Q4</v>
      </c>
      <c r="Q277" s="1"/>
    </row>
    <row r="278" spans="1:17" x14ac:dyDescent="0.2">
      <c r="A278" s="1">
        <v>10377</v>
      </c>
      <c r="B278" s="1" t="s">
        <v>61</v>
      </c>
      <c r="C278" s="1" t="s">
        <v>62</v>
      </c>
      <c r="D278" s="1" t="s">
        <v>33</v>
      </c>
      <c r="E278" s="3">
        <v>170</v>
      </c>
      <c r="F278" s="3">
        <v>250</v>
      </c>
      <c r="G278" s="13">
        <v>795</v>
      </c>
      <c r="H278" s="3">
        <v>198750</v>
      </c>
      <c r="I278" s="3">
        <v>63600</v>
      </c>
      <c r="J278" s="1" t="s">
        <v>22</v>
      </c>
      <c r="K278" s="1" t="s">
        <v>17</v>
      </c>
      <c r="L278" s="1" t="s">
        <v>18</v>
      </c>
      <c r="M278" s="1">
        <v>2017</v>
      </c>
      <c r="N278" s="1" t="str">
        <f t="shared" si="4"/>
        <v>Anglophone</v>
      </c>
      <c r="O278" s="3" t="str">
        <f>_xlfn.XLOOKUP(D:D,MappingTable[Brand],MappingTable[Brand Type], "not found")</f>
        <v>Beer</v>
      </c>
      <c r="P278" t="str">
        <f>_xlfn.XLOOKUP(L:L,MappingTable2[Month],MappingTable2[Quarters],"NIL")</f>
        <v>Q1</v>
      </c>
      <c r="Q278" s="1"/>
    </row>
    <row r="279" spans="1:17" x14ac:dyDescent="0.2">
      <c r="A279" s="1">
        <v>10378</v>
      </c>
      <c r="B279" s="1" t="s">
        <v>31</v>
      </c>
      <c r="C279" s="1" t="s">
        <v>32</v>
      </c>
      <c r="D279" s="1" t="s">
        <v>39</v>
      </c>
      <c r="E279" s="3">
        <v>150</v>
      </c>
      <c r="F279" s="3">
        <v>200</v>
      </c>
      <c r="G279" s="13">
        <v>865</v>
      </c>
      <c r="H279" s="3">
        <v>173000</v>
      </c>
      <c r="I279" s="3">
        <v>43250</v>
      </c>
      <c r="J279" s="1" t="s">
        <v>28</v>
      </c>
      <c r="K279" s="1" t="s">
        <v>23</v>
      </c>
      <c r="L279" s="1" t="s">
        <v>24</v>
      </c>
      <c r="M279" s="1">
        <v>2019</v>
      </c>
      <c r="N279" s="1" t="str">
        <f t="shared" si="4"/>
        <v>Francophone</v>
      </c>
      <c r="O279" s="3" t="str">
        <f>_xlfn.XLOOKUP(D:D,MappingTable[Brand],MappingTable[Brand Type], "not found")</f>
        <v>Beer</v>
      </c>
      <c r="P279" t="str">
        <f>_xlfn.XLOOKUP(L:L,MappingTable2[Month],MappingTable2[Quarters],"NIL")</f>
        <v>Q1</v>
      </c>
      <c r="Q279" s="1"/>
    </row>
    <row r="280" spans="1:17" x14ac:dyDescent="0.2">
      <c r="A280" s="1">
        <v>10379</v>
      </c>
      <c r="B280" s="1" t="s">
        <v>25</v>
      </c>
      <c r="C280" s="1" t="s">
        <v>26</v>
      </c>
      <c r="D280" s="1" t="s">
        <v>43</v>
      </c>
      <c r="E280" s="3">
        <v>80</v>
      </c>
      <c r="F280" s="3">
        <v>150</v>
      </c>
      <c r="G280" s="13">
        <v>798</v>
      </c>
      <c r="H280" s="3">
        <v>119700</v>
      </c>
      <c r="I280" s="3">
        <v>55860</v>
      </c>
      <c r="J280" s="1" t="s">
        <v>34</v>
      </c>
      <c r="K280" s="1" t="s">
        <v>29</v>
      </c>
      <c r="L280" s="1" t="s">
        <v>30</v>
      </c>
      <c r="M280" s="1">
        <v>2018</v>
      </c>
      <c r="N280" s="1" t="str">
        <f t="shared" si="4"/>
        <v>Francophone</v>
      </c>
      <c r="O280" s="3" t="str">
        <f>_xlfn.XLOOKUP(D:D,MappingTable[Brand],MappingTable[Brand Type], "not found")</f>
        <v>Malt</v>
      </c>
      <c r="P280" t="str">
        <f>_xlfn.XLOOKUP(L:L,MappingTable2[Month],MappingTable2[Quarters],"NIL")</f>
        <v>Q1</v>
      </c>
      <c r="Q280" s="1"/>
    </row>
    <row r="281" spans="1:17" x14ac:dyDescent="0.2">
      <c r="A281" s="1">
        <v>10380</v>
      </c>
      <c r="B281" s="1" t="s">
        <v>13</v>
      </c>
      <c r="C281" s="1" t="s">
        <v>14</v>
      </c>
      <c r="D281" s="1" t="s">
        <v>48</v>
      </c>
      <c r="E281" s="3">
        <v>90</v>
      </c>
      <c r="F281" s="3">
        <v>150</v>
      </c>
      <c r="G281" s="13">
        <v>728</v>
      </c>
      <c r="H281" s="3">
        <v>109200</v>
      </c>
      <c r="I281" s="3">
        <v>43680</v>
      </c>
      <c r="J281" s="1" t="s">
        <v>40</v>
      </c>
      <c r="K281" s="1" t="s">
        <v>35</v>
      </c>
      <c r="L281" s="1" t="s">
        <v>36</v>
      </c>
      <c r="M281" s="1">
        <v>2018</v>
      </c>
      <c r="N281" s="1" t="str">
        <f t="shared" si="4"/>
        <v>Francophone</v>
      </c>
      <c r="O281" s="3" t="str">
        <f>_xlfn.XLOOKUP(D:D,MappingTable[Brand],MappingTable[Brand Type], "not found")</f>
        <v>Malt</v>
      </c>
      <c r="P281" t="str">
        <f>_xlfn.XLOOKUP(L:L,MappingTable2[Month],MappingTable2[Quarters],"NIL")</f>
        <v>Q2</v>
      </c>
      <c r="Q281" s="1"/>
    </row>
    <row r="282" spans="1:17" x14ac:dyDescent="0.2">
      <c r="A282" s="1">
        <v>10381</v>
      </c>
      <c r="B282" s="1" t="s">
        <v>37</v>
      </c>
      <c r="C282" s="1" t="s">
        <v>38</v>
      </c>
      <c r="D282" s="1" t="s">
        <v>15</v>
      </c>
      <c r="E282" s="3">
        <v>150</v>
      </c>
      <c r="F282" s="3">
        <v>200</v>
      </c>
      <c r="G282" s="13">
        <v>948</v>
      </c>
      <c r="H282" s="3">
        <v>189600</v>
      </c>
      <c r="I282" s="3">
        <v>47400</v>
      </c>
      <c r="J282" s="1" t="s">
        <v>16</v>
      </c>
      <c r="K282" s="1" t="s">
        <v>41</v>
      </c>
      <c r="L282" s="1" t="s">
        <v>42</v>
      </c>
      <c r="M282" s="1">
        <v>2019</v>
      </c>
      <c r="N282" s="1" t="str">
        <f t="shared" si="4"/>
        <v>Anglophone</v>
      </c>
      <c r="O282" s="3" t="str">
        <f>_xlfn.XLOOKUP(D:D,MappingTable[Brand],MappingTable[Brand Type], "not found")</f>
        <v>Beer</v>
      </c>
      <c r="P282" t="str">
        <f>_xlfn.XLOOKUP(L:L,MappingTable2[Month],MappingTable2[Quarters],"NIL")</f>
        <v>Q2</v>
      </c>
      <c r="Q282" s="1"/>
    </row>
    <row r="283" spans="1:17" x14ac:dyDescent="0.2">
      <c r="A283" s="1">
        <v>10382</v>
      </c>
      <c r="B283" s="1" t="s">
        <v>54</v>
      </c>
      <c r="C283" s="1" t="s">
        <v>55</v>
      </c>
      <c r="D283" s="1" t="s">
        <v>21</v>
      </c>
      <c r="E283" s="3">
        <v>250</v>
      </c>
      <c r="F283" s="3">
        <v>500</v>
      </c>
      <c r="G283" s="13">
        <v>863</v>
      </c>
      <c r="H283" s="3">
        <v>431500</v>
      </c>
      <c r="I283" s="3">
        <v>215750</v>
      </c>
      <c r="J283" s="1" t="s">
        <v>22</v>
      </c>
      <c r="K283" s="1" t="s">
        <v>44</v>
      </c>
      <c r="L283" s="1" t="s">
        <v>45</v>
      </c>
      <c r="M283" s="1">
        <v>2017</v>
      </c>
      <c r="N283" s="1" t="str">
        <f t="shared" si="4"/>
        <v>Anglophone</v>
      </c>
      <c r="O283" s="3" t="str">
        <f>_xlfn.XLOOKUP(D:D,MappingTable[Brand],MappingTable[Brand Type], "not found")</f>
        <v>Beer</v>
      </c>
      <c r="P283" t="str">
        <f>_xlfn.XLOOKUP(L:L,MappingTable2[Month],MappingTable2[Quarters],"NIL")</f>
        <v>Q2</v>
      </c>
      <c r="Q283" s="1"/>
    </row>
    <row r="284" spans="1:17" x14ac:dyDescent="0.2">
      <c r="A284" s="1">
        <v>10383</v>
      </c>
      <c r="B284" s="1" t="s">
        <v>19</v>
      </c>
      <c r="C284" s="1" t="s">
        <v>20</v>
      </c>
      <c r="D284" s="1" t="s">
        <v>27</v>
      </c>
      <c r="E284" s="3">
        <v>180</v>
      </c>
      <c r="F284" s="3">
        <v>450</v>
      </c>
      <c r="G284" s="13">
        <v>913</v>
      </c>
      <c r="H284" s="3">
        <v>410850</v>
      </c>
      <c r="I284" s="3">
        <v>246510</v>
      </c>
      <c r="J284" s="1" t="s">
        <v>28</v>
      </c>
      <c r="K284" s="1" t="s">
        <v>17</v>
      </c>
      <c r="L284" s="1" t="s">
        <v>49</v>
      </c>
      <c r="M284" s="1">
        <v>2019</v>
      </c>
      <c r="N284" s="1" t="str">
        <f t="shared" si="4"/>
        <v>Francophone</v>
      </c>
      <c r="O284" s="3" t="str">
        <f>_xlfn.XLOOKUP(D:D,MappingTable[Brand],MappingTable[Brand Type], "not found")</f>
        <v>Beer</v>
      </c>
      <c r="P284" t="str">
        <f>_xlfn.XLOOKUP(L:L,MappingTable2[Month],MappingTable2[Quarters],"NIL")</f>
        <v>Q3</v>
      </c>
      <c r="Q284" s="1"/>
    </row>
    <row r="285" spans="1:17" x14ac:dyDescent="0.2">
      <c r="A285" s="1">
        <v>10384</v>
      </c>
      <c r="B285" s="1" t="s">
        <v>19</v>
      </c>
      <c r="C285" s="1" t="s">
        <v>20</v>
      </c>
      <c r="D285" s="1" t="s">
        <v>33</v>
      </c>
      <c r="E285" s="3">
        <v>170</v>
      </c>
      <c r="F285" s="3">
        <v>250</v>
      </c>
      <c r="G285" s="13">
        <v>711</v>
      </c>
      <c r="H285" s="3">
        <v>177750</v>
      </c>
      <c r="I285" s="3">
        <v>56880</v>
      </c>
      <c r="J285" s="1" t="s">
        <v>34</v>
      </c>
      <c r="K285" s="1" t="s">
        <v>23</v>
      </c>
      <c r="L285" s="1" t="s">
        <v>50</v>
      </c>
      <c r="M285" s="1">
        <v>2018</v>
      </c>
      <c r="N285" s="1" t="str">
        <f t="shared" si="4"/>
        <v>Francophone</v>
      </c>
      <c r="O285" s="3" t="str">
        <f>_xlfn.XLOOKUP(D:D,MappingTable[Brand],MappingTable[Brand Type], "not found")</f>
        <v>Beer</v>
      </c>
      <c r="P285" t="str">
        <f>_xlfn.XLOOKUP(L:L,MappingTable2[Month],MappingTable2[Quarters],"NIL")</f>
        <v>Q3</v>
      </c>
      <c r="Q285" s="1"/>
    </row>
    <row r="286" spans="1:17" x14ac:dyDescent="0.2">
      <c r="A286" s="1">
        <v>10385</v>
      </c>
      <c r="B286" s="1" t="s">
        <v>63</v>
      </c>
      <c r="C286" s="1" t="s">
        <v>64</v>
      </c>
      <c r="D286" s="1" t="s">
        <v>39</v>
      </c>
      <c r="E286" s="3">
        <v>150</v>
      </c>
      <c r="F286" s="3">
        <v>200</v>
      </c>
      <c r="G286" s="13">
        <v>717</v>
      </c>
      <c r="H286" s="3">
        <v>143400</v>
      </c>
      <c r="I286" s="3">
        <v>35850</v>
      </c>
      <c r="J286" s="1" t="s">
        <v>40</v>
      </c>
      <c r="K286" s="1" t="s">
        <v>29</v>
      </c>
      <c r="L286" s="1" t="s">
        <v>53</v>
      </c>
      <c r="M286" s="1">
        <v>2019</v>
      </c>
      <c r="N286" s="1" t="str">
        <f t="shared" si="4"/>
        <v>Francophone</v>
      </c>
      <c r="O286" s="3" t="str">
        <f>_xlfn.XLOOKUP(D:D,MappingTable[Brand],MappingTable[Brand Type], "not found")</f>
        <v>Beer</v>
      </c>
      <c r="P286" t="str">
        <f>_xlfn.XLOOKUP(L:L,MappingTable2[Month],MappingTable2[Quarters],"NIL")</f>
        <v>Q3</v>
      </c>
      <c r="Q286" s="1"/>
    </row>
    <row r="287" spans="1:17" x14ac:dyDescent="0.2">
      <c r="A287" s="1">
        <v>10386</v>
      </c>
      <c r="B287" s="1" t="s">
        <v>31</v>
      </c>
      <c r="C287" s="1" t="s">
        <v>32</v>
      </c>
      <c r="D287" s="1" t="s">
        <v>43</v>
      </c>
      <c r="E287" s="3">
        <v>80</v>
      </c>
      <c r="F287" s="3">
        <v>150</v>
      </c>
      <c r="G287" s="13">
        <v>862</v>
      </c>
      <c r="H287" s="3">
        <v>129300</v>
      </c>
      <c r="I287" s="3">
        <v>60340</v>
      </c>
      <c r="J287" s="1" t="s">
        <v>16</v>
      </c>
      <c r="K287" s="1" t="s">
        <v>35</v>
      </c>
      <c r="L287" s="1" t="s">
        <v>56</v>
      </c>
      <c r="M287" s="1">
        <v>2019</v>
      </c>
      <c r="N287" s="1" t="str">
        <f t="shared" si="4"/>
        <v>Anglophone</v>
      </c>
      <c r="O287" s="3" t="str">
        <f>_xlfn.XLOOKUP(D:D,MappingTable[Brand],MappingTable[Brand Type], "not found")</f>
        <v>Malt</v>
      </c>
      <c r="P287" t="str">
        <f>_xlfn.XLOOKUP(L:L,MappingTable2[Month],MappingTable2[Quarters],"NIL")</f>
        <v>Q4</v>
      </c>
      <c r="Q287" s="1"/>
    </row>
    <row r="288" spans="1:17" x14ac:dyDescent="0.2">
      <c r="A288" s="1">
        <v>10387</v>
      </c>
      <c r="B288" s="1" t="s">
        <v>51</v>
      </c>
      <c r="C288" s="1" t="s">
        <v>52</v>
      </c>
      <c r="D288" s="1" t="s">
        <v>48</v>
      </c>
      <c r="E288" s="3">
        <v>90</v>
      </c>
      <c r="F288" s="3">
        <v>150</v>
      </c>
      <c r="G288" s="13">
        <v>703</v>
      </c>
      <c r="H288" s="3">
        <v>105450</v>
      </c>
      <c r="I288" s="3">
        <v>42180</v>
      </c>
      <c r="J288" s="1" t="s">
        <v>22</v>
      </c>
      <c r="K288" s="1" t="s">
        <v>41</v>
      </c>
      <c r="L288" s="1" t="s">
        <v>59</v>
      </c>
      <c r="M288" s="1">
        <v>2017</v>
      </c>
      <c r="N288" s="1" t="str">
        <f t="shared" si="4"/>
        <v>Anglophone</v>
      </c>
      <c r="O288" s="3" t="str">
        <f>_xlfn.XLOOKUP(D:D,MappingTable[Brand],MappingTable[Brand Type], "not found")</f>
        <v>Malt</v>
      </c>
      <c r="P288" t="str">
        <f>_xlfn.XLOOKUP(L:L,MappingTable2[Month],MappingTable2[Quarters],"NIL")</f>
        <v>Q4</v>
      </c>
      <c r="Q288" s="1"/>
    </row>
    <row r="289" spans="1:17" x14ac:dyDescent="0.2">
      <c r="A289" s="1">
        <v>10388</v>
      </c>
      <c r="B289" s="1" t="s">
        <v>63</v>
      </c>
      <c r="C289" s="1" t="s">
        <v>64</v>
      </c>
      <c r="D289" s="1" t="s">
        <v>15</v>
      </c>
      <c r="E289" s="3">
        <v>150</v>
      </c>
      <c r="F289" s="3">
        <v>200</v>
      </c>
      <c r="G289" s="13">
        <v>962</v>
      </c>
      <c r="H289" s="3">
        <v>192400</v>
      </c>
      <c r="I289" s="3">
        <v>48100</v>
      </c>
      <c r="J289" s="1" t="s">
        <v>28</v>
      </c>
      <c r="K289" s="1" t="s">
        <v>44</v>
      </c>
      <c r="L289" s="1" t="s">
        <v>60</v>
      </c>
      <c r="M289" s="1">
        <v>2018</v>
      </c>
      <c r="N289" s="1" t="str">
        <f t="shared" si="4"/>
        <v>Francophone</v>
      </c>
      <c r="O289" s="3" t="str">
        <f>_xlfn.XLOOKUP(D:D,MappingTable[Brand],MappingTable[Brand Type], "not found")</f>
        <v>Beer</v>
      </c>
      <c r="P289" t="str">
        <f>_xlfn.XLOOKUP(L:L,MappingTable2[Month],MappingTable2[Quarters],"NIL")</f>
        <v>Q4</v>
      </c>
      <c r="Q289" s="1"/>
    </row>
    <row r="290" spans="1:17" x14ac:dyDescent="0.2">
      <c r="A290" s="1">
        <v>10389</v>
      </c>
      <c r="B290" s="1" t="s">
        <v>25</v>
      </c>
      <c r="C290" s="1" t="s">
        <v>26</v>
      </c>
      <c r="D290" s="1" t="s">
        <v>21</v>
      </c>
      <c r="E290" s="3">
        <v>250</v>
      </c>
      <c r="F290" s="3">
        <v>500</v>
      </c>
      <c r="G290" s="13">
        <v>807</v>
      </c>
      <c r="H290" s="3">
        <v>403500</v>
      </c>
      <c r="I290" s="3">
        <v>201750</v>
      </c>
      <c r="J290" s="1" t="s">
        <v>34</v>
      </c>
      <c r="K290" s="1" t="s">
        <v>17</v>
      </c>
      <c r="L290" s="1" t="s">
        <v>18</v>
      </c>
      <c r="M290" s="1">
        <v>2019</v>
      </c>
      <c r="N290" s="1" t="str">
        <f t="shared" si="4"/>
        <v>Francophone</v>
      </c>
      <c r="O290" s="3" t="str">
        <f>_xlfn.XLOOKUP(D:D,MappingTable[Brand],MappingTable[Brand Type], "not found")</f>
        <v>Beer</v>
      </c>
      <c r="P290" t="str">
        <f>_xlfn.XLOOKUP(L:L,MappingTable2[Month],MappingTable2[Quarters],"NIL")</f>
        <v>Q1</v>
      </c>
      <c r="Q290" s="1"/>
    </row>
    <row r="291" spans="1:17" x14ac:dyDescent="0.2">
      <c r="A291" s="1">
        <v>10390</v>
      </c>
      <c r="B291" s="1" t="s">
        <v>19</v>
      </c>
      <c r="C291" s="1" t="s">
        <v>20</v>
      </c>
      <c r="D291" s="1" t="s">
        <v>27</v>
      </c>
      <c r="E291" s="3">
        <v>180</v>
      </c>
      <c r="F291" s="3">
        <v>450</v>
      </c>
      <c r="G291" s="13">
        <v>950</v>
      </c>
      <c r="H291" s="3">
        <v>427500</v>
      </c>
      <c r="I291" s="3">
        <v>256500</v>
      </c>
      <c r="J291" s="1" t="s">
        <v>40</v>
      </c>
      <c r="K291" s="1" t="s">
        <v>23</v>
      </c>
      <c r="L291" s="1" t="s">
        <v>24</v>
      </c>
      <c r="M291" s="1">
        <v>2017</v>
      </c>
      <c r="N291" s="1" t="str">
        <f t="shared" si="4"/>
        <v>Francophone</v>
      </c>
      <c r="O291" s="3" t="str">
        <f>_xlfn.XLOOKUP(D:D,MappingTable[Brand],MappingTable[Brand Type], "not found")</f>
        <v>Beer</v>
      </c>
      <c r="P291" t="str">
        <f>_xlfn.XLOOKUP(L:L,MappingTable2[Month],MappingTable2[Quarters],"NIL")</f>
        <v>Q1</v>
      </c>
      <c r="Q291" s="1"/>
    </row>
    <row r="292" spans="1:17" x14ac:dyDescent="0.2">
      <c r="A292" s="1">
        <v>10391</v>
      </c>
      <c r="B292" s="1" t="s">
        <v>25</v>
      </c>
      <c r="C292" s="1" t="s">
        <v>26</v>
      </c>
      <c r="D292" s="1" t="s">
        <v>33</v>
      </c>
      <c r="E292" s="3">
        <v>170</v>
      </c>
      <c r="F292" s="3">
        <v>250</v>
      </c>
      <c r="G292" s="13">
        <v>949</v>
      </c>
      <c r="H292" s="3">
        <v>237250</v>
      </c>
      <c r="I292" s="3">
        <v>75920</v>
      </c>
      <c r="J292" s="1" t="s">
        <v>16</v>
      </c>
      <c r="K292" s="1" t="s">
        <v>29</v>
      </c>
      <c r="L292" s="1" t="s">
        <v>30</v>
      </c>
      <c r="M292" s="1">
        <v>2017</v>
      </c>
      <c r="N292" s="1" t="str">
        <f t="shared" si="4"/>
        <v>Anglophone</v>
      </c>
      <c r="O292" s="3" t="str">
        <f>_xlfn.XLOOKUP(D:D,MappingTable[Brand],MappingTable[Brand Type], "not found")</f>
        <v>Beer</v>
      </c>
      <c r="P292" t="str">
        <f>_xlfn.XLOOKUP(L:L,MappingTable2[Month],MappingTable2[Quarters],"NIL")</f>
        <v>Q1</v>
      </c>
      <c r="Q292" s="1"/>
    </row>
    <row r="293" spans="1:17" x14ac:dyDescent="0.2">
      <c r="A293" s="1">
        <v>10392</v>
      </c>
      <c r="B293" s="1" t="s">
        <v>46</v>
      </c>
      <c r="C293" s="1" t="s">
        <v>47</v>
      </c>
      <c r="D293" s="1" t="s">
        <v>39</v>
      </c>
      <c r="E293" s="3">
        <v>150</v>
      </c>
      <c r="F293" s="3">
        <v>200</v>
      </c>
      <c r="G293" s="13">
        <v>724</v>
      </c>
      <c r="H293" s="3">
        <v>144800</v>
      </c>
      <c r="I293" s="3">
        <v>36200</v>
      </c>
      <c r="J293" s="1" t="s">
        <v>22</v>
      </c>
      <c r="K293" s="1" t="s">
        <v>35</v>
      </c>
      <c r="L293" s="1" t="s">
        <v>36</v>
      </c>
      <c r="M293" s="1">
        <v>2017</v>
      </c>
      <c r="N293" s="1" t="str">
        <f t="shared" si="4"/>
        <v>Anglophone</v>
      </c>
      <c r="O293" s="3" t="str">
        <f>_xlfn.XLOOKUP(D:D,MappingTable[Brand],MappingTable[Brand Type], "not found")</f>
        <v>Beer</v>
      </c>
      <c r="P293" t="str">
        <f>_xlfn.XLOOKUP(L:L,MappingTable2[Month],MappingTable2[Quarters],"NIL")</f>
        <v>Q2</v>
      </c>
      <c r="Q293" s="1"/>
    </row>
    <row r="294" spans="1:17" x14ac:dyDescent="0.2">
      <c r="A294" s="1">
        <v>10393</v>
      </c>
      <c r="B294" s="1" t="s">
        <v>37</v>
      </c>
      <c r="C294" s="1" t="s">
        <v>38</v>
      </c>
      <c r="D294" s="1" t="s">
        <v>43</v>
      </c>
      <c r="E294" s="3">
        <v>80</v>
      </c>
      <c r="F294" s="3">
        <v>150</v>
      </c>
      <c r="G294" s="13">
        <v>717</v>
      </c>
      <c r="H294" s="3">
        <v>107550</v>
      </c>
      <c r="I294" s="3">
        <v>50190</v>
      </c>
      <c r="J294" s="1" t="s">
        <v>28</v>
      </c>
      <c r="K294" s="1" t="s">
        <v>41</v>
      </c>
      <c r="L294" s="1" t="s">
        <v>42</v>
      </c>
      <c r="M294" s="1">
        <v>2019</v>
      </c>
      <c r="N294" s="1" t="str">
        <f t="shared" si="4"/>
        <v>Francophone</v>
      </c>
      <c r="O294" s="3" t="str">
        <f>_xlfn.XLOOKUP(D:D,MappingTable[Brand],MappingTable[Brand Type], "not found")</f>
        <v>Malt</v>
      </c>
      <c r="P294" t="str">
        <f>_xlfn.XLOOKUP(L:L,MappingTable2[Month],MappingTable2[Quarters],"NIL")</f>
        <v>Q2</v>
      </c>
      <c r="Q294" s="1"/>
    </row>
    <row r="295" spans="1:17" x14ac:dyDescent="0.2">
      <c r="A295" s="1">
        <v>10394</v>
      </c>
      <c r="B295" s="1" t="s">
        <v>13</v>
      </c>
      <c r="C295" s="1" t="s">
        <v>14</v>
      </c>
      <c r="D295" s="1" t="s">
        <v>48</v>
      </c>
      <c r="E295" s="3">
        <v>90</v>
      </c>
      <c r="F295" s="3">
        <v>150</v>
      </c>
      <c r="G295" s="13">
        <v>933</v>
      </c>
      <c r="H295" s="3">
        <v>139950</v>
      </c>
      <c r="I295" s="3">
        <v>55980</v>
      </c>
      <c r="J295" s="1" t="s">
        <v>34</v>
      </c>
      <c r="K295" s="1" t="s">
        <v>44</v>
      </c>
      <c r="L295" s="1" t="s">
        <v>45</v>
      </c>
      <c r="M295" s="1">
        <v>2017</v>
      </c>
      <c r="N295" s="1" t="str">
        <f t="shared" si="4"/>
        <v>Francophone</v>
      </c>
      <c r="O295" s="3" t="str">
        <f>_xlfn.XLOOKUP(D:D,MappingTable[Brand],MappingTable[Brand Type], "not found")</f>
        <v>Malt</v>
      </c>
      <c r="P295" t="str">
        <f>_xlfn.XLOOKUP(L:L,MappingTable2[Month],MappingTable2[Quarters],"NIL")</f>
        <v>Q2</v>
      </c>
      <c r="Q295" s="1"/>
    </row>
    <row r="296" spans="1:17" x14ac:dyDescent="0.2">
      <c r="A296" s="1">
        <v>10395</v>
      </c>
      <c r="B296" s="1" t="s">
        <v>13</v>
      </c>
      <c r="C296" s="1" t="s">
        <v>14</v>
      </c>
      <c r="D296" s="1" t="s">
        <v>15</v>
      </c>
      <c r="E296" s="3">
        <v>150</v>
      </c>
      <c r="F296" s="3">
        <v>200</v>
      </c>
      <c r="G296" s="13">
        <v>930</v>
      </c>
      <c r="H296" s="3">
        <v>186000</v>
      </c>
      <c r="I296" s="3">
        <v>46500</v>
      </c>
      <c r="J296" s="1" t="s">
        <v>40</v>
      </c>
      <c r="K296" s="1" t="s">
        <v>17</v>
      </c>
      <c r="L296" s="1" t="s">
        <v>49</v>
      </c>
      <c r="M296" s="1">
        <v>2018</v>
      </c>
      <c r="N296" s="1" t="str">
        <f t="shared" si="4"/>
        <v>Francophone</v>
      </c>
      <c r="O296" s="3" t="str">
        <f>_xlfn.XLOOKUP(D:D,MappingTable[Brand],MappingTable[Brand Type], "not found")</f>
        <v>Beer</v>
      </c>
      <c r="P296" t="str">
        <f>_xlfn.XLOOKUP(L:L,MappingTable2[Month],MappingTable2[Quarters],"NIL")</f>
        <v>Q3</v>
      </c>
      <c r="Q296" s="1"/>
    </row>
    <row r="297" spans="1:17" x14ac:dyDescent="0.2">
      <c r="A297" s="1">
        <v>10396</v>
      </c>
      <c r="B297" s="1" t="s">
        <v>37</v>
      </c>
      <c r="C297" s="1" t="s">
        <v>38</v>
      </c>
      <c r="D297" s="1" t="s">
        <v>21</v>
      </c>
      <c r="E297" s="3">
        <v>250</v>
      </c>
      <c r="F297" s="3">
        <v>500</v>
      </c>
      <c r="G297" s="13">
        <v>959</v>
      </c>
      <c r="H297" s="3">
        <v>479500</v>
      </c>
      <c r="I297" s="3">
        <v>239750</v>
      </c>
      <c r="J297" s="1" t="s">
        <v>16</v>
      </c>
      <c r="K297" s="1" t="s">
        <v>23</v>
      </c>
      <c r="L297" s="1" t="s">
        <v>50</v>
      </c>
      <c r="M297" s="1">
        <v>2018</v>
      </c>
      <c r="N297" s="1" t="str">
        <f t="shared" si="4"/>
        <v>Anglophone</v>
      </c>
      <c r="O297" s="3" t="str">
        <f>_xlfn.XLOOKUP(D:D,MappingTable[Brand],MappingTable[Brand Type], "not found")</f>
        <v>Beer</v>
      </c>
      <c r="P297" t="str">
        <f>_xlfn.XLOOKUP(L:L,MappingTable2[Month],MappingTable2[Quarters],"NIL")</f>
        <v>Q3</v>
      </c>
      <c r="Q297" s="1"/>
    </row>
    <row r="298" spans="1:17" x14ac:dyDescent="0.2">
      <c r="A298" s="1">
        <v>10397</v>
      </c>
      <c r="B298" s="1" t="s">
        <v>31</v>
      </c>
      <c r="C298" s="1" t="s">
        <v>32</v>
      </c>
      <c r="D298" s="1" t="s">
        <v>27</v>
      </c>
      <c r="E298" s="3">
        <v>180</v>
      </c>
      <c r="F298" s="3">
        <v>450</v>
      </c>
      <c r="G298" s="13">
        <v>922</v>
      </c>
      <c r="H298" s="3">
        <v>414900</v>
      </c>
      <c r="I298" s="3">
        <v>248940</v>
      </c>
      <c r="J298" s="1" t="s">
        <v>22</v>
      </c>
      <c r="K298" s="1" t="s">
        <v>29</v>
      </c>
      <c r="L298" s="1" t="s">
        <v>53</v>
      </c>
      <c r="M298" s="1">
        <v>2017</v>
      </c>
      <c r="N298" s="1" t="str">
        <f t="shared" si="4"/>
        <v>Anglophone</v>
      </c>
      <c r="O298" s="3" t="str">
        <f>_xlfn.XLOOKUP(D:D,MappingTable[Brand],MappingTable[Brand Type], "not found")</f>
        <v>Beer</v>
      </c>
      <c r="P298" t="str">
        <f>_xlfn.XLOOKUP(L:L,MappingTable2[Month],MappingTable2[Quarters],"NIL")</f>
        <v>Q3</v>
      </c>
      <c r="Q298" s="1"/>
    </row>
    <row r="299" spans="1:17" x14ac:dyDescent="0.2">
      <c r="A299" s="1">
        <v>10398</v>
      </c>
      <c r="B299" s="1" t="s">
        <v>51</v>
      </c>
      <c r="C299" s="1" t="s">
        <v>52</v>
      </c>
      <c r="D299" s="1" t="s">
        <v>33</v>
      </c>
      <c r="E299" s="3">
        <v>170</v>
      </c>
      <c r="F299" s="3">
        <v>250</v>
      </c>
      <c r="G299" s="13">
        <v>957</v>
      </c>
      <c r="H299" s="3">
        <v>239250</v>
      </c>
      <c r="I299" s="3">
        <v>76560</v>
      </c>
      <c r="J299" s="1" t="s">
        <v>28</v>
      </c>
      <c r="K299" s="1" t="s">
        <v>35</v>
      </c>
      <c r="L299" s="1" t="s">
        <v>56</v>
      </c>
      <c r="M299" s="1">
        <v>2019</v>
      </c>
      <c r="N299" s="1" t="str">
        <f t="shared" si="4"/>
        <v>Francophone</v>
      </c>
      <c r="O299" s="3" t="str">
        <f>_xlfn.XLOOKUP(D:D,MappingTable[Brand],MappingTable[Brand Type], "not found")</f>
        <v>Beer</v>
      </c>
      <c r="P299" t="str">
        <f>_xlfn.XLOOKUP(L:L,MappingTable2[Month],MappingTable2[Quarters],"NIL")</f>
        <v>Q4</v>
      </c>
      <c r="Q299" s="1"/>
    </row>
    <row r="300" spans="1:17" x14ac:dyDescent="0.2">
      <c r="A300" s="1">
        <v>10399</v>
      </c>
      <c r="B300" s="1" t="s">
        <v>63</v>
      </c>
      <c r="C300" s="1" t="s">
        <v>64</v>
      </c>
      <c r="D300" s="1" t="s">
        <v>39</v>
      </c>
      <c r="E300" s="3">
        <v>150</v>
      </c>
      <c r="F300" s="3">
        <v>200</v>
      </c>
      <c r="G300" s="13">
        <v>958</v>
      </c>
      <c r="H300" s="3">
        <v>191600</v>
      </c>
      <c r="I300" s="3">
        <v>47900</v>
      </c>
      <c r="J300" s="1" t="s">
        <v>34</v>
      </c>
      <c r="K300" s="1" t="s">
        <v>41</v>
      </c>
      <c r="L300" s="1" t="s">
        <v>59</v>
      </c>
      <c r="M300" s="1">
        <v>2018</v>
      </c>
      <c r="N300" s="1" t="str">
        <f t="shared" si="4"/>
        <v>Francophone</v>
      </c>
      <c r="O300" s="3" t="str">
        <f>_xlfn.XLOOKUP(D:D,MappingTable[Brand],MappingTable[Brand Type], "not found")</f>
        <v>Beer</v>
      </c>
      <c r="P300" t="str">
        <f>_xlfn.XLOOKUP(L:L,MappingTable2[Month],MappingTable2[Quarters],"NIL")</f>
        <v>Q4</v>
      </c>
      <c r="Q300" s="1"/>
    </row>
    <row r="301" spans="1:17" x14ac:dyDescent="0.2">
      <c r="A301" s="1">
        <v>10400</v>
      </c>
      <c r="B301" s="1" t="s">
        <v>25</v>
      </c>
      <c r="C301" s="1" t="s">
        <v>26</v>
      </c>
      <c r="D301" s="1" t="s">
        <v>43</v>
      </c>
      <c r="E301" s="3">
        <v>80</v>
      </c>
      <c r="F301" s="3">
        <v>150</v>
      </c>
      <c r="G301" s="13">
        <v>784</v>
      </c>
      <c r="H301" s="3">
        <v>117600</v>
      </c>
      <c r="I301" s="3">
        <v>54880</v>
      </c>
      <c r="J301" s="1" t="s">
        <v>40</v>
      </c>
      <c r="K301" s="1" t="s">
        <v>44</v>
      </c>
      <c r="L301" s="1" t="s">
        <v>60</v>
      </c>
      <c r="M301" s="1">
        <v>2018</v>
      </c>
      <c r="N301" s="1" t="str">
        <f t="shared" si="4"/>
        <v>Francophone</v>
      </c>
      <c r="O301" s="3" t="str">
        <f>_xlfn.XLOOKUP(D:D,MappingTable[Brand],MappingTable[Brand Type], "not found")</f>
        <v>Malt</v>
      </c>
      <c r="P301" t="str">
        <f>_xlfn.XLOOKUP(L:L,MappingTable2[Month],MappingTable2[Quarters],"NIL")</f>
        <v>Q4</v>
      </c>
      <c r="Q301" s="1"/>
    </row>
    <row r="302" spans="1:17" x14ac:dyDescent="0.2">
      <c r="A302" s="1">
        <v>10401</v>
      </c>
      <c r="B302" s="1" t="s">
        <v>19</v>
      </c>
      <c r="C302" s="1" t="s">
        <v>20</v>
      </c>
      <c r="D302" s="1" t="s">
        <v>48</v>
      </c>
      <c r="E302" s="3">
        <v>90</v>
      </c>
      <c r="F302" s="3">
        <v>150</v>
      </c>
      <c r="G302" s="13">
        <v>966</v>
      </c>
      <c r="H302" s="3">
        <v>144900</v>
      </c>
      <c r="I302" s="3">
        <v>57960</v>
      </c>
      <c r="J302" s="1" t="s">
        <v>16</v>
      </c>
      <c r="K302" s="1" t="s">
        <v>17</v>
      </c>
      <c r="L302" s="1" t="s">
        <v>18</v>
      </c>
      <c r="M302" s="1">
        <v>2019</v>
      </c>
      <c r="N302" s="1" t="str">
        <f t="shared" si="4"/>
        <v>Anglophone</v>
      </c>
      <c r="O302" s="3" t="str">
        <f>_xlfn.XLOOKUP(D:D,MappingTable[Brand],MappingTable[Brand Type], "not found")</f>
        <v>Malt</v>
      </c>
      <c r="P302" t="str">
        <f>_xlfn.XLOOKUP(L:L,MappingTable2[Month],MappingTable2[Quarters],"NIL")</f>
        <v>Q1</v>
      </c>
      <c r="Q302" s="1"/>
    </row>
    <row r="303" spans="1:17" x14ac:dyDescent="0.2">
      <c r="A303" s="1">
        <v>10402</v>
      </c>
      <c r="B303" s="1" t="s">
        <v>25</v>
      </c>
      <c r="C303" s="1" t="s">
        <v>26</v>
      </c>
      <c r="D303" s="1" t="s">
        <v>15</v>
      </c>
      <c r="E303" s="3">
        <v>150</v>
      </c>
      <c r="F303" s="3">
        <v>200</v>
      </c>
      <c r="G303" s="13">
        <v>784</v>
      </c>
      <c r="H303" s="3">
        <v>156800</v>
      </c>
      <c r="I303" s="3">
        <v>39200</v>
      </c>
      <c r="J303" s="1" t="s">
        <v>22</v>
      </c>
      <c r="K303" s="1" t="s">
        <v>23</v>
      </c>
      <c r="L303" s="1" t="s">
        <v>24</v>
      </c>
      <c r="M303" s="1">
        <v>2018</v>
      </c>
      <c r="N303" s="1" t="str">
        <f t="shared" si="4"/>
        <v>Anglophone</v>
      </c>
      <c r="O303" s="3" t="str">
        <f>_xlfn.XLOOKUP(D:D,MappingTable[Brand],MappingTable[Brand Type], "not found")</f>
        <v>Beer</v>
      </c>
      <c r="P303" t="str">
        <f>_xlfn.XLOOKUP(L:L,MappingTable2[Month],MappingTable2[Quarters],"NIL")</f>
        <v>Q1</v>
      </c>
      <c r="Q303" s="1"/>
    </row>
    <row r="304" spans="1:17" x14ac:dyDescent="0.2">
      <c r="A304" s="1">
        <v>10403</v>
      </c>
      <c r="B304" s="1" t="s">
        <v>46</v>
      </c>
      <c r="C304" s="1" t="s">
        <v>47</v>
      </c>
      <c r="D304" s="1" t="s">
        <v>21</v>
      </c>
      <c r="E304" s="3">
        <v>250</v>
      </c>
      <c r="F304" s="3">
        <v>500</v>
      </c>
      <c r="G304" s="13">
        <v>998</v>
      </c>
      <c r="H304" s="3">
        <v>499000</v>
      </c>
      <c r="I304" s="3">
        <v>249500</v>
      </c>
      <c r="J304" s="1" t="s">
        <v>28</v>
      </c>
      <c r="K304" s="1" t="s">
        <v>29</v>
      </c>
      <c r="L304" s="1" t="s">
        <v>30</v>
      </c>
      <c r="M304" s="1">
        <v>2017</v>
      </c>
      <c r="N304" s="1" t="str">
        <f t="shared" si="4"/>
        <v>Francophone</v>
      </c>
      <c r="O304" s="3" t="str">
        <f>_xlfn.XLOOKUP(D:D,MappingTable[Brand],MappingTable[Brand Type], "not found")</f>
        <v>Beer</v>
      </c>
      <c r="P304" t="str">
        <f>_xlfn.XLOOKUP(L:L,MappingTable2[Month],MappingTable2[Quarters],"NIL")</f>
        <v>Q1</v>
      </c>
      <c r="Q304" s="1"/>
    </row>
    <row r="305" spans="1:17" x14ac:dyDescent="0.2">
      <c r="A305" s="1">
        <v>10404</v>
      </c>
      <c r="B305" s="1" t="s">
        <v>37</v>
      </c>
      <c r="C305" s="1" t="s">
        <v>38</v>
      </c>
      <c r="D305" s="1" t="s">
        <v>27</v>
      </c>
      <c r="E305" s="3">
        <v>180</v>
      </c>
      <c r="F305" s="3">
        <v>450</v>
      </c>
      <c r="G305" s="13">
        <v>951</v>
      </c>
      <c r="H305" s="3">
        <v>427950</v>
      </c>
      <c r="I305" s="3">
        <v>256770</v>
      </c>
      <c r="J305" s="1" t="s">
        <v>34</v>
      </c>
      <c r="K305" s="1" t="s">
        <v>35</v>
      </c>
      <c r="L305" s="1" t="s">
        <v>36</v>
      </c>
      <c r="M305" s="1">
        <v>2018</v>
      </c>
      <c r="N305" s="1" t="str">
        <f t="shared" si="4"/>
        <v>Francophone</v>
      </c>
      <c r="O305" s="3" t="str">
        <f>_xlfn.XLOOKUP(D:D,MappingTable[Brand],MappingTable[Brand Type], "not found")</f>
        <v>Beer</v>
      </c>
      <c r="P305" t="str">
        <f>_xlfn.XLOOKUP(L:L,MappingTable2[Month],MappingTable2[Quarters],"NIL")</f>
        <v>Q2</v>
      </c>
      <c r="Q305" s="1"/>
    </row>
    <row r="306" spans="1:17" x14ac:dyDescent="0.2">
      <c r="A306" s="1">
        <v>10405</v>
      </c>
      <c r="B306" s="1" t="s">
        <v>13</v>
      </c>
      <c r="C306" s="1" t="s">
        <v>14</v>
      </c>
      <c r="D306" s="1" t="s">
        <v>33</v>
      </c>
      <c r="E306" s="3">
        <v>170</v>
      </c>
      <c r="F306" s="3">
        <v>250</v>
      </c>
      <c r="G306" s="13">
        <v>973</v>
      </c>
      <c r="H306" s="3">
        <v>243250</v>
      </c>
      <c r="I306" s="3">
        <v>77840</v>
      </c>
      <c r="J306" s="1" t="s">
        <v>40</v>
      </c>
      <c r="K306" s="1" t="s">
        <v>41</v>
      </c>
      <c r="L306" s="1" t="s">
        <v>42</v>
      </c>
      <c r="M306" s="1">
        <v>2019</v>
      </c>
      <c r="N306" s="1" t="str">
        <f t="shared" si="4"/>
        <v>Francophone</v>
      </c>
      <c r="O306" s="3" t="str">
        <f>_xlfn.XLOOKUP(D:D,MappingTable[Brand],MappingTable[Brand Type], "not found")</f>
        <v>Beer</v>
      </c>
      <c r="P306" t="str">
        <f>_xlfn.XLOOKUP(L:L,MappingTable2[Month],MappingTable2[Quarters],"NIL")</f>
        <v>Q2</v>
      </c>
      <c r="Q306" s="1"/>
    </row>
    <row r="307" spans="1:17" x14ac:dyDescent="0.2">
      <c r="A307" s="1">
        <v>10406</v>
      </c>
      <c r="B307" s="1" t="s">
        <v>13</v>
      </c>
      <c r="C307" s="1" t="s">
        <v>14</v>
      </c>
      <c r="D307" s="1" t="s">
        <v>39</v>
      </c>
      <c r="E307" s="3">
        <v>150</v>
      </c>
      <c r="F307" s="3">
        <v>200</v>
      </c>
      <c r="G307" s="13">
        <v>704</v>
      </c>
      <c r="H307" s="3">
        <v>140800</v>
      </c>
      <c r="I307" s="3">
        <v>35200</v>
      </c>
      <c r="J307" s="1" t="s">
        <v>16</v>
      </c>
      <c r="K307" s="1" t="s">
        <v>44</v>
      </c>
      <c r="L307" s="1" t="s">
        <v>45</v>
      </c>
      <c r="M307" s="1">
        <v>2017</v>
      </c>
      <c r="N307" s="1" t="str">
        <f t="shared" si="4"/>
        <v>Anglophone</v>
      </c>
      <c r="O307" s="3" t="str">
        <f>_xlfn.XLOOKUP(D:D,MappingTable[Brand],MappingTable[Brand Type], "not found")</f>
        <v>Beer</v>
      </c>
      <c r="P307" t="str">
        <f>_xlfn.XLOOKUP(L:L,MappingTable2[Month],MappingTable2[Quarters],"NIL")</f>
        <v>Q2</v>
      </c>
      <c r="Q307" s="1"/>
    </row>
    <row r="308" spans="1:17" x14ac:dyDescent="0.2">
      <c r="A308" s="1">
        <v>10407</v>
      </c>
      <c r="B308" s="1" t="s">
        <v>37</v>
      </c>
      <c r="C308" s="1" t="s">
        <v>38</v>
      </c>
      <c r="D308" s="1" t="s">
        <v>43</v>
      </c>
      <c r="E308" s="3">
        <v>80</v>
      </c>
      <c r="F308" s="3">
        <v>150</v>
      </c>
      <c r="G308" s="13">
        <v>748</v>
      </c>
      <c r="H308" s="3">
        <v>112200</v>
      </c>
      <c r="I308" s="3">
        <v>52360</v>
      </c>
      <c r="J308" s="1" t="s">
        <v>22</v>
      </c>
      <c r="K308" s="1" t="s">
        <v>17</v>
      </c>
      <c r="L308" s="1" t="s">
        <v>49</v>
      </c>
      <c r="M308" s="1">
        <v>2019</v>
      </c>
      <c r="N308" s="1" t="str">
        <f t="shared" si="4"/>
        <v>Anglophone</v>
      </c>
      <c r="O308" s="3" t="str">
        <f>_xlfn.XLOOKUP(D:D,MappingTable[Brand],MappingTable[Brand Type], "not found")</f>
        <v>Malt</v>
      </c>
      <c r="P308" t="str">
        <f>_xlfn.XLOOKUP(L:L,MappingTable2[Month],MappingTable2[Quarters],"NIL")</f>
        <v>Q3</v>
      </c>
      <c r="Q308" s="1"/>
    </row>
    <row r="309" spans="1:17" x14ac:dyDescent="0.2">
      <c r="A309" s="1">
        <v>10408</v>
      </c>
      <c r="B309" s="1" t="s">
        <v>13</v>
      </c>
      <c r="C309" s="1" t="s">
        <v>14</v>
      </c>
      <c r="D309" s="1" t="s">
        <v>48</v>
      </c>
      <c r="E309" s="3">
        <v>90</v>
      </c>
      <c r="F309" s="3">
        <v>150</v>
      </c>
      <c r="G309" s="13">
        <v>972</v>
      </c>
      <c r="H309" s="3">
        <v>145800</v>
      </c>
      <c r="I309" s="3">
        <v>58320</v>
      </c>
      <c r="J309" s="1" t="s">
        <v>28</v>
      </c>
      <c r="K309" s="1" t="s">
        <v>23</v>
      </c>
      <c r="L309" s="1" t="s">
        <v>50</v>
      </c>
      <c r="M309" s="1">
        <v>2017</v>
      </c>
      <c r="N309" s="1" t="str">
        <f t="shared" si="4"/>
        <v>Francophone</v>
      </c>
      <c r="O309" s="3" t="str">
        <f>_xlfn.XLOOKUP(D:D,MappingTable[Brand],MappingTable[Brand Type], "not found")</f>
        <v>Malt</v>
      </c>
      <c r="P309" t="str">
        <f>_xlfn.XLOOKUP(L:L,MappingTable2[Month],MappingTable2[Quarters],"NIL")</f>
        <v>Q3</v>
      </c>
      <c r="Q309" s="1"/>
    </row>
    <row r="310" spans="1:17" x14ac:dyDescent="0.2">
      <c r="A310" s="1">
        <v>10409</v>
      </c>
      <c r="B310" s="1" t="s">
        <v>19</v>
      </c>
      <c r="C310" s="1" t="s">
        <v>20</v>
      </c>
      <c r="D310" s="1" t="s">
        <v>15</v>
      </c>
      <c r="E310" s="3">
        <v>150</v>
      </c>
      <c r="F310" s="3">
        <v>200</v>
      </c>
      <c r="G310" s="13">
        <v>859</v>
      </c>
      <c r="H310" s="3">
        <v>171800</v>
      </c>
      <c r="I310" s="3">
        <v>42950</v>
      </c>
      <c r="J310" s="1" t="s">
        <v>34</v>
      </c>
      <c r="K310" s="1" t="s">
        <v>29</v>
      </c>
      <c r="L310" s="1" t="s">
        <v>53</v>
      </c>
      <c r="M310" s="1">
        <v>2017</v>
      </c>
      <c r="N310" s="1" t="str">
        <f t="shared" si="4"/>
        <v>Francophone</v>
      </c>
      <c r="O310" s="3" t="str">
        <f>_xlfn.XLOOKUP(D:D,MappingTable[Brand],MappingTable[Brand Type], "not found")</f>
        <v>Beer</v>
      </c>
      <c r="P310" t="str">
        <f>_xlfn.XLOOKUP(L:L,MappingTable2[Month],MappingTable2[Quarters],"NIL")</f>
        <v>Q3</v>
      </c>
      <c r="Q310" s="1"/>
    </row>
    <row r="311" spans="1:17" x14ac:dyDescent="0.2">
      <c r="A311" s="1">
        <v>10410</v>
      </c>
      <c r="B311" s="1" t="s">
        <v>25</v>
      </c>
      <c r="C311" s="1" t="s">
        <v>26</v>
      </c>
      <c r="D311" s="1" t="s">
        <v>21</v>
      </c>
      <c r="E311" s="3">
        <v>250</v>
      </c>
      <c r="F311" s="3">
        <v>500</v>
      </c>
      <c r="G311" s="13">
        <v>825</v>
      </c>
      <c r="H311" s="3">
        <v>412500</v>
      </c>
      <c r="I311" s="3">
        <v>206250</v>
      </c>
      <c r="J311" s="1" t="s">
        <v>40</v>
      </c>
      <c r="K311" s="1" t="s">
        <v>35</v>
      </c>
      <c r="L311" s="1" t="s">
        <v>56</v>
      </c>
      <c r="M311" s="1">
        <v>2017</v>
      </c>
      <c r="N311" s="1" t="str">
        <f t="shared" si="4"/>
        <v>Francophone</v>
      </c>
      <c r="O311" s="3" t="str">
        <f>_xlfn.XLOOKUP(D:D,MappingTable[Brand],MappingTable[Brand Type], "not found")</f>
        <v>Beer</v>
      </c>
      <c r="P311" t="str">
        <f>_xlfn.XLOOKUP(L:L,MappingTable2[Month],MappingTable2[Quarters],"NIL")</f>
        <v>Q4</v>
      </c>
      <c r="Q311" s="1"/>
    </row>
    <row r="312" spans="1:17" x14ac:dyDescent="0.2">
      <c r="A312" s="1">
        <v>10411</v>
      </c>
      <c r="B312" s="1" t="s">
        <v>31</v>
      </c>
      <c r="C312" s="1" t="s">
        <v>32</v>
      </c>
      <c r="D312" s="1" t="s">
        <v>27</v>
      </c>
      <c r="E312" s="3">
        <v>180</v>
      </c>
      <c r="F312" s="3">
        <v>450</v>
      </c>
      <c r="G312" s="13">
        <v>997</v>
      </c>
      <c r="H312" s="3">
        <v>448650</v>
      </c>
      <c r="I312" s="3">
        <v>269190</v>
      </c>
      <c r="J312" s="1" t="s">
        <v>16</v>
      </c>
      <c r="K312" s="1" t="s">
        <v>41</v>
      </c>
      <c r="L312" s="1" t="s">
        <v>59</v>
      </c>
      <c r="M312" s="1">
        <v>2019</v>
      </c>
      <c r="N312" s="1" t="str">
        <f t="shared" si="4"/>
        <v>Anglophone</v>
      </c>
      <c r="O312" s="3" t="str">
        <f>_xlfn.XLOOKUP(D:D,MappingTable[Brand],MappingTable[Brand Type], "not found")</f>
        <v>Beer</v>
      </c>
      <c r="P312" t="str">
        <f>_xlfn.XLOOKUP(L:L,MappingTable2[Month],MappingTable2[Quarters],"NIL")</f>
        <v>Q4</v>
      </c>
      <c r="Q312" s="1"/>
    </row>
    <row r="313" spans="1:17" x14ac:dyDescent="0.2">
      <c r="A313" s="1">
        <v>10412</v>
      </c>
      <c r="B313" s="1" t="s">
        <v>37</v>
      </c>
      <c r="C313" s="1" t="s">
        <v>38</v>
      </c>
      <c r="D313" s="1" t="s">
        <v>33</v>
      </c>
      <c r="E313" s="3">
        <v>170</v>
      </c>
      <c r="F313" s="3">
        <v>250</v>
      </c>
      <c r="G313" s="13">
        <v>789</v>
      </c>
      <c r="H313" s="3">
        <v>197250</v>
      </c>
      <c r="I313" s="3">
        <v>63120</v>
      </c>
      <c r="J313" s="1" t="s">
        <v>22</v>
      </c>
      <c r="K313" s="1" t="s">
        <v>44</v>
      </c>
      <c r="L313" s="1" t="s">
        <v>60</v>
      </c>
      <c r="M313" s="1">
        <v>2019</v>
      </c>
      <c r="N313" s="1" t="str">
        <f t="shared" si="4"/>
        <v>Anglophone</v>
      </c>
      <c r="O313" s="3" t="str">
        <f>_xlfn.XLOOKUP(D:D,MappingTable[Brand],MappingTable[Brand Type], "not found")</f>
        <v>Beer</v>
      </c>
      <c r="P313" t="str">
        <f>_xlfn.XLOOKUP(L:L,MappingTable2[Month],MappingTable2[Quarters],"NIL")</f>
        <v>Q4</v>
      </c>
      <c r="Q313" s="1"/>
    </row>
    <row r="314" spans="1:17" x14ac:dyDescent="0.2">
      <c r="A314" s="1">
        <v>10413</v>
      </c>
      <c r="B314" s="1" t="s">
        <v>13</v>
      </c>
      <c r="C314" s="1" t="s">
        <v>14</v>
      </c>
      <c r="D314" s="1" t="s">
        <v>39</v>
      </c>
      <c r="E314" s="3">
        <v>150</v>
      </c>
      <c r="F314" s="3">
        <v>200</v>
      </c>
      <c r="G314" s="13">
        <v>934</v>
      </c>
      <c r="H314" s="3">
        <v>186800</v>
      </c>
      <c r="I314" s="3">
        <v>46700</v>
      </c>
      <c r="J314" s="1" t="s">
        <v>28</v>
      </c>
      <c r="K314" s="1" t="s">
        <v>17</v>
      </c>
      <c r="L314" s="1" t="s">
        <v>18</v>
      </c>
      <c r="M314" s="1">
        <v>2019</v>
      </c>
      <c r="N314" s="1" t="str">
        <f t="shared" si="4"/>
        <v>Francophone</v>
      </c>
      <c r="O314" s="3" t="str">
        <f>_xlfn.XLOOKUP(D:D,MappingTable[Brand],MappingTable[Brand Type], "not found")</f>
        <v>Beer</v>
      </c>
      <c r="P314" t="str">
        <f>_xlfn.XLOOKUP(L:L,MappingTable2[Month],MappingTable2[Quarters],"NIL")</f>
        <v>Q1</v>
      </c>
      <c r="Q314" s="1"/>
    </row>
    <row r="315" spans="1:17" x14ac:dyDescent="0.2">
      <c r="A315" s="1">
        <v>10414</v>
      </c>
      <c r="B315" s="1" t="s">
        <v>46</v>
      </c>
      <c r="C315" s="1" t="s">
        <v>47</v>
      </c>
      <c r="D315" s="1" t="s">
        <v>43</v>
      </c>
      <c r="E315" s="3">
        <v>80</v>
      </c>
      <c r="F315" s="3">
        <v>150</v>
      </c>
      <c r="G315" s="13">
        <v>773</v>
      </c>
      <c r="H315" s="3">
        <v>115950</v>
      </c>
      <c r="I315" s="3">
        <v>54110</v>
      </c>
      <c r="J315" s="1" t="s">
        <v>34</v>
      </c>
      <c r="K315" s="1" t="s">
        <v>23</v>
      </c>
      <c r="L315" s="1" t="s">
        <v>24</v>
      </c>
      <c r="M315" s="1">
        <v>2017</v>
      </c>
      <c r="N315" s="1" t="str">
        <f t="shared" si="4"/>
        <v>Francophone</v>
      </c>
      <c r="O315" s="3" t="str">
        <f>_xlfn.XLOOKUP(D:D,MappingTable[Brand],MappingTable[Brand Type], "not found")</f>
        <v>Malt</v>
      </c>
      <c r="P315" t="str">
        <f>_xlfn.XLOOKUP(L:L,MappingTable2[Month],MappingTable2[Quarters],"NIL")</f>
        <v>Q1</v>
      </c>
      <c r="Q315" s="1"/>
    </row>
    <row r="316" spans="1:17" x14ac:dyDescent="0.2">
      <c r="A316" s="1">
        <v>10415</v>
      </c>
      <c r="B316" s="1" t="s">
        <v>31</v>
      </c>
      <c r="C316" s="1" t="s">
        <v>32</v>
      </c>
      <c r="D316" s="1" t="s">
        <v>48</v>
      </c>
      <c r="E316" s="3">
        <v>90</v>
      </c>
      <c r="F316" s="3">
        <v>150</v>
      </c>
      <c r="G316" s="13">
        <v>786</v>
      </c>
      <c r="H316" s="3">
        <v>117900</v>
      </c>
      <c r="I316" s="3">
        <v>47160</v>
      </c>
      <c r="J316" s="1" t="s">
        <v>40</v>
      </c>
      <c r="K316" s="1" t="s">
        <v>29</v>
      </c>
      <c r="L316" s="1" t="s">
        <v>30</v>
      </c>
      <c r="M316" s="1">
        <v>2017</v>
      </c>
      <c r="N316" s="1" t="str">
        <f t="shared" si="4"/>
        <v>Francophone</v>
      </c>
      <c r="O316" s="3" t="str">
        <f>_xlfn.XLOOKUP(D:D,MappingTable[Brand],MappingTable[Brand Type], "not found")</f>
        <v>Malt</v>
      </c>
      <c r="P316" t="str">
        <f>_xlfn.XLOOKUP(L:L,MappingTable2[Month],MappingTable2[Quarters],"NIL")</f>
        <v>Q1</v>
      </c>
      <c r="Q316" s="1"/>
    </row>
    <row r="317" spans="1:17" x14ac:dyDescent="0.2">
      <c r="A317" s="1">
        <v>10416</v>
      </c>
      <c r="B317" s="1" t="s">
        <v>51</v>
      </c>
      <c r="C317" s="1" t="s">
        <v>52</v>
      </c>
      <c r="D317" s="1" t="s">
        <v>15</v>
      </c>
      <c r="E317" s="3">
        <v>150</v>
      </c>
      <c r="F317" s="3">
        <v>200</v>
      </c>
      <c r="G317" s="13">
        <v>991</v>
      </c>
      <c r="H317" s="3">
        <v>198200</v>
      </c>
      <c r="I317" s="3">
        <v>49550</v>
      </c>
      <c r="J317" s="1" t="s">
        <v>16</v>
      </c>
      <c r="K317" s="1" t="s">
        <v>35</v>
      </c>
      <c r="L317" s="1" t="s">
        <v>36</v>
      </c>
      <c r="M317" s="1">
        <v>2017</v>
      </c>
      <c r="N317" s="1" t="str">
        <f t="shared" si="4"/>
        <v>Anglophone</v>
      </c>
      <c r="O317" s="3" t="str">
        <f>_xlfn.XLOOKUP(D:D,MappingTable[Brand],MappingTable[Brand Type], "not found")</f>
        <v>Beer</v>
      </c>
      <c r="P317" t="str">
        <f>_xlfn.XLOOKUP(L:L,MappingTable2[Month],MappingTable2[Quarters],"NIL")</f>
        <v>Q2</v>
      </c>
      <c r="Q317" s="1"/>
    </row>
    <row r="318" spans="1:17" x14ac:dyDescent="0.2">
      <c r="A318" s="1">
        <v>10417</v>
      </c>
      <c r="B318" s="1" t="s">
        <v>54</v>
      </c>
      <c r="C318" s="1" t="s">
        <v>55</v>
      </c>
      <c r="D318" s="1" t="s">
        <v>21</v>
      </c>
      <c r="E318" s="3">
        <v>250</v>
      </c>
      <c r="F318" s="3">
        <v>500</v>
      </c>
      <c r="G318" s="13">
        <v>886</v>
      </c>
      <c r="H318" s="3">
        <v>443000</v>
      </c>
      <c r="I318" s="3">
        <v>221500</v>
      </c>
      <c r="J318" s="1" t="s">
        <v>22</v>
      </c>
      <c r="K318" s="1" t="s">
        <v>41</v>
      </c>
      <c r="L318" s="1" t="s">
        <v>42</v>
      </c>
      <c r="M318" s="1">
        <v>2017</v>
      </c>
      <c r="N318" s="1" t="str">
        <f t="shared" si="4"/>
        <v>Anglophone</v>
      </c>
      <c r="O318" s="3" t="str">
        <f>_xlfn.XLOOKUP(D:D,MappingTable[Brand],MappingTable[Brand Type], "not found")</f>
        <v>Beer</v>
      </c>
      <c r="P318" t="str">
        <f>_xlfn.XLOOKUP(L:L,MappingTable2[Month],MappingTable2[Quarters],"NIL")</f>
        <v>Q2</v>
      </c>
      <c r="Q318" s="1"/>
    </row>
    <row r="319" spans="1:17" x14ac:dyDescent="0.2">
      <c r="A319" s="1">
        <v>10418</v>
      </c>
      <c r="B319" s="1" t="s">
        <v>57</v>
      </c>
      <c r="C319" s="1" t="s">
        <v>58</v>
      </c>
      <c r="D319" s="1" t="s">
        <v>27</v>
      </c>
      <c r="E319" s="3">
        <v>180</v>
      </c>
      <c r="F319" s="3">
        <v>450</v>
      </c>
      <c r="G319" s="13">
        <v>987</v>
      </c>
      <c r="H319" s="3">
        <v>444150</v>
      </c>
      <c r="I319" s="3">
        <v>266490</v>
      </c>
      <c r="J319" s="1" t="s">
        <v>28</v>
      </c>
      <c r="K319" s="1" t="s">
        <v>44</v>
      </c>
      <c r="L319" s="1" t="s">
        <v>45</v>
      </c>
      <c r="M319" s="1">
        <v>2018</v>
      </c>
      <c r="N319" s="1" t="str">
        <f t="shared" si="4"/>
        <v>Francophone</v>
      </c>
      <c r="O319" s="3" t="str">
        <f>_xlfn.XLOOKUP(D:D,MappingTable[Brand],MappingTable[Brand Type], "not found")</f>
        <v>Beer</v>
      </c>
      <c r="P319" t="str">
        <f>_xlfn.XLOOKUP(L:L,MappingTable2[Month],MappingTable2[Quarters],"NIL")</f>
        <v>Q2</v>
      </c>
      <c r="Q319" s="1"/>
    </row>
    <row r="320" spans="1:17" x14ac:dyDescent="0.2">
      <c r="A320" s="1">
        <v>10419</v>
      </c>
      <c r="B320" s="1" t="s">
        <v>31</v>
      </c>
      <c r="C320" s="1" t="s">
        <v>32</v>
      </c>
      <c r="D320" s="1" t="s">
        <v>33</v>
      </c>
      <c r="E320" s="3">
        <v>170</v>
      </c>
      <c r="F320" s="3">
        <v>250</v>
      </c>
      <c r="G320" s="13">
        <v>772</v>
      </c>
      <c r="H320" s="3">
        <v>193000</v>
      </c>
      <c r="I320" s="3">
        <v>61760</v>
      </c>
      <c r="J320" s="1" t="s">
        <v>34</v>
      </c>
      <c r="K320" s="1" t="s">
        <v>17</v>
      </c>
      <c r="L320" s="1" t="s">
        <v>49</v>
      </c>
      <c r="M320" s="1">
        <v>2018</v>
      </c>
      <c r="N320" s="1" t="str">
        <f t="shared" si="4"/>
        <v>Francophone</v>
      </c>
      <c r="O320" s="3" t="str">
        <f>_xlfn.XLOOKUP(D:D,MappingTable[Brand],MappingTable[Brand Type], "not found")</f>
        <v>Beer</v>
      </c>
      <c r="P320" t="str">
        <f>_xlfn.XLOOKUP(L:L,MappingTable2[Month],MappingTable2[Quarters],"NIL")</f>
        <v>Q3</v>
      </c>
      <c r="Q320" s="1"/>
    </row>
    <row r="321" spans="1:17" x14ac:dyDescent="0.2">
      <c r="A321" s="1">
        <v>10420</v>
      </c>
      <c r="B321" s="1" t="s">
        <v>61</v>
      </c>
      <c r="C321" s="1" t="s">
        <v>62</v>
      </c>
      <c r="D321" s="1" t="s">
        <v>39</v>
      </c>
      <c r="E321" s="3">
        <v>150</v>
      </c>
      <c r="F321" s="3">
        <v>200</v>
      </c>
      <c r="G321" s="13">
        <v>760</v>
      </c>
      <c r="H321" s="3">
        <v>152000</v>
      </c>
      <c r="I321" s="3">
        <v>38000</v>
      </c>
      <c r="J321" s="1" t="s">
        <v>40</v>
      </c>
      <c r="K321" s="1" t="s">
        <v>23</v>
      </c>
      <c r="L321" s="1" t="s">
        <v>50</v>
      </c>
      <c r="M321" s="1">
        <v>2018</v>
      </c>
      <c r="N321" s="1" t="str">
        <f t="shared" si="4"/>
        <v>Francophone</v>
      </c>
      <c r="O321" s="3" t="str">
        <f>_xlfn.XLOOKUP(D:D,MappingTable[Brand],MappingTable[Brand Type], "not found")</f>
        <v>Beer</v>
      </c>
      <c r="P321" t="str">
        <f>_xlfn.XLOOKUP(L:L,MappingTable2[Month],MappingTable2[Quarters],"NIL")</f>
        <v>Q3</v>
      </c>
      <c r="Q321" s="1"/>
    </row>
    <row r="322" spans="1:17" x14ac:dyDescent="0.2">
      <c r="A322" s="1">
        <v>10421</v>
      </c>
      <c r="B322" s="1" t="s">
        <v>31</v>
      </c>
      <c r="C322" s="1" t="s">
        <v>32</v>
      </c>
      <c r="D322" s="1" t="s">
        <v>43</v>
      </c>
      <c r="E322" s="3">
        <v>80</v>
      </c>
      <c r="F322" s="3">
        <v>150</v>
      </c>
      <c r="G322" s="13">
        <v>778</v>
      </c>
      <c r="H322" s="3">
        <v>116700</v>
      </c>
      <c r="I322" s="3">
        <v>54460</v>
      </c>
      <c r="J322" s="1" t="s">
        <v>16</v>
      </c>
      <c r="K322" s="1" t="s">
        <v>29</v>
      </c>
      <c r="L322" s="1" t="s">
        <v>53</v>
      </c>
      <c r="M322" s="1">
        <v>2017</v>
      </c>
      <c r="N322" s="1" t="str">
        <f t="shared" ref="N322:N385" si="5">IF(ISNUMBER(MATCH(J322,$S$7:$S$8,0)), "Anglophone","Francophone")</f>
        <v>Anglophone</v>
      </c>
      <c r="O322" s="3" t="str">
        <f>_xlfn.XLOOKUP(D:D,MappingTable[Brand],MappingTable[Brand Type], "not found")</f>
        <v>Malt</v>
      </c>
      <c r="P322" t="str">
        <f>_xlfn.XLOOKUP(L:L,MappingTable2[Month],MappingTable2[Quarters],"NIL")</f>
        <v>Q3</v>
      </c>
      <c r="Q322" s="1"/>
    </row>
    <row r="323" spans="1:17" x14ac:dyDescent="0.2">
      <c r="A323" s="1">
        <v>10422</v>
      </c>
      <c r="B323" s="1" t="s">
        <v>13</v>
      </c>
      <c r="C323" s="1" t="s">
        <v>14</v>
      </c>
      <c r="D323" s="1" t="s">
        <v>48</v>
      </c>
      <c r="E323" s="3">
        <v>90</v>
      </c>
      <c r="F323" s="3">
        <v>150</v>
      </c>
      <c r="G323" s="13">
        <v>716</v>
      </c>
      <c r="H323" s="3">
        <v>107400</v>
      </c>
      <c r="I323" s="3">
        <v>42960</v>
      </c>
      <c r="J323" s="1" t="s">
        <v>22</v>
      </c>
      <c r="K323" s="1" t="s">
        <v>35</v>
      </c>
      <c r="L323" s="1" t="s">
        <v>56</v>
      </c>
      <c r="M323" s="1">
        <v>2019</v>
      </c>
      <c r="N323" s="1" t="str">
        <f t="shared" si="5"/>
        <v>Anglophone</v>
      </c>
      <c r="O323" s="3" t="str">
        <f>_xlfn.XLOOKUP(D:D,MappingTable[Brand],MappingTable[Brand Type], "not found")</f>
        <v>Malt</v>
      </c>
      <c r="P323" t="str">
        <f>_xlfn.XLOOKUP(L:L,MappingTable2[Month],MappingTable2[Quarters],"NIL")</f>
        <v>Q4</v>
      </c>
      <c r="Q323" s="1"/>
    </row>
    <row r="324" spans="1:17" x14ac:dyDescent="0.2">
      <c r="A324" s="1">
        <v>10423</v>
      </c>
      <c r="B324" s="1" t="s">
        <v>19</v>
      </c>
      <c r="C324" s="1" t="s">
        <v>20</v>
      </c>
      <c r="D324" s="1" t="s">
        <v>15</v>
      </c>
      <c r="E324" s="3">
        <v>150</v>
      </c>
      <c r="F324" s="3">
        <v>200</v>
      </c>
      <c r="G324" s="13">
        <v>775</v>
      </c>
      <c r="H324" s="3">
        <v>155000</v>
      </c>
      <c r="I324" s="3">
        <v>38750</v>
      </c>
      <c r="J324" s="1" t="s">
        <v>28</v>
      </c>
      <c r="K324" s="1" t="s">
        <v>41</v>
      </c>
      <c r="L324" s="1" t="s">
        <v>59</v>
      </c>
      <c r="M324" s="1">
        <v>2018</v>
      </c>
      <c r="N324" s="1" t="str">
        <f t="shared" si="5"/>
        <v>Francophone</v>
      </c>
      <c r="O324" s="3" t="str">
        <f>_xlfn.XLOOKUP(D:D,MappingTable[Brand],MappingTable[Brand Type], "not found")</f>
        <v>Beer</v>
      </c>
      <c r="P324" t="str">
        <f>_xlfn.XLOOKUP(L:L,MappingTable2[Month],MappingTable2[Quarters],"NIL")</f>
        <v>Q4</v>
      </c>
      <c r="Q324" s="1"/>
    </row>
    <row r="325" spans="1:17" x14ac:dyDescent="0.2">
      <c r="A325" s="1">
        <v>10424</v>
      </c>
      <c r="B325" s="1" t="s">
        <v>25</v>
      </c>
      <c r="C325" s="1" t="s">
        <v>26</v>
      </c>
      <c r="D325" s="1" t="s">
        <v>21</v>
      </c>
      <c r="E325" s="3">
        <v>250</v>
      </c>
      <c r="F325" s="3">
        <v>500</v>
      </c>
      <c r="G325" s="13">
        <v>860</v>
      </c>
      <c r="H325" s="3">
        <v>430000</v>
      </c>
      <c r="I325" s="3">
        <v>215000</v>
      </c>
      <c r="J325" s="1" t="s">
        <v>34</v>
      </c>
      <c r="K325" s="1" t="s">
        <v>44</v>
      </c>
      <c r="L325" s="1" t="s">
        <v>60</v>
      </c>
      <c r="M325" s="1">
        <v>2017</v>
      </c>
      <c r="N325" s="1" t="str">
        <f t="shared" si="5"/>
        <v>Francophone</v>
      </c>
      <c r="O325" s="3" t="str">
        <f>_xlfn.XLOOKUP(D:D,MappingTable[Brand],MappingTable[Brand Type], "not found")</f>
        <v>Beer</v>
      </c>
      <c r="P325" t="str">
        <f>_xlfn.XLOOKUP(L:L,MappingTable2[Month],MappingTable2[Quarters],"NIL")</f>
        <v>Q4</v>
      </c>
      <c r="Q325" s="1"/>
    </row>
    <row r="326" spans="1:17" x14ac:dyDescent="0.2">
      <c r="A326" s="1">
        <v>10425</v>
      </c>
      <c r="B326" s="1" t="s">
        <v>31</v>
      </c>
      <c r="C326" s="1" t="s">
        <v>32</v>
      </c>
      <c r="D326" s="1" t="s">
        <v>27</v>
      </c>
      <c r="E326" s="3">
        <v>180</v>
      </c>
      <c r="F326" s="3">
        <v>450</v>
      </c>
      <c r="G326" s="13">
        <v>895</v>
      </c>
      <c r="H326" s="3">
        <v>402750</v>
      </c>
      <c r="I326" s="3">
        <v>241650</v>
      </c>
      <c r="J326" s="1" t="s">
        <v>40</v>
      </c>
      <c r="K326" s="1" t="s">
        <v>17</v>
      </c>
      <c r="L326" s="1" t="s">
        <v>18</v>
      </c>
      <c r="M326" s="1">
        <v>2017</v>
      </c>
      <c r="N326" s="1" t="str">
        <f t="shared" si="5"/>
        <v>Francophone</v>
      </c>
      <c r="O326" s="3" t="str">
        <f>_xlfn.XLOOKUP(D:D,MappingTable[Brand],MappingTable[Brand Type], "not found")</f>
        <v>Beer</v>
      </c>
      <c r="P326" t="str">
        <f>_xlfn.XLOOKUP(L:L,MappingTable2[Month],MappingTable2[Quarters],"NIL")</f>
        <v>Q1</v>
      </c>
      <c r="Q326" s="1"/>
    </row>
    <row r="327" spans="1:17" x14ac:dyDescent="0.2">
      <c r="A327" s="1">
        <v>10426</v>
      </c>
      <c r="B327" s="1" t="s">
        <v>37</v>
      </c>
      <c r="C327" s="1" t="s">
        <v>38</v>
      </c>
      <c r="D327" s="1" t="s">
        <v>33</v>
      </c>
      <c r="E327" s="3">
        <v>170</v>
      </c>
      <c r="F327" s="3">
        <v>250</v>
      </c>
      <c r="G327" s="13">
        <v>929</v>
      </c>
      <c r="H327" s="3">
        <v>232250</v>
      </c>
      <c r="I327" s="3">
        <v>74320</v>
      </c>
      <c r="J327" s="1" t="s">
        <v>16</v>
      </c>
      <c r="K327" s="1" t="s">
        <v>23</v>
      </c>
      <c r="L327" s="1" t="s">
        <v>24</v>
      </c>
      <c r="M327" s="1">
        <v>2019</v>
      </c>
      <c r="N327" s="1" t="str">
        <f t="shared" si="5"/>
        <v>Anglophone</v>
      </c>
      <c r="O327" s="3" t="str">
        <f>_xlfn.XLOOKUP(D:D,MappingTable[Brand],MappingTable[Brand Type], "not found")</f>
        <v>Beer</v>
      </c>
      <c r="P327" t="str">
        <f>_xlfn.XLOOKUP(L:L,MappingTable2[Month],MappingTable2[Quarters],"NIL")</f>
        <v>Q1</v>
      </c>
      <c r="Q327" s="1"/>
    </row>
    <row r="328" spans="1:17" x14ac:dyDescent="0.2">
      <c r="A328" s="1">
        <v>10427</v>
      </c>
      <c r="B328" s="1" t="s">
        <v>13</v>
      </c>
      <c r="C328" s="1" t="s">
        <v>14</v>
      </c>
      <c r="D328" s="1" t="s">
        <v>39</v>
      </c>
      <c r="E328" s="3">
        <v>150</v>
      </c>
      <c r="F328" s="3">
        <v>200</v>
      </c>
      <c r="G328" s="13">
        <v>759</v>
      </c>
      <c r="H328" s="3">
        <v>151800</v>
      </c>
      <c r="I328" s="3">
        <v>37950</v>
      </c>
      <c r="J328" s="1" t="s">
        <v>22</v>
      </c>
      <c r="K328" s="1" t="s">
        <v>29</v>
      </c>
      <c r="L328" s="1" t="s">
        <v>30</v>
      </c>
      <c r="M328" s="1">
        <v>2018</v>
      </c>
      <c r="N328" s="1" t="str">
        <f t="shared" si="5"/>
        <v>Anglophone</v>
      </c>
      <c r="O328" s="3" t="str">
        <f>_xlfn.XLOOKUP(D:D,MappingTable[Brand],MappingTable[Brand Type], "not found")</f>
        <v>Beer</v>
      </c>
      <c r="P328" t="str">
        <f>_xlfn.XLOOKUP(L:L,MappingTable2[Month],MappingTable2[Quarters],"NIL")</f>
        <v>Q1</v>
      </c>
      <c r="Q328" s="1"/>
    </row>
    <row r="329" spans="1:17" x14ac:dyDescent="0.2">
      <c r="A329" s="1">
        <v>10428</v>
      </c>
      <c r="B329" s="1" t="s">
        <v>46</v>
      </c>
      <c r="C329" s="1" t="s">
        <v>47</v>
      </c>
      <c r="D329" s="1" t="s">
        <v>43</v>
      </c>
      <c r="E329" s="3">
        <v>80</v>
      </c>
      <c r="F329" s="3">
        <v>150</v>
      </c>
      <c r="G329" s="13">
        <v>765</v>
      </c>
      <c r="H329" s="3">
        <v>114750</v>
      </c>
      <c r="I329" s="3">
        <v>53550</v>
      </c>
      <c r="J329" s="1" t="s">
        <v>28</v>
      </c>
      <c r="K329" s="1" t="s">
        <v>35</v>
      </c>
      <c r="L329" s="1" t="s">
        <v>36</v>
      </c>
      <c r="M329" s="1">
        <v>2017</v>
      </c>
      <c r="N329" s="1" t="str">
        <f t="shared" si="5"/>
        <v>Francophone</v>
      </c>
      <c r="O329" s="3" t="str">
        <f>_xlfn.XLOOKUP(D:D,MappingTable[Brand],MappingTable[Brand Type], "not found")</f>
        <v>Malt</v>
      </c>
      <c r="P329" t="str">
        <f>_xlfn.XLOOKUP(L:L,MappingTable2[Month],MappingTable2[Quarters],"NIL")</f>
        <v>Q2</v>
      </c>
      <c r="Q329" s="1"/>
    </row>
    <row r="330" spans="1:17" x14ac:dyDescent="0.2">
      <c r="A330" s="1">
        <v>10429</v>
      </c>
      <c r="B330" s="1" t="s">
        <v>31</v>
      </c>
      <c r="C330" s="1" t="s">
        <v>32</v>
      </c>
      <c r="D330" s="1" t="s">
        <v>48</v>
      </c>
      <c r="E330" s="3">
        <v>90</v>
      </c>
      <c r="F330" s="3">
        <v>150</v>
      </c>
      <c r="G330" s="13">
        <v>861</v>
      </c>
      <c r="H330" s="3">
        <v>129150</v>
      </c>
      <c r="I330" s="3">
        <v>51660</v>
      </c>
      <c r="J330" s="1" t="s">
        <v>34</v>
      </c>
      <c r="K330" s="1" t="s">
        <v>41</v>
      </c>
      <c r="L330" s="1" t="s">
        <v>42</v>
      </c>
      <c r="M330" s="1">
        <v>2019</v>
      </c>
      <c r="N330" s="1" t="str">
        <f t="shared" si="5"/>
        <v>Francophone</v>
      </c>
      <c r="O330" s="3" t="str">
        <f>_xlfn.XLOOKUP(D:D,MappingTable[Brand],MappingTable[Brand Type], "not found")</f>
        <v>Malt</v>
      </c>
      <c r="P330" t="str">
        <f>_xlfn.XLOOKUP(L:L,MappingTable2[Month],MappingTable2[Quarters],"NIL")</f>
        <v>Q2</v>
      </c>
      <c r="Q330" s="1"/>
    </row>
    <row r="331" spans="1:17" x14ac:dyDescent="0.2">
      <c r="A331" s="1">
        <v>10430</v>
      </c>
      <c r="B331" s="1" t="s">
        <v>51</v>
      </c>
      <c r="C331" s="1" t="s">
        <v>52</v>
      </c>
      <c r="D331" s="1" t="s">
        <v>15</v>
      </c>
      <c r="E331" s="3">
        <v>150</v>
      </c>
      <c r="F331" s="3">
        <v>200</v>
      </c>
      <c r="G331" s="13">
        <v>790</v>
      </c>
      <c r="H331" s="3">
        <v>158000</v>
      </c>
      <c r="I331" s="3">
        <v>39500</v>
      </c>
      <c r="J331" s="1" t="s">
        <v>40</v>
      </c>
      <c r="K331" s="1" t="s">
        <v>44</v>
      </c>
      <c r="L331" s="1" t="s">
        <v>45</v>
      </c>
      <c r="M331" s="1">
        <v>2018</v>
      </c>
      <c r="N331" s="1" t="str">
        <f t="shared" si="5"/>
        <v>Francophone</v>
      </c>
      <c r="O331" s="3" t="str">
        <f>_xlfn.XLOOKUP(D:D,MappingTable[Brand],MappingTable[Brand Type], "not found")</f>
        <v>Beer</v>
      </c>
      <c r="P331" t="str">
        <f>_xlfn.XLOOKUP(L:L,MappingTable2[Month],MappingTable2[Quarters],"NIL")</f>
        <v>Q2</v>
      </c>
      <c r="Q331" s="1"/>
    </row>
    <row r="332" spans="1:17" x14ac:dyDescent="0.2">
      <c r="A332" s="1">
        <v>10431</v>
      </c>
      <c r="B332" s="1" t="s">
        <v>54</v>
      </c>
      <c r="C332" s="1" t="s">
        <v>55</v>
      </c>
      <c r="D332" s="1" t="s">
        <v>21</v>
      </c>
      <c r="E332" s="3">
        <v>250</v>
      </c>
      <c r="F332" s="3">
        <v>500</v>
      </c>
      <c r="G332" s="13">
        <v>831</v>
      </c>
      <c r="H332" s="3">
        <v>415500</v>
      </c>
      <c r="I332" s="3">
        <v>207750</v>
      </c>
      <c r="J332" s="1" t="s">
        <v>16</v>
      </c>
      <c r="K332" s="1" t="s">
        <v>17</v>
      </c>
      <c r="L332" s="1" t="s">
        <v>49</v>
      </c>
      <c r="M332" s="1">
        <v>2017</v>
      </c>
      <c r="N332" s="1" t="str">
        <f t="shared" si="5"/>
        <v>Anglophone</v>
      </c>
      <c r="O332" s="3" t="str">
        <f>_xlfn.XLOOKUP(D:D,MappingTable[Brand],MappingTable[Brand Type], "not found")</f>
        <v>Beer</v>
      </c>
      <c r="P332" t="str">
        <f>_xlfn.XLOOKUP(L:L,MappingTable2[Month],MappingTable2[Quarters],"NIL")</f>
        <v>Q3</v>
      </c>
      <c r="Q332" s="1"/>
    </row>
    <row r="333" spans="1:17" x14ac:dyDescent="0.2">
      <c r="A333" s="1">
        <v>10432</v>
      </c>
      <c r="B333" s="1" t="s">
        <v>57</v>
      </c>
      <c r="C333" s="1" t="s">
        <v>58</v>
      </c>
      <c r="D333" s="1" t="s">
        <v>27</v>
      </c>
      <c r="E333" s="3">
        <v>180</v>
      </c>
      <c r="F333" s="3">
        <v>450</v>
      </c>
      <c r="G333" s="13">
        <v>879</v>
      </c>
      <c r="H333" s="3">
        <v>395550</v>
      </c>
      <c r="I333" s="3">
        <v>237330</v>
      </c>
      <c r="J333" s="1" t="s">
        <v>22</v>
      </c>
      <c r="K333" s="1" t="s">
        <v>23</v>
      </c>
      <c r="L333" s="1" t="s">
        <v>50</v>
      </c>
      <c r="M333" s="1">
        <v>2017</v>
      </c>
      <c r="N333" s="1" t="str">
        <f t="shared" si="5"/>
        <v>Anglophone</v>
      </c>
      <c r="O333" s="3" t="str">
        <f>_xlfn.XLOOKUP(D:D,MappingTable[Brand],MappingTable[Brand Type], "not found")</f>
        <v>Beer</v>
      </c>
      <c r="P333" t="str">
        <f>_xlfn.XLOOKUP(L:L,MappingTable2[Month],MappingTable2[Quarters],"NIL")</f>
        <v>Q3</v>
      </c>
      <c r="Q333" s="1"/>
    </row>
    <row r="334" spans="1:17" x14ac:dyDescent="0.2">
      <c r="A334" s="1">
        <v>10433</v>
      </c>
      <c r="B334" s="1" t="s">
        <v>31</v>
      </c>
      <c r="C334" s="1" t="s">
        <v>32</v>
      </c>
      <c r="D334" s="1" t="s">
        <v>33</v>
      </c>
      <c r="E334" s="3">
        <v>170</v>
      </c>
      <c r="F334" s="3">
        <v>250</v>
      </c>
      <c r="G334" s="13">
        <v>756</v>
      </c>
      <c r="H334" s="3">
        <v>189000</v>
      </c>
      <c r="I334" s="3">
        <v>60480</v>
      </c>
      <c r="J334" s="1" t="s">
        <v>28</v>
      </c>
      <c r="K334" s="1" t="s">
        <v>29</v>
      </c>
      <c r="L334" s="1" t="s">
        <v>53</v>
      </c>
      <c r="M334" s="1">
        <v>2017</v>
      </c>
      <c r="N334" s="1" t="str">
        <f t="shared" si="5"/>
        <v>Francophone</v>
      </c>
      <c r="O334" s="3" t="str">
        <f>_xlfn.XLOOKUP(D:D,MappingTable[Brand],MappingTable[Brand Type], "not found")</f>
        <v>Beer</v>
      </c>
      <c r="P334" t="str">
        <f>_xlfn.XLOOKUP(L:L,MappingTable2[Month],MappingTable2[Quarters],"NIL")</f>
        <v>Q3</v>
      </c>
      <c r="Q334" s="1"/>
    </row>
    <row r="335" spans="1:17" x14ac:dyDescent="0.2">
      <c r="A335" s="1">
        <v>10434</v>
      </c>
      <c r="B335" s="1" t="s">
        <v>61</v>
      </c>
      <c r="C335" s="1" t="s">
        <v>62</v>
      </c>
      <c r="D335" s="1" t="s">
        <v>39</v>
      </c>
      <c r="E335" s="3">
        <v>150</v>
      </c>
      <c r="F335" s="3">
        <v>200</v>
      </c>
      <c r="G335" s="13">
        <v>888</v>
      </c>
      <c r="H335" s="3">
        <v>177600</v>
      </c>
      <c r="I335" s="3">
        <v>44400</v>
      </c>
      <c r="J335" s="1" t="s">
        <v>34</v>
      </c>
      <c r="K335" s="1" t="s">
        <v>35</v>
      </c>
      <c r="L335" s="1" t="s">
        <v>56</v>
      </c>
      <c r="M335" s="1">
        <v>2017</v>
      </c>
      <c r="N335" s="1" t="str">
        <f t="shared" si="5"/>
        <v>Francophone</v>
      </c>
      <c r="O335" s="3" t="str">
        <f>_xlfn.XLOOKUP(D:D,MappingTable[Brand],MappingTable[Brand Type], "not found")</f>
        <v>Beer</v>
      </c>
      <c r="P335" t="str">
        <f>_xlfn.XLOOKUP(L:L,MappingTable2[Month],MappingTable2[Quarters],"NIL")</f>
        <v>Q4</v>
      </c>
      <c r="Q335" s="1"/>
    </row>
    <row r="336" spans="1:17" x14ac:dyDescent="0.2">
      <c r="A336" s="1">
        <v>10435</v>
      </c>
      <c r="B336" s="1" t="s">
        <v>31</v>
      </c>
      <c r="C336" s="1" t="s">
        <v>32</v>
      </c>
      <c r="D336" s="1" t="s">
        <v>43</v>
      </c>
      <c r="E336" s="3">
        <v>80</v>
      </c>
      <c r="F336" s="3">
        <v>150</v>
      </c>
      <c r="G336" s="13">
        <v>859</v>
      </c>
      <c r="H336" s="3">
        <v>128850</v>
      </c>
      <c r="I336" s="3">
        <v>60130</v>
      </c>
      <c r="J336" s="1" t="s">
        <v>40</v>
      </c>
      <c r="K336" s="1" t="s">
        <v>41</v>
      </c>
      <c r="L336" s="1" t="s">
        <v>59</v>
      </c>
      <c r="M336" s="1">
        <v>2017</v>
      </c>
      <c r="N336" s="1" t="str">
        <f t="shared" si="5"/>
        <v>Francophone</v>
      </c>
      <c r="O336" s="3" t="str">
        <f>_xlfn.XLOOKUP(D:D,MappingTable[Brand],MappingTable[Brand Type], "not found")</f>
        <v>Malt</v>
      </c>
      <c r="P336" t="str">
        <f>_xlfn.XLOOKUP(L:L,MappingTable2[Month],MappingTable2[Quarters],"NIL")</f>
        <v>Q4</v>
      </c>
      <c r="Q336" s="1"/>
    </row>
    <row r="337" spans="1:17" x14ac:dyDescent="0.2">
      <c r="A337" s="1">
        <v>10436</v>
      </c>
      <c r="B337" s="1" t="s">
        <v>51</v>
      </c>
      <c r="C337" s="1" t="s">
        <v>52</v>
      </c>
      <c r="D337" s="1" t="s">
        <v>48</v>
      </c>
      <c r="E337" s="3">
        <v>90</v>
      </c>
      <c r="F337" s="3">
        <v>150</v>
      </c>
      <c r="G337" s="13">
        <v>761</v>
      </c>
      <c r="H337" s="3">
        <v>114150</v>
      </c>
      <c r="I337" s="3">
        <v>45660</v>
      </c>
      <c r="J337" s="1" t="s">
        <v>16</v>
      </c>
      <c r="K337" s="1" t="s">
        <v>44</v>
      </c>
      <c r="L337" s="1" t="s">
        <v>60</v>
      </c>
      <c r="M337" s="1">
        <v>2018</v>
      </c>
      <c r="N337" s="1" t="str">
        <f t="shared" si="5"/>
        <v>Anglophone</v>
      </c>
      <c r="O337" s="3" t="str">
        <f>_xlfn.XLOOKUP(D:D,MappingTable[Brand],MappingTable[Brand Type], "not found")</f>
        <v>Malt</v>
      </c>
      <c r="P337" t="str">
        <f>_xlfn.XLOOKUP(L:L,MappingTable2[Month],MappingTable2[Quarters],"NIL")</f>
        <v>Q4</v>
      </c>
      <c r="Q337" s="1"/>
    </row>
    <row r="338" spans="1:17" x14ac:dyDescent="0.2">
      <c r="A338" s="1">
        <v>10437</v>
      </c>
      <c r="B338" s="1" t="s">
        <v>31</v>
      </c>
      <c r="C338" s="1" t="s">
        <v>32</v>
      </c>
      <c r="D338" s="1" t="s">
        <v>15</v>
      </c>
      <c r="E338" s="3">
        <v>150</v>
      </c>
      <c r="F338" s="3">
        <v>200</v>
      </c>
      <c r="G338" s="13">
        <v>989</v>
      </c>
      <c r="H338" s="3">
        <v>197800</v>
      </c>
      <c r="I338" s="3">
        <v>49450</v>
      </c>
      <c r="J338" s="1" t="s">
        <v>22</v>
      </c>
      <c r="K338" s="1" t="s">
        <v>17</v>
      </c>
      <c r="L338" s="1" t="s">
        <v>18</v>
      </c>
      <c r="M338" s="1">
        <v>2018</v>
      </c>
      <c r="N338" s="1" t="str">
        <f t="shared" si="5"/>
        <v>Anglophone</v>
      </c>
      <c r="O338" s="3" t="str">
        <f>_xlfn.XLOOKUP(D:D,MappingTable[Brand],MappingTable[Brand Type], "not found")</f>
        <v>Beer</v>
      </c>
      <c r="P338" t="str">
        <f>_xlfn.XLOOKUP(L:L,MappingTable2[Month],MappingTable2[Quarters],"NIL")</f>
        <v>Q1</v>
      </c>
      <c r="Q338" s="1"/>
    </row>
    <row r="339" spans="1:17" x14ac:dyDescent="0.2">
      <c r="A339" s="1">
        <v>10438</v>
      </c>
      <c r="B339" s="1" t="s">
        <v>57</v>
      </c>
      <c r="C339" s="1" t="s">
        <v>58</v>
      </c>
      <c r="D339" s="1" t="s">
        <v>21</v>
      </c>
      <c r="E339" s="3">
        <v>250</v>
      </c>
      <c r="F339" s="3">
        <v>500</v>
      </c>
      <c r="G339" s="13">
        <v>824</v>
      </c>
      <c r="H339" s="3">
        <v>412000</v>
      </c>
      <c r="I339" s="3">
        <v>206000</v>
      </c>
      <c r="J339" s="1" t="s">
        <v>28</v>
      </c>
      <c r="K339" s="1" t="s">
        <v>23</v>
      </c>
      <c r="L339" s="1" t="s">
        <v>24</v>
      </c>
      <c r="M339" s="1">
        <v>2018</v>
      </c>
      <c r="N339" s="1" t="str">
        <f t="shared" si="5"/>
        <v>Francophone</v>
      </c>
      <c r="O339" s="3" t="str">
        <f>_xlfn.XLOOKUP(D:D,MappingTable[Brand],MappingTable[Brand Type], "not found")</f>
        <v>Beer</v>
      </c>
      <c r="P339" t="str">
        <f>_xlfn.XLOOKUP(L:L,MappingTable2[Month],MappingTable2[Quarters],"NIL")</f>
        <v>Q1</v>
      </c>
      <c r="Q339" s="1"/>
    </row>
    <row r="340" spans="1:17" x14ac:dyDescent="0.2">
      <c r="A340" s="1">
        <v>10439</v>
      </c>
      <c r="B340" s="1" t="s">
        <v>63</v>
      </c>
      <c r="C340" s="1" t="s">
        <v>64</v>
      </c>
      <c r="D340" s="1" t="s">
        <v>27</v>
      </c>
      <c r="E340" s="3">
        <v>180</v>
      </c>
      <c r="F340" s="3">
        <v>450</v>
      </c>
      <c r="G340" s="13">
        <v>775</v>
      </c>
      <c r="H340" s="3">
        <v>348750</v>
      </c>
      <c r="I340" s="3">
        <v>209250</v>
      </c>
      <c r="J340" s="1" t="s">
        <v>34</v>
      </c>
      <c r="K340" s="1" t="s">
        <v>29</v>
      </c>
      <c r="L340" s="1" t="s">
        <v>30</v>
      </c>
      <c r="M340" s="1">
        <v>2018</v>
      </c>
      <c r="N340" s="1" t="str">
        <f t="shared" si="5"/>
        <v>Francophone</v>
      </c>
      <c r="O340" s="3" t="str">
        <f>_xlfn.XLOOKUP(D:D,MappingTable[Brand],MappingTable[Brand Type], "not found")</f>
        <v>Beer</v>
      </c>
      <c r="P340" t="str">
        <f>_xlfn.XLOOKUP(L:L,MappingTable2[Month],MappingTable2[Quarters],"NIL")</f>
        <v>Q1</v>
      </c>
      <c r="Q340" s="1"/>
    </row>
    <row r="341" spans="1:17" x14ac:dyDescent="0.2">
      <c r="A341" s="1">
        <v>10440</v>
      </c>
      <c r="B341" s="1" t="s">
        <v>61</v>
      </c>
      <c r="C341" s="1" t="s">
        <v>62</v>
      </c>
      <c r="D341" s="1" t="s">
        <v>33</v>
      </c>
      <c r="E341" s="3">
        <v>170</v>
      </c>
      <c r="F341" s="3">
        <v>250</v>
      </c>
      <c r="G341" s="13">
        <v>980</v>
      </c>
      <c r="H341" s="3">
        <v>245000</v>
      </c>
      <c r="I341" s="3">
        <v>78400</v>
      </c>
      <c r="J341" s="1" t="s">
        <v>40</v>
      </c>
      <c r="K341" s="1" t="s">
        <v>35</v>
      </c>
      <c r="L341" s="1" t="s">
        <v>36</v>
      </c>
      <c r="M341" s="1">
        <v>2017</v>
      </c>
      <c r="N341" s="1" t="str">
        <f t="shared" si="5"/>
        <v>Francophone</v>
      </c>
      <c r="O341" s="3" t="str">
        <f>_xlfn.XLOOKUP(D:D,MappingTable[Brand],MappingTable[Brand Type], "not found")</f>
        <v>Beer</v>
      </c>
      <c r="P341" t="str">
        <f>_xlfn.XLOOKUP(L:L,MappingTable2[Month],MappingTable2[Quarters],"NIL")</f>
        <v>Q2</v>
      </c>
      <c r="Q341" s="1"/>
    </row>
    <row r="342" spans="1:17" x14ac:dyDescent="0.2">
      <c r="A342" s="1">
        <v>10441</v>
      </c>
      <c r="B342" s="1" t="s">
        <v>57</v>
      </c>
      <c r="C342" s="1" t="s">
        <v>58</v>
      </c>
      <c r="D342" s="1" t="s">
        <v>39</v>
      </c>
      <c r="E342" s="3">
        <v>150</v>
      </c>
      <c r="F342" s="3">
        <v>200</v>
      </c>
      <c r="G342" s="13">
        <v>828</v>
      </c>
      <c r="H342" s="3">
        <v>165600</v>
      </c>
      <c r="I342" s="3">
        <v>41400</v>
      </c>
      <c r="J342" s="1" t="s">
        <v>16</v>
      </c>
      <c r="K342" s="1" t="s">
        <v>41</v>
      </c>
      <c r="L342" s="1" t="s">
        <v>42</v>
      </c>
      <c r="M342" s="1">
        <v>2019</v>
      </c>
      <c r="N342" s="1" t="str">
        <f t="shared" si="5"/>
        <v>Anglophone</v>
      </c>
      <c r="O342" s="3" t="str">
        <f>_xlfn.XLOOKUP(D:D,MappingTable[Brand],MappingTable[Brand Type], "not found")</f>
        <v>Beer</v>
      </c>
      <c r="P342" t="str">
        <f>_xlfn.XLOOKUP(L:L,MappingTable2[Month],MappingTable2[Quarters],"NIL")</f>
        <v>Q2</v>
      </c>
      <c r="Q342" s="1"/>
    </row>
    <row r="343" spans="1:17" x14ac:dyDescent="0.2">
      <c r="A343" s="1">
        <v>10442</v>
      </c>
      <c r="B343" s="1" t="s">
        <v>19</v>
      </c>
      <c r="C343" s="1" t="s">
        <v>20</v>
      </c>
      <c r="D343" s="1" t="s">
        <v>43</v>
      </c>
      <c r="E343" s="3">
        <v>80</v>
      </c>
      <c r="F343" s="3">
        <v>150</v>
      </c>
      <c r="G343" s="13">
        <v>711</v>
      </c>
      <c r="H343" s="3">
        <v>106650</v>
      </c>
      <c r="I343" s="3">
        <v>49770</v>
      </c>
      <c r="J343" s="1" t="s">
        <v>22</v>
      </c>
      <c r="K343" s="1" t="s">
        <v>44</v>
      </c>
      <c r="L343" s="1" t="s">
        <v>45</v>
      </c>
      <c r="M343" s="1">
        <v>2019</v>
      </c>
      <c r="N343" s="1" t="str">
        <f t="shared" si="5"/>
        <v>Anglophone</v>
      </c>
      <c r="O343" s="3" t="str">
        <f>_xlfn.XLOOKUP(D:D,MappingTable[Brand],MappingTable[Brand Type], "not found")</f>
        <v>Malt</v>
      </c>
      <c r="P343" t="str">
        <f>_xlfn.XLOOKUP(L:L,MappingTable2[Month],MappingTable2[Quarters],"NIL")</f>
        <v>Q2</v>
      </c>
      <c r="Q343" s="1"/>
    </row>
    <row r="344" spans="1:17" x14ac:dyDescent="0.2">
      <c r="A344" s="1">
        <v>10443</v>
      </c>
      <c r="B344" s="1" t="s">
        <v>61</v>
      </c>
      <c r="C344" s="1" t="s">
        <v>62</v>
      </c>
      <c r="D344" s="1" t="s">
        <v>48</v>
      </c>
      <c r="E344" s="3">
        <v>90</v>
      </c>
      <c r="F344" s="3">
        <v>150</v>
      </c>
      <c r="G344" s="13">
        <v>817</v>
      </c>
      <c r="H344" s="3">
        <v>122550</v>
      </c>
      <c r="I344" s="3">
        <v>49020</v>
      </c>
      <c r="J344" s="1" t="s">
        <v>28</v>
      </c>
      <c r="K344" s="1" t="s">
        <v>17</v>
      </c>
      <c r="L344" s="1" t="s">
        <v>49</v>
      </c>
      <c r="M344" s="1">
        <v>2018</v>
      </c>
      <c r="N344" s="1" t="str">
        <f t="shared" si="5"/>
        <v>Francophone</v>
      </c>
      <c r="O344" s="3" t="str">
        <f>_xlfn.XLOOKUP(D:D,MappingTable[Brand],MappingTable[Brand Type], "not found")</f>
        <v>Malt</v>
      </c>
      <c r="P344" t="str">
        <f>_xlfn.XLOOKUP(L:L,MappingTable2[Month],MappingTable2[Quarters],"NIL")</f>
        <v>Q3</v>
      </c>
      <c r="Q344" s="1"/>
    </row>
    <row r="345" spans="1:17" x14ac:dyDescent="0.2">
      <c r="A345" s="1">
        <v>10444</v>
      </c>
      <c r="B345" s="1" t="s">
        <v>31</v>
      </c>
      <c r="C345" s="1" t="s">
        <v>32</v>
      </c>
      <c r="D345" s="1" t="s">
        <v>15</v>
      </c>
      <c r="E345" s="3">
        <v>150</v>
      </c>
      <c r="F345" s="3">
        <v>200</v>
      </c>
      <c r="G345" s="13">
        <v>829</v>
      </c>
      <c r="H345" s="3">
        <v>165800</v>
      </c>
      <c r="I345" s="3">
        <v>41450</v>
      </c>
      <c r="J345" s="1" t="s">
        <v>34</v>
      </c>
      <c r="K345" s="1" t="s">
        <v>23</v>
      </c>
      <c r="L345" s="1" t="s">
        <v>50</v>
      </c>
      <c r="M345" s="1">
        <v>2018</v>
      </c>
      <c r="N345" s="1" t="str">
        <f t="shared" si="5"/>
        <v>Francophone</v>
      </c>
      <c r="O345" s="3" t="str">
        <f>_xlfn.XLOOKUP(D:D,MappingTable[Brand],MappingTable[Brand Type], "not found")</f>
        <v>Beer</v>
      </c>
      <c r="P345" t="str">
        <f>_xlfn.XLOOKUP(L:L,MappingTable2[Month],MappingTable2[Quarters],"NIL")</f>
        <v>Q3</v>
      </c>
      <c r="Q345" s="1"/>
    </row>
    <row r="346" spans="1:17" x14ac:dyDescent="0.2">
      <c r="A346" s="1">
        <v>10445</v>
      </c>
      <c r="B346" s="1" t="s">
        <v>25</v>
      </c>
      <c r="C346" s="1" t="s">
        <v>26</v>
      </c>
      <c r="D346" s="1" t="s">
        <v>21</v>
      </c>
      <c r="E346" s="3">
        <v>250</v>
      </c>
      <c r="F346" s="3">
        <v>500</v>
      </c>
      <c r="G346" s="13">
        <v>872</v>
      </c>
      <c r="H346" s="3">
        <v>436000</v>
      </c>
      <c r="I346" s="3">
        <v>218000</v>
      </c>
      <c r="J346" s="1" t="s">
        <v>40</v>
      </c>
      <c r="K346" s="1" t="s">
        <v>29</v>
      </c>
      <c r="L346" s="1" t="s">
        <v>53</v>
      </c>
      <c r="M346" s="1">
        <v>2018</v>
      </c>
      <c r="N346" s="1" t="str">
        <f t="shared" si="5"/>
        <v>Francophone</v>
      </c>
      <c r="O346" s="3" t="str">
        <f>_xlfn.XLOOKUP(D:D,MappingTable[Brand],MappingTable[Brand Type], "not found")</f>
        <v>Beer</v>
      </c>
      <c r="P346" t="str">
        <f>_xlfn.XLOOKUP(L:L,MappingTable2[Month],MappingTable2[Quarters],"NIL")</f>
        <v>Q3</v>
      </c>
      <c r="Q346" s="1"/>
    </row>
    <row r="347" spans="1:17" x14ac:dyDescent="0.2">
      <c r="A347" s="1">
        <v>10446</v>
      </c>
      <c r="B347" s="1" t="s">
        <v>13</v>
      </c>
      <c r="C347" s="1" t="s">
        <v>14</v>
      </c>
      <c r="D347" s="1" t="s">
        <v>27</v>
      </c>
      <c r="E347" s="3">
        <v>180</v>
      </c>
      <c r="F347" s="3">
        <v>450</v>
      </c>
      <c r="G347" s="13">
        <v>715</v>
      </c>
      <c r="H347" s="3">
        <v>321750</v>
      </c>
      <c r="I347" s="3">
        <v>193050</v>
      </c>
      <c r="J347" s="1" t="s">
        <v>16</v>
      </c>
      <c r="K347" s="1" t="s">
        <v>35</v>
      </c>
      <c r="L347" s="1" t="s">
        <v>56</v>
      </c>
      <c r="M347" s="1">
        <v>2018</v>
      </c>
      <c r="N347" s="1" t="str">
        <f t="shared" si="5"/>
        <v>Anglophone</v>
      </c>
      <c r="O347" s="3" t="str">
        <f>_xlfn.XLOOKUP(D:D,MappingTable[Brand],MappingTable[Brand Type], "not found")</f>
        <v>Beer</v>
      </c>
      <c r="P347" t="str">
        <f>_xlfn.XLOOKUP(L:L,MappingTable2[Month],MappingTable2[Quarters],"NIL")</f>
        <v>Q4</v>
      </c>
      <c r="Q347" s="1"/>
    </row>
    <row r="348" spans="1:17" x14ac:dyDescent="0.2">
      <c r="A348" s="1">
        <v>10447</v>
      </c>
      <c r="B348" s="1" t="s">
        <v>37</v>
      </c>
      <c r="C348" s="1" t="s">
        <v>38</v>
      </c>
      <c r="D348" s="1" t="s">
        <v>33</v>
      </c>
      <c r="E348" s="3">
        <v>170</v>
      </c>
      <c r="F348" s="3">
        <v>250</v>
      </c>
      <c r="G348" s="13">
        <v>939</v>
      </c>
      <c r="H348" s="3">
        <v>234750</v>
      </c>
      <c r="I348" s="3">
        <v>75120</v>
      </c>
      <c r="J348" s="1" t="s">
        <v>22</v>
      </c>
      <c r="K348" s="1" t="s">
        <v>41</v>
      </c>
      <c r="L348" s="1" t="s">
        <v>59</v>
      </c>
      <c r="M348" s="1">
        <v>2019</v>
      </c>
      <c r="N348" s="1" t="str">
        <f t="shared" si="5"/>
        <v>Anglophone</v>
      </c>
      <c r="O348" s="3" t="str">
        <f>_xlfn.XLOOKUP(D:D,MappingTable[Brand],MappingTable[Brand Type], "not found")</f>
        <v>Beer</v>
      </c>
      <c r="P348" t="str">
        <f>_xlfn.XLOOKUP(L:L,MappingTable2[Month],MappingTable2[Quarters],"NIL")</f>
        <v>Q4</v>
      </c>
      <c r="Q348" s="1"/>
    </row>
    <row r="349" spans="1:17" x14ac:dyDescent="0.2">
      <c r="A349" s="1">
        <v>10448</v>
      </c>
      <c r="B349" s="1" t="s">
        <v>54</v>
      </c>
      <c r="C349" s="1" t="s">
        <v>55</v>
      </c>
      <c r="D349" s="1" t="s">
        <v>39</v>
      </c>
      <c r="E349" s="3">
        <v>150</v>
      </c>
      <c r="F349" s="3">
        <v>200</v>
      </c>
      <c r="G349" s="13">
        <v>891</v>
      </c>
      <c r="H349" s="3">
        <v>178200</v>
      </c>
      <c r="I349" s="3">
        <v>44550</v>
      </c>
      <c r="J349" s="1" t="s">
        <v>28</v>
      </c>
      <c r="K349" s="1" t="s">
        <v>44</v>
      </c>
      <c r="L349" s="1" t="s">
        <v>60</v>
      </c>
      <c r="M349" s="1">
        <v>2017</v>
      </c>
      <c r="N349" s="1" t="str">
        <f t="shared" si="5"/>
        <v>Francophone</v>
      </c>
      <c r="O349" s="3" t="str">
        <f>_xlfn.XLOOKUP(D:D,MappingTable[Brand],MappingTable[Brand Type], "not found")</f>
        <v>Beer</v>
      </c>
      <c r="P349" t="str">
        <f>_xlfn.XLOOKUP(L:L,MappingTable2[Month],MappingTable2[Quarters],"NIL")</f>
        <v>Q4</v>
      </c>
      <c r="Q349" s="1"/>
    </row>
    <row r="350" spans="1:17" x14ac:dyDescent="0.2">
      <c r="A350" s="1">
        <v>10449</v>
      </c>
      <c r="B350" s="1" t="s">
        <v>19</v>
      </c>
      <c r="C350" s="1" t="s">
        <v>20</v>
      </c>
      <c r="D350" s="1" t="s">
        <v>43</v>
      </c>
      <c r="E350" s="3">
        <v>80</v>
      </c>
      <c r="F350" s="3">
        <v>150</v>
      </c>
      <c r="G350" s="13">
        <v>736</v>
      </c>
      <c r="H350" s="3">
        <v>110400</v>
      </c>
      <c r="I350" s="3">
        <v>51520</v>
      </c>
      <c r="J350" s="1" t="s">
        <v>34</v>
      </c>
      <c r="K350" s="1" t="s">
        <v>17</v>
      </c>
      <c r="L350" s="1" t="s">
        <v>18</v>
      </c>
      <c r="M350" s="1">
        <v>2018</v>
      </c>
      <c r="N350" s="1" t="str">
        <f t="shared" si="5"/>
        <v>Francophone</v>
      </c>
      <c r="O350" s="3" t="str">
        <f>_xlfn.XLOOKUP(D:D,MappingTable[Brand],MappingTable[Brand Type], "not found")</f>
        <v>Malt</v>
      </c>
      <c r="P350" t="str">
        <f>_xlfn.XLOOKUP(L:L,MappingTable2[Month],MappingTable2[Quarters],"NIL")</f>
        <v>Q1</v>
      </c>
      <c r="Q350" s="1"/>
    </row>
    <row r="351" spans="1:17" x14ac:dyDescent="0.2">
      <c r="A351" s="1">
        <v>10450</v>
      </c>
      <c r="B351" s="1" t="s">
        <v>19</v>
      </c>
      <c r="C351" s="1" t="s">
        <v>20</v>
      </c>
      <c r="D351" s="1" t="s">
        <v>48</v>
      </c>
      <c r="E351" s="3">
        <v>90</v>
      </c>
      <c r="F351" s="3">
        <v>150</v>
      </c>
      <c r="G351" s="13">
        <v>797</v>
      </c>
      <c r="H351" s="3">
        <v>119550</v>
      </c>
      <c r="I351" s="3">
        <v>47820</v>
      </c>
      <c r="J351" s="1" t="s">
        <v>40</v>
      </c>
      <c r="K351" s="1" t="s">
        <v>23</v>
      </c>
      <c r="L351" s="1" t="s">
        <v>24</v>
      </c>
      <c r="M351" s="1">
        <v>2017</v>
      </c>
      <c r="N351" s="1" t="str">
        <f t="shared" si="5"/>
        <v>Francophone</v>
      </c>
      <c r="O351" s="3" t="str">
        <f>_xlfn.XLOOKUP(D:D,MappingTable[Brand],MappingTable[Brand Type], "not found")</f>
        <v>Malt</v>
      </c>
      <c r="P351" t="str">
        <f>_xlfn.XLOOKUP(L:L,MappingTable2[Month],MappingTable2[Quarters],"NIL")</f>
        <v>Q1</v>
      </c>
      <c r="Q351" s="1"/>
    </row>
    <row r="352" spans="1:17" x14ac:dyDescent="0.2">
      <c r="A352" s="1">
        <v>10451</v>
      </c>
      <c r="B352" s="1" t="s">
        <v>63</v>
      </c>
      <c r="C352" s="1" t="s">
        <v>64</v>
      </c>
      <c r="D352" s="1" t="s">
        <v>15</v>
      </c>
      <c r="E352" s="3">
        <v>150</v>
      </c>
      <c r="F352" s="3">
        <v>200</v>
      </c>
      <c r="G352" s="13">
        <v>913</v>
      </c>
      <c r="H352" s="3">
        <v>182600</v>
      </c>
      <c r="I352" s="3">
        <v>45650</v>
      </c>
      <c r="J352" s="1" t="s">
        <v>16</v>
      </c>
      <c r="K352" s="1" t="s">
        <v>29</v>
      </c>
      <c r="L352" s="1" t="s">
        <v>30</v>
      </c>
      <c r="M352" s="1">
        <v>2017</v>
      </c>
      <c r="N352" s="1" t="str">
        <f t="shared" si="5"/>
        <v>Anglophone</v>
      </c>
      <c r="O352" s="3" t="str">
        <f>_xlfn.XLOOKUP(D:D,MappingTable[Brand],MappingTable[Brand Type], "not found")</f>
        <v>Beer</v>
      </c>
      <c r="P352" t="str">
        <f>_xlfn.XLOOKUP(L:L,MappingTable2[Month],MappingTable2[Quarters],"NIL")</f>
        <v>Q1</v>
      </c>
      <c r="Q352" s="1"/>
    </row>
    <row r="353" spans="1:17" x14ac:dyDescent="0.2">
      <c r="A353" s="1">
        <v>10452</v>
      </c>
      <c r="B353" s="1" t="s">
        <v>31</v>
      </c>
      <c r="C353" s="1" t="s">
        <v>32</v>
      </c>
      <c r="D353" s="1" t="s">
        <v>21</v>
      </c>
      <c r="E353" s="3">
        <v>250</v>
      </c>
      <c r="F353" s="3">
        <v>500</v>
      </c>
      <c r="G353" s="13">
        <v>710</v>
      </c>
      <c r="H353" s="3">
        <v>355000</v>
      </c>
      <c r="I353" s="3">
        <v>177500</v>
      </c>
      <c r="J353" s="1" t="s">
        <v>22</v>
      </c>
      <c r="K353" s="1" t="s">
        <v>35</v>
      </c>
      <c r="L353" s="1" t="s">
        <v>36</v>
      </c>
      <c r="M353" s="1">
        <v>2017</v>
      </c>
      <c r="N353" s="1" t="str">
        <f t="shared" si="5"/>
        <v>Anglophone</v>
      </c>
      <c r="O353" s="3" t="str">
        <f>_xlfn.XLOOKUP(D:D,MappingTable[Brand],MappingTable[Brand Type], "not found")</f>
        <v>Beer</v>
      </c>
      <c r="P353" t="str">
        <f>_xlfn.XLOOKUP(L:L,MappingTable2[Month],MappingTable2[Quarters],"NIL")</f>
        <v>Q2</v>
      </c>
      <c r="Q353" s="1"/>
    </row>
    <row r="354" spans="1:17" x14ac:dyDescent="0.2">
      <c r="A354" s="1">
        <v>10453</v>
      </c>
      <c r="B354" s="1" t="s">
        <v>51</v>
      </c>
      <c r="C354" s="1" t="s">
        <v>52</v>
      </c>
      <c r="D354" s="1" t="s">
        <v>27</v>
      </c>
      <c r="E354" s="3">
        <v>180</v>
      </c>
      <c r="F354" s="3">
        <v>450</v>
      </c>
      <c r="G354" s="13">
        <v>832</v>
      </c>
      <c r="H354" s="3">
        <v>374400</v>
      </c>
      <c r="I354" s="3">
        <v>224640</v>
      </c>
      <c r="J354" s="1" t="s">
        <v>28</v>
      </c>
      <c r="K354" s="1" t="s">
        <v>41</v>
      </c>
      <c r="L354" s="1" t="s">
        <v>42</v>
      </c>
      <c r="M354" s="1">
        <v>2019</v>
      </c>
      <c r="N354" s="1" t="str">
        <f t="shared" si="5"/>
        <v>Francophone</v>
      </c>
      <c r="O354" s="3" t="str">
        <f>_xlfn.XLOOKUP(D:D,MappingTable[Brand],MappingTable[Brand Type], "not found")</f>
        <v>Beer</v>
      </c>
      <c r="P354" t="str">
        <f>_xlfn.XLOOKUP(L:L,MappingTable2[Month],MappingTable2[Quarters],"NIL")</f>
        <v>Q2</v>
      </c>
      <c r="Q354" s="1"/>
    </row>
    <row r="355" spans="1:17" x14ac:dyDescent="0.2">
      <c r="A355" s="1">
        <v>10454</v>
      </c>
      <c r="B355" s="1" t="s">
        <v>63</v>
      </c>
      <c r="C355" s="1" t="s">
        <v>64</v>
      </c>
      <c r="D355" s="1" t="s">
        <v>33</v>
      </c>
      <c r="E355" s="3">
        <v>170</v>
      </c>
      <c r="F355" s="3">
        <v>250</v>
      </c>
      <c r="G355" s="13">
        <v>952</v>
      </c>
      <c r="H355" s="3">
        <v>238000</v>
      </c>
      <c r="I355" s="3">
        <v>76160</v>
      </c>
      <c r="J355" s="1" t="s">
        <v>34</v>
      </c>
      <c r="K355" s="1" t="s">
        <v>44</v>
      </c>
      <c r="L355" s="1" t="s">
        <v>45</v>
      </c>
      <c r="M355" s="1">
        <v>2019</v>
      </c>
      <c r="N355" s="1" t="str">
        <f t="shared" si="5"/>
        <v>Francophone</v>
      </c>
      <c r="O355" s="3" t="str">
        <f>_xlfn.XLOOKUP(D:D,MappingTable[Brand],MappingTable[Brand Type], "not found")</f>
        <v>Beer</v>
      </c>
      <c r="P355" t="str">
        <f>_xlfn.XLOOKUP(L:L,MappingTable2[Month],MappingTable2[Quarters],"NIL")</f>
        <v>Q2</v>
      </c>
      <c r="Q355" s="1"/>
    </row>
    <row r="356" spans="1:17" x14ac:dyDescent="0.2">
      <c r="A356" s="1">
        <v>10455</v>
      </c>
      <c r="B356" s="1" t="s">
        <v>25</v>
      </c>
      <c r="C356" s="1" t="s">
        <v>26</v>
      </c>
      <c r="D356" s="1" t="s">
        <v>39</v>
      </c>
      <c r="E356" s="3">
        <v>150</v>
      </c>
      <c r="F356" s="3">
        <v>200</v>
      </c>
      <c r="G356" s="13">
        <v>967</v>
      </c>
      <c r="H356" s="3">
        <v>193400</v>
      </c>
      <c r="I356" s="3">
        <v>48350</v>
      </c>
      <c r="J356" s="1" t="s">
        <v>40</v>
      </c>
      <c r="K356" s="1" t="s">
        <v>17</v>
      </c>
      <c r="L356" s="1" t="s">
        <v>49</v>
      </c>
      <c r="M356" s="1">
        <v>2017</v>
      </c>
      <c r="N356" s="1" t="str">
        <f t="shared" si="5"/>
        <v>Francophone</v>
      </c>
      <c r="O356" s="3" t="str">
        <f>_xlfn.XLOOKUP(D:D,MappingTable[Brand],MappingTable[Brand Type], "not found")</f>
        <v>Beer</v>
      </c>
      <c r="P356" t="str">
        <f>_xlfn.XLOOKUP(L:L,MappingTable2[Month],MappingTable2[Quarters],"NIL")</f>
        <v>Q3</v>
      </c>
      <c r="Q356" s="1"/>
    </row>
    <row r="357" spans="1:17" x14ac:dyDescent="0.2">
      <c r="A357" s="1">
        <v>10456</v>
      </c>
      <c r="B357" s="1" t="s">
        <v>19</v>
      </c>
      <c r="C357" s="1" t="s">
        <v>20</v>
      </c>
      <c r="D357" s="1" t="s">
        <v>43</v>
      </c>
      <c r="E357" s="3">
        <v>80</v>
      </c>
      <c r="F357" s="3">
        <v>150</v>
      </c>
      <c r="G357" s="13">
        <v>879</v>
      </c>
      <c r="H357" s="3">
        <v>131850</v>
      </c>
      <c r="I357" s="3">
        <v>61530</v>
      </c>
      <c r="J357" s="1" t="s">
        <v>16</v>
      </c>
      <c r="K357" s="1" t="s">
        <v>23</v>
      </c>
      <c r="L357" s="1" t="s">
        <v>50</v>
      </c>
      <c r="M357" s="1">
        <v>2018</v>
      </c>
      <c r="N357" s="1" t="str">
        <f t="shared" si="5"/>
        <v>Anglophone</v>
      </c>
      <c r="O357" s="3" t="str">
        <f>_xlfn.XLOOKUP(D:D,MappingTable[Brand],MappingTable[Brand Type], "not found")</f>
        <v>Malt</v>
      </c>
      <c r="P357" t="str">
        <f>_xlfn.XLOOKUP(L:L,MappingTable2[Month],MappingTable2[Quarters],"NIL")</f>
        <v>Q3</v>
      </c>
      <c r="Q357" s="1"/>
    </row>
    <row r="358" spans="1:17" x14ac:dyDescent="0.2">
      <c r="A358" s="1">
        <v>10457</v>
      </c>
      <c r="B358" s="1" t="s">
        <v>25</v>
      </c>
      <c r="C358" s="1" t="s">
        <v>26</v>
      </c>
      <c r="D358" s="1" t="s">
        <v>48</v>
      </c>
      <c r="E358" s="3">
        <v>90</v>
      </c>
      <c r="F358" s="3">
        <v>150</v>
      </c>
      <c r="G358" s="13">
        <v>705</v>
      </c>
      <c r="H358" s="3">
        <v>105750</v>
      </c>
      <c r="I358" s="3">
        <v>42300</v>
      </c>
      <c r="J358" s="1" t="s">
        <v>22</v>
      </c>
      <c r="K358" s="1" t="s">
        <v>29</v>
      </c>
      <c r="L358" s="1" t="s">
        <v>53</v>
      </c>
      <c r="M358" s="1">
        <v>2018</v>
      </c>
      <c r="N358" s="1" t="str">
        <f t="shared" si="5"/>
        <v>Anglophone</v>
      </c>
      <c r="O358" s="3" t="str">
        <f>_xlfn.XLOOKUP(D:D,MappingTable[Brand],MappingTable[Brand Type], "not found")</f>
        <v>Malt</v>
      </c>
      <c r="P358" t="str">
        <f>_xlfn.XLOOKUP(L:L,MappingTable2[Month],MappingTable2[Quarters],"NIL")</f>
        <v>Q3</v>
      </c>
      <c r="Q358" s="1"/>
    </row>
    <row r="359" spans="1:17" x14ac:dyDescent="0.2">
      <c r="A359" s="1">
        <v>10458</v>
      </c>
      <c r="B359" s="1" t="s">
        <v>46</v>
      </c>
      <c r="C359" s="1" t="s">
        <v>47</v>
      </c>
      <c r="D359" s="1" t="s">
        <v>15</v>
      </c>
      <c r="E359" s="3">
        <v>150</v>
      </c>
      <c r="F359" s="3">
        <v>200</v>
      </c>
      <c r="G359" s="13">
        <v>878</v>
      </c>
      <c r="H359" s="3">
        <v>175600</v>
      </c>
      <c r="I359" s="3">
        <v>43900</v>
      </c>
      <c r="J359" s="1" t="s">
        <v>28</v>
      </c>
      <c r="K359" s="1" t="s">
        <v>35</v>
      </c>
      <c r="L359" s="1" t="s">
        <v>56</v>
      </c>
      <c r="M359" s="1">
        <v>2018</v>
      </c>
      <c r="N359" s="1" t="str">
        <f t="shared" si="5"/>
        <v>Francophone</v>
      </c>
      <c r="O359" s="3" t="str">
        <f>_xlfn.XLOOKUP(D:D,MappingTable[Brand],MappingTable[Brand Type], "not found")</f>
        <v>Beer</v>
      </c>
      <c r="P359" t="str">
        <f>_xlfn.XLOOKUP(L:L,MappingTable2[Month],MappingTable2[Quarters],"NIL")</f>
        <v>Q4</v>
      </c>
      <c r="Q359" s="1"/>
    </row>
    <row r="360" spans="1:17" x14ac:dyDescent="0.2">
      <c r="A360" s="1">
        <v>10459</v>
      </c>
      <c r="B360" s="1" t="s">
        <v>37</v>
      </c>
      <c r="C360" s="1" t="s">
        <v>38</v>
      </c>
      <c r="D360" s="1" t="s">
        <v>21</v>
      </c>
      <c r="E360" s="3">
        <v>250</v>
      </c>
      <c r="F360" s="3">
        <v>500</v>
      </c>
      <c r="G360" s="13">
        <v>903</v>
      </c>
      <c r="H360" s="3">
        <v>451500</v>
      </c>
      <c r="I360" s="3">
        <v>225750</v>
      </c>
      <c r="J360" s="1" t="s">
        <v>34</v>
      </c>
      <c r="K360" s="1" t="s">
        <v>41</v>
      </c>
      <c r="L360" s="1" t="s">
        <v>59</v>
      </c>
      <c r="M360" s="1">
        <v>2018</v>
      </c>
      <c r="N360" s="1" t="str">
        <f t="shared" si="5"/>
        <v>Francophone</v>
      </c>
      <c r="O360" s="3" t="str">
        <f>_xlfn.XLOOKUP(D:D,MappingTable[Brand],MappingTable[Brand Type], "not found")</f>
        <v>Beer</v>
      </c>
      <c r="P360" t="str">
        <f>_xlfn.XLOOKUP(L:L,MappingTable2[Month],MappingTable2[Quarters],"NIL")</f>
        <v>Q4</v>
      </c>
      <c r="Q360" s="1"/>
    </row>
    <row r="361" spans="1:17" x14ac:dyDescent="0.2">
      <c r="A361" s="1">
        <v>10460</v>
      </c>
      <c r="B361" s="1" t="s">
        <v>13</v>
      </c>
      <c r="C361" s="1" t="s">
        <v>14</v>
      </c>
      <c r="D361" s="1" t="s">
        <v>27</v>
      </c>
      <c r="E361" s="3">
        <v>180</v>
      </c>
      <c r="F361" s="3">
        <v>450</v>
      </c>
      <c r="G361" s="13">
        <v>791</v>
      </c>
      <c r="H361" s="3">
        <v>355950</v>
      </c>
      <c r="I361" s="3">
        <v>213570</v>
      </c>
      <c r="J361" s="1" t="s">
        <v>40</v>
      </c>
      <c r="K361" s="1" t="s">
        <v>44</v>
      </c>
      <c r="L361" s="1" t="s">
        <v>60</v>
      </c>
      <c r="M361" s="1">
        <v>2018</v>
      </c>
      <c r="N361" s="1" t="str">
        <f t="shared" si="5"/>
        <v>Francophone</v>
      </c>
      <c r="O361" s="3" t="str">
        <f>_xlfn.XLOOKUP(D:D,MappingTable[Brand],MappingTable[Brand Type], "not found")</f>
        <v>Beer</v>
      </c>
      <c r="P361" t="str">
        <f>_xlfn.XLOOKUP(L:L,MappingTable2[Month],MappingTable2[Quarters],"NIL")</f>
        <v>Q4</v>
      </c>
      <c r="Q361" s="1"/>
    </row>
    <row r="362" spans="1:17" x14ac:dyDescent="0.2">
      <c r="A362" s="1">
        <v>10461</v>
      </c>
      <c r="B362" s="1" t="s">
        <v>13</v>
      </c>
      <c r="C362" s="1" t="s">
        <v>14</v>
      </c>
      <c r="D362" s="1" t="s">
        <v>33</v>
      </c>
      <c r="E362" s="3">
        <v>170</v>
      </c>
      <c r="F362" s="3">
        <v>250</v>
      </c>
      <c r="G362" s="13">
        <v>895</v>
      </c>
      <c r="H362" s="3">
        <v>223750</v>
      </c>
      <c r="I362" s="3">
        <v>71600</v>
      </c>
      <c r="J362" s="1" t="s">
        <v>16</v>
      </c>
      <c r="K362" s="1" t="s">
        <v>17</v>
      </c>
      <c r="L362" s="1" t="s">
        <v>18</v>
      </c>
      <c r="M362" s="1">
        <v>2018</v>
      </c>
      <c r="N362" s="1" t="str">
        <f t="shared" si="5"/>
        <v>Anglophone</v>
      </c>
      <c r="O362" s="3" t="str">
        <f>_xlfn.XLOOKUP(D:D,MappingTable[Brand],MappingTable[Brand Type], "not found")</f>
        <v>Beer</v>
      </c>
      <c r="P362" t="str">
        <f>_xlfn.XLOOKUP(L:L,MappingTable2[Month],MappingTable2[Quarters],"NIL")</f>
        <v>Q1</v>
      </c>
      <c r="Q362" s="1"/>
    </row>
    <row r="363" spans="1:17" x14ac:dyDescent="0.2">
      <c r="A363" s="1">
        <v>10462</v>
      </c>
      <c r="B363" s="1" t="s">
        <v>37</v>
      </c>
      <c r="C363" s="1" t="s">
        <v>38</v>
      </c>
      <c r="D363" s="1" t="s">
        <v>39</v>
      </c>
      <c r="E363" s="3">
        <v>150</v>
      </c>
      <c r="F363" s="3">
        <v>200</v>
      </c>
      <c r="G363" s="13">
        <v>759</v>
      </c>
      <c r="H363" s="3">
        <v>151800</v>
      </c>
      <c r="I363" s="3">
        <v>37950</v>
      </c>
      <c r="J363" s="1" t="s">
        <v>22</v>
      </c>
      <c r="K363" s="1" t="s">
        <v>23</v>
      </c>
      <c r="L363" s="1" t="s">
        <v>24</v>
      </c>
      <c r="M363" s="1">
        <v>2018</v>
      </c>
      <c r="N363" s="1" t="str">
        <f t="shared" si="5"/>
        <v>Anglophone</v>
      </c>
      <c r="O363" s="3" t="str">
        <f>_xlfn.XLOOKUP(D:D,MappingTable[Brand],MappingTable[Brand Type], "not found")</f>
        <v>Beer</v>
      </c>
      <c r="P363" t="str">
        <f>_xlfn.XLOOKUP(L:L,MappingTable2[Month],MappingTable2[Quarters],"NIL")</f>
        <v>Q1</v>
      </c>
      <c r="Q363" s="1"/>
    </row>
    <row r="364" spans="1:17" x14ac:dyDescent="0.2">
      <c r="A364" s="1">
        <v>10463</v>
      </c>
      <c r="B364" s="1" t="s">
        <v>13</v>
      </c>
      <c r="C364" s="1" t="s">
        <v>14</v>
      </c>
      <c r="D364" s="1" t="s">
        <v>43</v>
      </c>
      <c r="E364" s="3">
        <v>80</v>
      </c>
      <c r="F364" s="3">
        <v>150</v>
      </c>
      <c r="G364" s="13">
        <v>790</v>
      </c>
      <c r="H364" s="3">
        <v>118500</v>
      </c>
      <c r="I364" s="3">
        <v>55300</v>
      </c>
      <c r="J364" s="1" t="s">
        <v>28</v>
      </c>
      <c r="K364" s="1" t="s">
        <v>29</v>
      </c>
      <c r="L364" s="1" t="s">
        <v>30</v>
      </c>
      <c r="M364" s="1">
        <v>2017</v>
      </c>
      <c r="N364" s="1" t="str">
        <f t="shared" si="5"/>
        <v>Francophone</v>
      </c>
      <c r="O364" s="3" t="str">
        <f>_xlfn.XLOOKUP(D:D,MappingTable[Brand],MappingTable[Brand Type], "not found")</f>
        <v>Malt</v>
      </c>
      <c r="P364" t="str">
        <f>_xlfn.XLOOKUP(L:L,MappingTable2[Month],MappingTable2[Quarters],"NIL")</f>
        <v>Q1</v>
      </c>
      <c r="Q364" s="1"/>
    </row>
    <row r="365" spans="1:17" x14ac:dyDescent="0.2">
      <c r="A365" s="1">
        <v>10464</v>
      </c>
      <c r="B365" s="1" t="s">
        <v>19</v>
      </c>
      <c r="C365" s="1" t="s">
        <v>20</v>
      </c>
      <c r="D365" s="1" t="s">
        <v>48</v>
      </c>
      <c r="E365" s="3">
        <v>90</v>
      </c>
      <c r="F365" s="3">
        <v>150</v>
      </c>
      <c r="G365" s="13">
        <v>722</v>
      </c>
      <c r="H365" s="3">
        <v>108300</v>
      </c>
      <c r="I365" s="3">
        <v>43320</v>
      </c>
      <c r="J365" s="1" t="s">
        <v>34</v>
      </c>
      <c r="K365" s="1" t="s">
        <v>35</v>
      </c>
      <c r="L365" s="1" t="s">
        <v>36</v>
      </c>
      <c r="M365" s="1">
        <v>2017</v>
      </c>
      <c r="N365" s="1" t="str">
        <f t="shared" si="5"/>
        <v>Francophone</v>
      </c>
      <c r="O365" s="3" t="str">
        <f>_xlfn.XLOOKUP(D:D,MappingTable[Brand],MappingTable[Brand Type], "not found")</f>
        <v>Malt</v>
      </c>
      <c r="P365" t="str">
        <f>_xlfn.XLOOKUP(L:L,MappingTable2[Month],MappingTable2[Quarters],"NIL")</f>
        <v>Q2</v>
      </c>
      <c r="Q365" s="1"/>
    </row>
    <row r="366" spans="1:17" x14ac:dyDescent="0.2">
      <c r="A366" s="1">
        <v>10465</v>
      </c>
      <c r="B366" s="1" t="s">
        <v>25</v>
      </c>
      <c r="C366" s="1" t="s">
        <v>26</v>
      </c>
      <c r="D366" s="1" t="s">
        <v>15</v>
      </c>
      <c r="E366" s="3">
        <v>150</v>
      </c>
      <c r="F366" s="3">
        <v>200</v>
      </c>
      <c r="G366" s="13">
        <v>888</v>
      </c>
      <c r="H366" s="3">
        <v>177600</v>
      </c>
      <c r="I366" s="3">
        <v>44400</v>
      </c>
      <c r="J366" s="1" t="s">
        <v>40</v>
      </c>
      <c r="K366" s="1" t="s">
        <v>41</v>
      </c>
      <c r="L366" s="1" t="s">
        <v>42</v>
      </c>
      <c r="M366" s="1">
        <v>2019</v>
      </c>
      <c r="N366" s="1" t="str">
        <f t="shared" si="5"/>
        <v>Francophone</v>
      </c>
      <c r="O366" s="3" t="str">
        <f>_xlfn.XLOOKUP(D:D,MappingTable[Brand],MappingTable[Brand Type], "not found")</f>
        <v>Beer</v>
      </c>
      <c r="P366" t="str">
        <f>_xlfn.XLOOKUP(L:L,MappingTable2[Month],MappingTable2[Quarters],"NIL")</f>
        <v>Q2</v>
      </c>
      <c r="Q366" s="1"/>
    </row>
    <row r="367" spans="1:17" x14ac:dyDescent="0.2">
      <c r="A367" s="1">
        <v>10466</v>
      </c>
      <c r="B367" s="1" t="s">
        <v>31</v>
      </c>
      <c r="C367" s="1" t="s">
        <v>32</v>
      </c>
      <c r="D367" s="1" t="s">
        <v>21</v>
      </c>
      <c r="E367" s="3">
        <v>250</v>
      </c>
      <c r="F367" s="3">
        <v>500</v>
      </c>
      <c r="G367" s="13">
        <v>849</v>
      </c>
      <c r="H367" s="3">
        <v>424500</v>
      </c>
      <c r="I367" s="3">
        <v>212250</v>
      </c>
      <c r="J367" s="1" t="s">
        <v>16</v>
      </c>
      <c r="K367" s="1" t="s">
        <v>44</v>
      </c>
      <c r="L367" s="1" t="s">
        <v>45</v>
      </c>
      <c r="M367" s="1">
        <v>2018</v>
      </c>
      <c r="N367" s="1" t="str">
        <f t="shared" si="5"/>
        <v>Anglophone</v>
      </c>
      <c r="O367" s="3" t="str">
        <f>_xlfn.XLOOKUP(D:D,MappingTable[Brand],MappingTable[Brand Type], "not found")</f>
        <v>Beer</v>
      </c>
      <c r="P367" t="str">
        <f>_xlfn.XLOOKUP(L:L,MappingTable2[Month],MappingTable2[Quarters],"NIL")</f>
        <v>Q2</v>
      </c>
      <c r="Q367" s="1"/>
    </row>
    <row r="368" spans="1:17" x14ac:dyDescent="0.2">
      <c r="A368" s="1">
        <v>10467</v>
      </c>
      <c r="B368" s="1" t="s">
        <v>37</v>
      </c>
      <c r="C368" s="1" t="s">
        <v>38</v>
      </c>
      <c r="D368" s="1" t="s">
        <v>27</v>
      </c>
      <c r="E368" s="3">
        <v>180</v>
      </c>
      <c r="F368" s="3">
        <v>450</v>
      </c>
      <c r="G368" s="13">
        <v>736</v>
      </c>
      <c r="H368" s="3">
        <v>331200</v>
      </c>
      <c r="I368" s="3">
        <v>198720</v>
      </c>
      <c r="J368" s="1" t="s">
        <v>22</v>
      </c>
      <c r="K368" s="1" t="s">
        <v>17</v>
      </c>
      <c r="L368" s="1" t="s">
        <v>49</v>
      </c>
      <c r="M368" s="1">
        <v>2018</v>
      </c>
      <c r="N368" s="1" t="str">
        <f t="shared" si="5"/>
        <v>Anglophone</v>
      </c>
      <c r="O368" s="3" t="str">
        <f>_xlfn.XLOOKUP(D:D,MappingTable[Brand],MappingTable[Brand Type], "not found")</f>
        <v>Beer</v>
      </c>
      <c r="P368" t="str">
        <f>_xlfn.XLOOKUP(L:L,MappingTable2[Month],MappingTable2[Quarters],"NIL")</f>
        <v>Q3</v>
      </c>
      <c r="Q368" s="1"/>
    </row>
    <row r="369" spans="1:17" x14ac:dyDescent="0.2">
      <c r="A369" s="1">
        <v>10468</v>
      </c>
      <c r="B369" s="1" t="s">
        <v>13</v>
      </c>
      <c r="C369" s="1" t="s">
        <v>14</v>
      </c>
      <c r="D369" s="1" t="s">
        <v>33</v>
      </c>
      <c r="E369" s="3">
        <v>170</v>
      </c>
      <c r="F369" s="3">
        <v>250</v>
      </c>
      <c r="G369" s="13">
        <v>843</v>
      </c>
      <c r="H369" s="3">
        <v>210750</v>
      </c>
      <c r="I369" s="3">
        <v>67440</v>
      </c>
      <c r="J369" s="1" t="s">
        <v>28</v>
      </c>
      <c r="K369" s="1" t="s">
        <v>23</v>
      </c>
      <c r="L369" s="1" t="s">
        <v>50</v>
      </c>
      <c r="M369" s="1">
        <v>2019</v>
      </c>
      <c r="N369" s="1" t="str">
        <f t="shared" si="5"/>
        <v>Francophone</v>
      </c>
      <c r="O369" s="3" t="str">
        <f>_xlfn.XLOOKUP(D:D,MappingTable[Brand],MappingTable[Brand Type], "not found")</f>
        <v>Beer</v>
      </c>
      <c r="P369" t="str">
        <f>_xlfn.XLOOKUP(L:L,MappingTable2[Month],MappingTable2[Quarters],"NIL")</f>
        <v>Q3</v>
      </c>
      <c r="Q369" s="1"/>
    </row>
    <row r="370" spans="1:17" x14ac:dyDescent="0.2">
      <c r="A370" s="1">
        <v>10469</v>
      </c>
      <c r="B370" s="1" t="s">
        <v>46</v>
      </c>
      <c r="C370" s="1" t="s">
        <v>47</v>
      </c>
      <c r="D370" s="1" t="s">
        <v>39</v>
      </c>
      <c r="E370" s="3">
        <v>150</v>
      </c>
      <c r="F370" s="3">
        <v>200</v>
      </c>
      <c r="G370" s="13">
        <v>999</v>
      </c>
      <c r="H370" s="3">
        <v>199800</v>
      </c>
      <c r="I370" s="3">
        <v>49950</v>
      </c>
      <c r="J370" s="1" t="s">
        <v>34</v>
      </c>
      <c r="K370" s="1" t="s">
        <v>29</v>
      </c>
      <c r="L370" s="1" t="s">
        <v>53</v>
      </c>
      <c r="M370" s="1">
        <v>2018</v>
      </c>
      <c r="N370" s="1" t="str">
        <f t="shared" si="5"/>
        <v>Francophone</v>
      </c>
      <c r="O370" s="3" t="str">
        <f>_xlfn.XLOOKUP(D:D,MappingTable[Brand],MappingTable[Brand Type], "not found")</f>
        <v>Beer</v>
      </c>
      <c r="P370" t="str">
        <f>_xlfn.XLOOKUP(L:L,MappingTable2[Month],MappingTable2[Quarters],"NIL")</f>
        <v>Q3</v>
      </c>
      <c r="Q370" s="1"/>
    </row>
    <row r="371" spans="1:17" x14ac:dyDescent="0.2">
      <c r="A371" s="1">
        <v>10470</v>
      </c>
      <c r="B371" s="1" t="s">
        <v>31</v>
      </c>
      <c r="C371" s="1" t="s">
        <v>32</v>
      </c>
      <c r="D371" s="1" t="s">
        <v>43</v>
      </c>
      <c r="E371" s="3">
        <v>80</v>
      </c>
      <c r="F371" s="3">
        <v>150</v>
      </c>
      <c r="G371" s="13">
        <v>996</v>
      </c>
      <c r="H371" s="3">
        <v>149400</v>
      </c>
      <c r="I371" s="3">
        <v>69720</v>
      </c>
      <c r="J371" s="1" t="s">
        <v>40</v>
      </c>
      <c r="K371" s="1" t="s">
        <v>35</v>
      </c>
      <c r="L371" s="1" t="s">
        <v>56</v>
      </c>
      <c r="M371" s="1">
        <v>2018</v>
      </c>
      <c r="N371" s="1" t="str">
        <f t="shared" si="5"/>
        <v>Francophone</v>
      </c>
      <c r="O371" s="3" t="str">
        <f>_xlfn.XLOOKUP(D:D,MappingTable[Brand],MappingTable[Brand Type], "not found")</f>
        <v>Malt</v>
      </c>
      <c r="P371" t="str">
        <f>_xlfn.XLOOKUP(L:L,MappingTable2[Month],MappingTable2[Quarters],"NIL")</f>
        <v>Q4</v>
      </c>
      <c r="Q371" s="1"/>
    </row>
    <row r="372" spans="1:17" x14ac:dyDescent="0.2">
      <c r="A372" s="1">
        <v>10471</v>
      </c>
      <c r="B372" s="1" t="s">
        <v>51</v>
      </c>
      <c r="C372" s="1" t="s">
        <v>52</v>
      </c>
      <c r="D372" s="1" t="s">
        <v>48</v>
      </c>
      <c r="E372" s="3">
        <v>90</v>
      </c>
      <c r="F372" s="3">
        <v>150</v>
      </c>
      <c r="G372" s="13">
        <v>718</v>
      </c>
      <c r="H372" s="3">
        <v>107700</v>
      </c>
      <c r="I372" s="3">
        <v>43080</v>
      </c>
      <c r="J372" s="1" t="s">
        <v>16</v>
      </c>
      <c r="K372" s="1" t="s">
        <v>41</v>
      </c>
      <c r="L372" s="1" t="s">
        <v>59</v>
      </c>
      <c r="M372" s="1">
        <v>2017</v>
      </c>
      <c r="N372" s="1" t="str">
        <f t="shared" si="5"/>
        <v>Anglophone</v>
      </c>
      <c r="O372" s="3" t="str">
        <f>_xlfn.XLOOKUP(D:D,MappingTable[Brand],MappingTable[Brand Type], "not found")</f>
        <v>Malt</v>
      </c>
      <c r="P372" t="str">
        <f>_xlfn.XLOOKUP(L:L,MappingTable2[Month],MappingTable2[Quarters],"NIL")</f>
        <v>Q4</v>
      </c>
      <c r="Q372" s="1"/>
    </row>
    <row r="373" spans="1:17" x14ac:dyDescent="0.2">
      <c r="A373" s="1">
        <v>10472</v>
      </c>
      <c r="B373" s="1" t="s">
        <v>54</v>
      </c>
      <c r="C373" s="1" t="s">
        <v>55</v>
      </c>
      <c r="D373" s="1" t="s">
        <v>15</v>
      </c>
      <c r="E373" s="3">
        <v>150</v>
      </c>
      <c r="F373" s="3">
        <v>200</v>
      </c>
      <c r="G373" s="13">
        <v>700</v>
      </c>
      <c r="H373" s="3">
        <v>140000</v>
      </c>
      <c r="I373" s="3">
        <v>35000</v>
      </c>
      <c r="J373" s="1" t="s">
        <v>22</v>
      </c>
      <c r="K373" s="1" t="s">
        <v>44</v>
      </c>
      <c r="L373" s="1" t="s">
        <v>60</v>
      </c>
      <c r="M373" s="1">
        <v>2017</v>
      </c>
      <c r="N373" s="1" t="str">
        <f t="shared" si="5"/>
        <v>Anglophone</v>
      </c>
      <c r="O373" s="3" t="str">
        <f>_xlfn.XLOOKUP(D:D,MappingTable[Brand],MappingTable[Brand Type], "not found")</f>
        <v>Beer</v>
      </c>
      <c r="P373" t="str">
        <f>_xlfn.XLOOKUP(L:L,MappingTable2[Month],MappingTable2[Quarters],"NIL")</f>
        <v>Q4</v>
      </c>
      <c r="Q373" s="1"/>
    </row>
    <row r="374" spans="1:17" x14ac:dyDescent="0.2">
      <c r="A374" s="1">
        <v>10473</v>
      </c>
      <c r="B374" s="1" t="s">
        <v>57</v>
      </c>
      <c r="C374" s="1" t="s">
        <v>58</v>
      </c>
      <c r="D374" s="1" t="s">
        <v>21</v>
      </c>
      <c r="E374" s="3">
        <v>250</v>
      </c>
      <c r="F374" s="3">
        <v>500</v>
      </c>
      <c r="G374" s="13">
        <v>827</v>
      </c>
      <c r="H374" s="3">
        <v>413500</v>
      </c>
      <c r="I374" s="3">
        <v>206750</v>
      </c>
      <c r="J374" s="1" t="s">
        <v>28</v>
      </c>
      <c r="K374" s="1" t="s">
        <v>17</v>
      </c>
      <c r="L374" s="1" t="s">
        <v>18</v>
      </c>
      <c r="M374" s="1">
        <v>2018</v>
      </c>
      <c r="N374" s="1" t="str">
        <f t="shared" si="5"/>
        <v>Francophone</v>
      </c>
      <c r="O374" s="3" t="str">
        <f>_xlfn.XLOOKUP(D:D,MappingTable[Brand],MappingTable[Brand Type], "not found")</f>
        <v>Beer</v>
      </c>
      <c r="P374" t="str">
        <f>_xlfn.XLOOKUP(L:L,MappingTable2[Month],MappingTable2[Quarters],"NIL")</f>
        <v>Q1</v>
      </c>
      <c r="Q374" s="1"/>
    </row>
    <row r="375" spans="1:17" x14ac:dyDescent="0.2">
      <c r="A375" s="1">
        <v>10474</v>
      </c>
      <c r="B375" s="1" t="s">
        <v>31</v>
      </c>
      <c r="C375" s="1" t="s">
        <v>32</v>
      </c>
      <c r="D375" s="1" t="s">
        <v>27</v>
      </c>
      <c r="E375" s="3">
        <v>180</v>
      </c>
      <c r="F375" s="3">
        <v>450</v>
      </c>
      <c r="G375" s="13">
        <v>755</v>
      </c>
      <c r="H375" s="3">
        <v>339750</v>
      </c>
      <c r="I375" s="3">
        <v>203850</v>
      </c>
      <c r="J375" s="1" t="s">
        <v>34</v>
      </c>
      <c r="K375" s="1" t="s">
        <v>23</v>
      </c>
      <c r="L375" s="1" t="s">
        <v>24</v>
      </c>
      <c r="M375" s="1">
        <v>2018</v>
      </c>
      <c r="N375" s="1" t="str">
        <f t="shared" si="5"/>
        <v>Francophone</v>
      </c>
      <c r="O375" s="3" t="str">
        <f>_xlfn.XLOOKUP(D:D,MappingTable[Brand],MappingTable[Brand Type], "not found")</f>
        <v>Beer</v>
      </c>
      <c r="P375" t="str">
        <f>_xlfn.XLOOKUP(L:L,MappingTable2[Month],MappingTable2[Quarters],"NIL")</f>
        <v>Q1</v>
      </c>
      <c r="Q375" s="1"/>
    </row>
    <row r="376" spans="1:17" x14ac:dyDescent="0.2">
      <c r="A376" s="1">
        <v>10475</v>
      </c>
      <c r="B376" s="1" t="s">
        <v>61</v>
      </c>
      <c r="C376" s="1" t="s">
        <v>62</v>
      </c>
      <c r="D376" s="1" t="s">
        <v>33</v>
      </c>
      <c r="E376" s="3">
        <v>170</v>
      </c>
      <c r="F376" s="3">
        <v>250</v>
      </c>
      <c r="G376" s="13">
        <v>803</v>
      </c>
      <c r="H376" s="3">
        <v>200750</v>
      </c>
      <c r="I376" s="3">
        <v>64240</v>
      </c>
      <c r="J376" s="1" t="s">
        <v>40</v>
      </c>
      <c r="K376" s="1" t="s">
        <v>29</v>
      </c>
      <c r="L376" s="1" t="s">
        <v>30</v>
      </c>
      <c r="M376" s="1">
        <v>2019</v>
      </c>
      <c r="N376" s="1" t="str">
        <f t="shared" si="5"/>
        <v>Francophone</v>
      </c>
      <c r="O376" s="3" t="str">
        <f>_xlfn.XLOOKUP(D:D,MappingTable[Brand],MappingTable[Brand Type], "not found")</f>
        <v>Beer</v>
      </c>
      <c r="P376" t="str">
        <f>_xlfn.XLOOKUP(L:L,MappingTable2[Month],MappingTable2[Quarters],"NIL")</f>
        <v>Q1</v>
      </c>
      <c r="Q376" s="1"/>
    </row>
    <row r="377" spans="1:17" x14ac:dyDescent="0.2">
      <c r="A377" s="1">
        <v>10476</v>
      </c>
      <c r="B377" s="1" t="s">
        <v>31</v>
      </c>
      <c r="C377" s="1" t="s">
        <v>32</v>
      </c>
      <c r="D377" s="1" t="s">
        <v>39</v>
      </c>
      <c r="E377" s="3">
        <v>150</v>
      </c>
      <c r="F377" s="3">
        <v>200</v>
      </c>
      <c r="G377" s="13">
        <v>731</v>
      </c>
      <c r="H377" s="3">
        <v>146200</v>
      </c>
      <c r="I377" s="3">
        <v>36550</v>
      </c>
      <c r="J377" s="1" t="s">
        <v>16</v>
      </c>
      <c r="K377" s="1" t="s">
        <v>35</v>
      </c>
      <c r="L377" s="1" t="s">
        <v>36</v>
      </c>
      <c r="M377" s="1">
        <v>2019</v>
      </c>
      <c r="N377" s="1" t="str">
        <f t="shared" si="5"/>
        <v>Anglophone</v>
      </c>
      <c r="O377" s="3" t="str">
        <f>_xlfn.XLOOKUP(D:D,MappingTable[Brand],MappingTable[Brand Type], "not found")</f>
        <v>Beer</v>
      </c>
      <c r="P377" t="str">
        <f>_xlfn.XLOOKUP(L:L,MappingTable2[Month],MappingTable2[Quarters],"NIL")</f>
        <v>Q2</v>
      </c>
      <c r="Q377" s="1"/>
    </row>
    <row r="378" spans="1:17" x14ac:dyDescent="0.2">
      <c r="A378" s="1">
        <v>10477</v>
      </c>
      <c r="B378" s="1" t="s">
        <v>51</v>
      </c>
      <c r="C378" s="1" t="s">
        <v>52</v>
      </c>
      <c r="D378" s="1" t="s">
        <v>43</v>
      </c>
      <c r="E378" s="3">
        <v>80</v>
      </c>
      <c r="F378" s="3">
        <v>150</v>
      </c>
      <c r="G378" s="13">
        <v>910</v>
      </c>
      <c r="H378" s="3">
        <v>136500</v>
      </c>
      <c r="I378" s="3">
        <v>63700</v>
      </c>
      <c r="J378" s="1" t="s">
        <v>22</v>
      </c>
      <c r="K378" s="1" t="s">
        <v>41</v>
      </c>
      <c r="L378" s="1" t="s">
        <v>42</v>
      </c>
      <c r="M378" s="1">
        <v>2019</v>
      </c>
      <c r="N378" s="1" t="str">
        <f t="shared" si="5"/>
        <v>Anglophone</v>
      </c>
      <c r="O378" s="3" t="str">
        <f>_xlfn.XLOOKUP(D:D,MappingTable[Brand],MappingTable[Brand Type], "not found")</f>
        <v>Malt</v>
      </c>
      <c r="P378" t="str">
        <f>_xlfn.XLOOKUP(L:L,MappingTable2[Month],MappingTable2[Quarters],"NIL")</f>
        <v>Q2</v>
      </c>
      <c r="Q378" s="1"/>
    </row>
    <row r="379" spans="1:17" x14ac:dyDescent="0.2">
      <c r="A379" s="1">
        <v>10478</v>
      </c>
      <c r="B379" s="1" t="s">
        <v>31</v>
      </c>
      <c r="C379" s="1" t="s">
        <v>32</v>
      </c>
      <c r="D379" s="1" t="s">
        <v>48</v>
      </c>
      <c r="E379" s="3">
        <v>90</v>
      </c>
      <c r="F379" s="3">
        <v>150</v>
      </c>
      <c r="G379" s="13">
        <v>747</v>
      </c>
      <c r="H379" s="3">
        <v>112050</v>
      </c>
      <c r="I379" s="3">
        <v>44820</v>
      </c>
      <c r="J379" s="1" t="s">
        <v>28</v>
      </c>
      <c r="K379" s="1" t="s">
        <v>44</v>
      </c>
      <c r="L379" s="1" t="s">
        <v>45</v>
      </c>
      <c r="M379" s="1">
        <v>2017</v>
      </c>
      <c r="N379" s="1" t="str">
        <f t="shared" si="5"/>
        <v>Francophone</v>
      </c>
      <c r="O379" s="3" t="str">
        <f>_xlfn.XLOOKUP(D:D,MappingTable[Brand],MappingTable[Brand Type], "not found")</f>
        <v>Malt</v>
      </c>
      <c r="P379" t="str">
        <f>_xlfn.XLOOKUP(L:L,MappingTable2[Month],MappingTable2[Quarters],"NIL")</f>
        <v>Q2</v>
      </c>
      <c r="Q379" s="1"/>
    </row>
    <row r="380" spans="1:17" x14ac:dyDescent="0.2">
      <c r="A380" s="1">
        <v>10479</v>
      </c>
      <c r="B380" s="1" t="s">
        <v>57</v>
      </c>
      <c r="C380" s="1" t="s">
        <v>58</v>
      </c>
      <c r="D380" s="1" t="s">
        <v>15</v>
      </c>
      <c r="E380" s="3">
        <v>150</v>
      </c>
      <c r="F380" s="3">
        <v>200</v>
      </c>
      <c r="G380" s="13">
        <v>994</v>
      </c>
      <c r="H380" s="3">
        <v>198800</v>
      </c>
      <c r="I380" s="3">
        <v>49700</v>
      </c>
      <c r="J380" s="1" t="s">
        <v>34</v>
      </c>
      <c r="K380" s="1" t="s">
        <v>17</v>
      </c>
      <c r="L380" s="1" t="s">
        <v>49</v>
      </c>
      <c r="M380" s="1">
        <v>2017</v>
      </c>
      <c r="N380" s="1" t="str">
        <f t="shared" si="5"/>
        <v>Francophone</v>
      </c>
      <c r="O380" s="3" t="str">
        <f>_xlfn.XLOOKUP(D:D,MappingTable[Brand],MappingTable[Brand Type], "not found")</f>
        <v>Beer</v>
      </c>
      <c r="P380" t="str">
        <f>_xlfn.XLOOKUP(L:L,MappingTable2[Month],MappingTable2[Quarters],"NIL")</f>
        <v>Q3</v>
      </c>
      <c r="Q380" s="1"/>
    </row>
    <row r="381" spans="1:17" x14ac:dyDescent="0.2">
      <c r="A381" s="1">
        <v>10480</v>
      </c>
      <c r="B381" s="1" t="s">
        <v>63</v>
      </c>
      <c r="C381" s="1" t="s">
        <v>64</v>
      </c>
      <c r="D381" s="1" t="s">
        <v>21</v>
      </c>
      <c r="E381" s="3">
        <v>250</v>
      </c>
      <c r="F381" s="3">
        <v>500</v>
      </c>
      <c r="G381" s="13">
        <v>982</v>
      </c>
      <c r="H381" s="3">
        <v>491000</v>
      </c>
      <c r="I381" s="3">
        <v>245500</v>
      </c>
      <c r="J381" s="1" t="s">
        <v>40</v>
      </c>
      <c r="K381" s="1" t="s">
        <v>23</v>
      </c>
      <c r="L381" s="1" t="s">
        <v>50</v>
      </c>
      <c r="M381" s="1">
        <v>2017</v>
      </c>
      <c r="N381" s="1" t="str">
        <f t="shared" si="5"/>
        <v>Francophone</v>
      </c>
      <c r="O381" s="3" t="str">
        <f>_xlfn.XLOOKUP(D:D,MappingTable[Brand],MappingTable[Brand Type], "not found")</f>
        <v>Beer</v>
      </c>
      <c r="P381" t="str">
        <f>_xlfn.XLOOKUP(L:L,MappingTable2[Month],MappingTable2[Quarters],"NIL")</f>
        <v>Q3</v>
      </c>
      <c r="Q381" s="1"/>
    </row>
    <row r="382" spans="1:17" x14ac:dyDescent="0.2">
      <c r="A382" s="1">
        <v>10481</v>
      </c>
      <c r="B382" s="1" t="s">
        <v>61</v>
      </c>
      <c r="C382" s="1" t="s">
        <v>62</v>
      </c>
      <c r="D382" s="1" t="s">
        <v>27</v>
      </c>
      <c r="E382" s="3">
        <v>180</v>
      </c>
      <c r="F382" s="3">
        <v>450</v>
      </c>
      <c r="G382" s="13">
        <v>958</v>
      </c>
      <c r="H382" s="3">
        <v>431100</v>
      </c>
      <c r="I382" s="3">
        <v>258660</v>
      </c>
      <c r="J382" s="1" t="s">
        <v>16</v>
      </c>
      <c r="K382" s="1" t="s">
        <v>29</v>
      </c>
      <c r="L382" s="1" t="s">
        <v>53</v>
      </c>
      <c r="M382" s="1">
        <v>2017</v>
      </c>
      <c r="N382" s="1" t="str">
        <f t="shared" si="5"/>
        <v>Anglophone</v>
      </c>
      <c r="O382" s="3" t="str">
        <f>_xlfn.XLOOKUP(D:D,MappingTable[Brand],MappingTable[Brand Type], "not found")</f>
        <v>Beer</v>
      </c>
      <c r="P382" t="str">
        <f>_xlfn.XLOOKUP(L:L,MappingTable2[Month],MappingTable2[Quarters],"NIL")</f>
        <v>Q3</v>
      </c>
      <c r="Q382" s="1"/>
    </row>
    <row r="383" spans="1:17" x14ac:dyDescent="0.2">
      <c r="A383" s="1">
        <v>10482</v>
      </c>
      <c r="B383" s="1" t="s">
        <v>57</v>
      </c>
      <c r="C383" s="1" t="s">
        <v>58</v>
      </c>
      <c r="D383" s="1" t="s">
        <v>33</v>
      </c>
      <c r="E383" s="3">
        <v>170</v>
      </c>
      <c r="F383" s="3">
        <v>250</v>
      </c>
      <c r="G383" s="13">
        <v>943</v>
      </c>
      <c r="H383" s="3">
        <v>235750</v>
      </c>
      <c r="I383" s="3">
        <v>75440</v>
      </c>
      <c r="J383" s="1" t="s">
        <v>22</v>
      </c>
      <c r="K383" s="1" t="s">
        <v>35</v>
      </c>
      <c r="L383" s="1" t="s">
        <v>56</v>
      </c>
      <c r="M383" s="1">
        <v>2017</v>
      </c>
      <c r="N383" s="1" t="str">
        <f t="shared" si="5"/>
        <v>Anglophone</v>
      </c>
      <c r="O383" s="3" t="str">
        <f>_xlfn.XLOOKUP(D:D,MappingTable[Brand],MappingTable[Brand Type], "not found")</f>
        <v>Beer</v>
      </c>
      <c r="P383" t="str">
        <f>_xlfn.XLOOKUP(L:L,MappingTable2[Month],MappingTable2[Quarters],"NIL")</f>
        <v>Q4</v>
      </c>
      <c r="Q383" s="1"/>
    </row>
    <row r="384" spans="1:17" x14ac:dyDescent="0.2">
      <c r="A384" s="1">
        <v>10483</v>
      </c>
      <c r="B384" s="1" t="s">
        <v>19</v>
      </c>
      <c r="C384" s="1" t="s">
        <v>20</v>
      </c>
      <c r="D384" s="1" t="s">
        <v>39</v>
      </c>
      <c r="E384" s="3">
        <v>150</v>
      </c>
      <c r="F384" s="3">
        <v>200</v>
      </c>
      <c r="G384" s="13">
        <v>946</v>
      </c>
      <c r="H384" s="3">
        <v>189200</v>
      </c>
      <c r="I384" s="3">
        <v>47300</v>
      </c>
      <c r="J384" s="1" t="s">
        <v>28</v>
      </c>
      <c r="K384" s="1" t="s">
        <v>41</v>
      </c>
      <c r="L384" s="1" t="s">
        <v>59</v>
      </c>
      <c r="M384" s="1">
        <v>2019</v>
      </c>
      <c r="N384" s="1" t="str">
        <f t="shared" si="5"/>
        <v>Francophone</v>
      </c>
      <c r="O384" s="3" t="str">
        <f>_xlfn.XLOOKUP(D:D,MappingTable[Brand],MappingTable[Brand Type], "not found")</f>
        <v>Beer</v>
      </c>
      <c r="P384" t="str">
        <f>_xlfn.XLOOKUP(L:L,MappingTable2[Month],MappingTable2[Quarters],"NIL")</f>
        <v>Q4</v>
      </c>
      <c r="Q384" s="1"/>
    </row>
    <row r="385" spans="1:17" x14ac:dyDescent="0.2">
      <c r="A385" s="1">
        <v>10484</v>
      </c>
      <c r="B385" s="1" t="s">
        <v>61</v>
      </c>
      <c r="C385" s="1" t="s">
        <v>62</v>
      </c>
      <c r="D385" s="1" t="s">
        <v>43</v>
      </c>
      <c r="E385" s="3">
        <v>80</v>
      </c>
      <c r="F385" s="3">
        <v>150</v>
      </c>
      <c r="G385" s="13">
        <v>852</v>
      </c>
      <c r="H385" s="3">
        <v>127800</v>
      </c>
      <c r="I385" s="3">
        <v>59640</v>
      </c>
      <c r="J385" s="1" t="s">
        <v>34</v>
      </c>
      <c r="K385" s="1" t="s">
        <v>44</v>
      </c>
      <c r="L385" s="1" t="s">
        <v>60</v>
      </c>
      <c r="M385" s="1">
        <v>2017</v>
      </c>
      <c r="N385" s="1" t="str">
        <f t="shared" si="5"/>
        <v>Francophone</v>
      </c>
      <c r="O385" s="3" t="str">
        <f>_xlfn.XLOOKUP(D:D,MappingTable[Brand],MappingTable[Brand Type], "not found")</f>
        <v>Malt</v>
      </c>
      <c r="P385" t="str">
        <f>_xlfn.XLOOKUP(L:L,MappingTable2[Month],MappingTable2[Quarters],"NIL")</f>
        <v>Q4</v>
      </c>
      <c r="Q385" s="1"/>
    </row>
    <row r="386" spans="1:17" x14ac:dyDescent="0.2">
      <c r="A386" s="1">
        <v>10485</v>
      </c>
      <c r="B386" s="1" t="s">
        <v>31</v>
      </c>
      <c r="C386" s="1" t="s">
        <v>32</v>
      </c>
      <c r="D386" s="1" t="s">
        <v>48</v>
      </c>
      <c r="E386" s="3">
        <v>90</v>
      </c>
      <c r="F386" s="3">
        <v>150</v>
      </c>
      <c r="G386" s="13">
        <v>960</v>
      </c>
      <c r="H386" s="3">
        <v>144000</v>
      </c>
      <c r="I386" s="3">
        <v>57600</v>
      </c>
      <c r="J386" s="1" t="s">
        <v>40</v>
      </c>
      <c r="K386" s="1" t="s">
        <v>17</v>
      </c>
      <c r="L386" s="1" t="s">
        <v>18</v>
      </c>
      <c r="M386" s="1">
        <v>2018</v>
      </c>
      <c r="N386" s="1" t="str">
        <f t="shared" ref="N386:N449" si="6">IF(ISNUMBER(MATCH(J386,$S$7:$S$8,0)), "Anglophone","Francophone")</f>
        <v>Francophone</v>
      </c>
      <c r="O386" s="3" t="str">
        <f>_xlfn.XLOOKUP(D:D,MappingTable[Brand],MappingTable[Brand Type], "not found")</f>
        <v>Malt</v>
      </c>
      <c r="P386" t="str">
        <f>_xlfn.XLOOKUP(L:L,MappingTable2[Month],MappingTable2[Quarters],"NIL")</f>
        <v>Q1</v>
      </c>
      <c r="Q386" s="1"/>
    </row>
    <row r="387" spans="1:17" x14ac:dyDescent="0.2">
      <c r="A387" s="1">
        <v>10486</v>
      </c>
      <c r="B387" s="1" t="s">
        <v>25</v>
      </c>
      <c r="C387" s="1" t="s">
        <v>26</v>
      </c>
      <c r="D387" s="1" t="s">
        <v>15</v>
      </c>
      <c r="E387" s="3">
        <v>150</v>
      </c>
      <c r="F387" s="3">
        <v>200</v>
      </c>
      <c r="G387" s="13">
        <v>992</v>
      </c>
      <c r="H387" s="3">
        <v>198400</v>
      </c>
      <c r="I387" s="3">
        <v>49600</v>
      </c>
      <c r="J387" s="1" t="s">
        <v>16</v>
      </c>
      <c r="K387" s="1" t="s">
        <v>23</v>
      </c>
      <c r="L387" s="1" t="s">
        <v>24</v>
      </c>
      <c r="M387" s="1">
        <v>2019</v>
      </c>
      <c r="N387" s="1" t="str">
        <f t="shared" si="6"/>
        <v>Anglophone</v>
      </c>
      <c r="O387" s="3" t="str">
        <f>_xlfn.XLOOKUP(D:D,MappingTable[Brand],MappingTable[Brand Type], "not found")</f>
        <v>Beer</v>
      </c>
      <c r="P387" t="str">
        <f>_xlfn.XLOOKUP(L:L,MappingTable2[Month],MappingTable2[Quarters],"NIL")</f>
        <v>Q1</v>
      </c>
      <c r="Q387" s="1"/>
    </row>
    <row r="388" spans="1:17" x14ac:dyDescent="0.2">
      <c r="A388" s="1">
        <v>10487</v>
      </c>
      <c r="B388" s="1" t="s">
        <v>13</v>
      </c>
      <c r="C388" s="1" t="s">
        <v>14</v>
      </c>
      <c r="D388" s="1" t="s">
        <v>21</v>
      </c>
      <c r="E388" s="3">
        <v>250</v>
      </c>
      <c r="F388" s="3">
        <v>500</v>
      </c>
      <c r="G388" s="13">
        <v>960</v>
      </c>
      <c r="H388" s="3">
        <v>480000</v>
      </c>
      <c r="I388" s="3">
        <v>240000</v>
      </c>
      <c r="J388" s="1" t="s">
        <v>22</v>
      </c>
      <c r="K388" s="1" t="s">
        <v>29</v>
      </c>
      <c r="L388" s="1" t="s">
        <v>30</v>
      </c>
      <c r="M388" s="1">
        <v>2017</v>
      </c>
      <c r="N388" s="1" t="str">
        <f t="shared" si="6"/>
        <v>Anglophone</v>
      </c>
      <c r="O388" s="3" t="str">
        <f>_xlfn.XLOOKUP(D:D,MappingTable[Brand],MappingTable[Brand Type], "not found")</f>
        <v>Beer</v>
      </c>
      <c r="P388" t="str">
        <f>_xlfn.XLOOKUP(L:L,MappingTable2[Month],MappingTable2[Quarters],"NIL")</f>
        <v>Q1</v>
      </c>
      <c r="Q388" s="1"/>
    </row>
    <row r="389" spans="1:17" x14ac:dyDescent="0.2">
      <c r="A389" s="1">
        <v>10488</v>
      </c>
      <c r="B389" s="1" t="s">
        <v>37</v>
      </c>
      <c r="C389" s="1" t="s">
        <v>38</v>
      </c>
      <c r="D389" s="1" t="s">
        <v>27</v>
      </c>
      <c r="E389" s="3">
        <v>180</v>
      </c>
      <c r="F389" s="3">
        <v>450</v>
      </c>
      <c r="G389" s="13">
        <v>842</v>
      </c>
      <c r="H389" s="3">
        <v>378900</v>
      </c>
      <c r="I389" s="3">
        <v>227340</v>
      </c>
      <c r="J389" s="1" t="s">
        <v>28</v>
      </c>
      <c r="K389" s="1" t="s">
        <v>35</v>
      </c>
      <c r="L389" s="1" t="s">
        <v>36</v>
      </c>
      <c r="M389" s="1">
        <v>2018</v>
      </c>
      <c r="N389" s="1" t="str">
        <f t="shared" si="6"/>
        <v>Francophone</v>
      </c>
      <c r="O389" s="3" t="str">
        <f>_xlfn.XLOOKUP(D:D,MappingTable[Brand],MappingTable[Brand Type], "not found")</f>
        <v>Beer</v>
      </c>
      <c r="P389" t="str">
        <f>_xlfn.XLOOKUP(L:L,MappingTable2[Month],MappingTable2[Quarters],"NIL")</f>
        <v>Q2</v>
      </c>
      <c r="Q389" s="1"/>
    </row>
    <row r="390" spans="1:17" x14ac:dyDescent="0.2">
      <c r="A390" s="1">
        <v>10489</v>
      </c>
      <c r="B390" s="1" t="s">
        <v>54</v>
      </c>
      <c r="C390" s="1" t="s">
        <v>55</v>
      </c>
      <c r="D390" s="1" t="s">
        <v>33</v>
      </c>
      <c r="E390" s="3">
        <v>170</v>
      </c>
      <c r="F390" s="3">
        <v>250</v>
      </c>
      <c r="G390" s="13">
        <v>750</v>
      </c>
      <c r="H390" s="3">
        <v>187500</v>
      </c>
      <c r="I390" s="3">
        <v>60000</v>
      </c>
      <c r="J390" s="1" t="s">
        <v>34</v>
      </c>
      <c r="K390" s="1" t="s">
        <v>41</v>
      </c>
      <c r="L390" s="1" t="s">
        <v>42</v>
      </c>
      <c r="M390" s="1">
        <v>2018</v>
      </c>
      <c r="N390" s="1" t="str">
        <f t="shared" si="6"/>
        <v>Francophone</v>
      </c>
      <c r="O390" s="3" t="str">
        <f>_xlfn.XLOOKUP(D:D,MappingTable[Brand],MappingTable[Brand Type], "not found")</f>
        <v>Beer</v>
      </c>
      <c r="P390" t="str">
        <f>_xlfn.XLOOKUP(L:L,MappingTable2[Month],MappingTable2[Quarters],"NIL")</f>
        <v>Q2</v>
      </c>
      <c r="Q390" s="1"/>
    </row>
    <row r="391" spans="1:17" x14ac:dyDescent="0.2">
      <c r="A391" s="1">
        <v>10490</v>
      </c>
      <c r="B391" s="1" t="s">
        <v>19</v>
      </c>
      <c r="C391" s="1" t="s">
        <v>20</v>
      </c>
      <c r="D391" s="1" t="s">
        <v>39</v>
      </c>
      <c r="E391" s="3">
        <v>150</v>
      </c>
      <c r="F391" s="3">
        <v>200</v>
      </c>
      <c r="G391" s="13">
        <v>796</v>
      </c>
      <c r="H391" s="3">
        <v>159200</v>
      </c>
      <c r="I391" s="3">
        <v>39800</v>
      </c>
      <c r="J391" s="1" t="s">
        <v>40</v>
      </c>
      <c r="K391" s="1" t="s">
        <v>44</v>
      </c>
      <c r="L391" s="1" t="s">
        <v>45</v>
      </c>
      <c r="M391" s="1">
        <v>2018</v>
      </c>
      <c r="N391" s="1" t="str">
        <f t="shared" si="6"/>
        <v>Francophone</v>
      </c>
      <c r="O391" s="3" t="str">
        <f>_xlfn.XLOOKUP(D:D,MappingTable[Brand],MappingTable[Brand Type], "not found")</f>
        <v>Beer</v>
      </c>
      <c r="P391" t="str">
        <f>_xlfn.XLOOKUP(L:L,MappingTable2[Month],MappingTable2[Quarters],"NIL")</f>
        <v>Q2</v>
      </c>
      <c r="Q391" s="1"/>
    </row>
    <row r="392" spans="1:17" x14ac:dyDescent="0.2">
      <c r="A392" s="1">
        <v>10491</v>
      </c>
      <c r="B392" s="1" t="s">
        <v>19</v>
      </c>
      <c r="C392" s="1" t="s">
        <v>20</v>
      </c>
      <c r="D392" s="1" t="s">
        <v>43</v>
      </c>
      <c r="E392" s="3">
        <v>80</v>
      </c>
      <c r="F392" s="3">
        <v>150</v>
      </c>
      <c r="G392" s="13">
        <v>944</v>
      </c>
      <c r="H392" s="3">
        <v>141600</v>
      </c>
      <c r="I392" s="3">
        <v>66080</v>
      </c>
      <c r="J392" s="1" t="s">
        <v>16</v>
      </c>
      <c r="K392" s="1" t="s">
        <v>17</v>
      </c>
      <c r="L392" s="1" t="s">
        <v>49</v>
      </c>
      <c r="M392" s="1">
        <v>2018</v>
      </c>
      <c r="N392" s="1" t="str">
        <f t="shared" si="6"/>
        <v>Anglophone</v>
      </c>
      <c r="O392" s="3" t="str">
        <f>_xlfn.XLOOKUP(D:D,MappingTable[Brand],MappingTable[Brand Type], "not found")</f>
        <v>Malt</v>
      </c>
      <c r="P392" t="str">
        <f>_xlfn.XLOOKUP(L:L,MappingTable2[Month],MappingTable2[Quarters],"NIL")</f>
        <v>Q3</v>
      </c>
      <c r="Q392" s="1"/>
    </row>
    <row r="393" spans="1:17" x14ac:dyDescent="0.2">
      <c r="A393" s="1">
        <v>10492</v>
      </c>
      <c r="B393" s="1" t="s">
        <v>63</v>
      </c>
      <c r="C393" s="1" t="s">
        <v>64</v>
      </c>
      <c r="D393" s="1" t="s">
        <v>48</v>
      </c>
      <c r="E393" s="3">
        <v>90</v>
      </c>
      <c r="F393" s="3">
        <v>150</v>
      </c>
      <c r="G393" s="13">
        <v>854</v>
      </c>
      <c r="H393" s="3">
        <v>128100</v>
      </c>
      <c r="I393" s="3">
        <v>51240</v>
      </c>
      <c r="J393" s="1" t="s">
        <v>22</v>
      </c>
      <c r="K393" s="1" t="s">
        <v>23</v>
      </c>
      <c r="L393" s="1" t="s">
        <v>50</v>
      </c>
      <c r="M393" s="1">
        <v>2019</v>
      </c>
      <c r="N393" s="1" t="str">
        <f t="shared" si="6"/>
        <v>Anglophone</v>
      </c>
      <c r="O393" s="3" t="str">
        <f>_xlfn.XLOOKUP(D:D,MappingTable[Brand],MappingTable[Brand Type], "not found")</f>
        <v>Malt</v>
      </c>
      <c r="P393" t="str">
        <f>_xlfn.XLOOKUP(L:L,MappingTable2[Month],MappingTable2[Quarters],"NIL")</f>
        <v>Q3</v>
      </c>
      <c r="Q393" s="1"/>
    </row>
    <row r="394" spans="1:17" x14ac:dyDescent="0.2">
      <c r="A394" s="1">
        <v>10493</v>
      </c>
      <c r="B394" s="1" t="s">
        <v>31</v>
      </c>
      <c r="C394" s="1" t="s">
        <v>32</v>
      </c>
      <c r="D394" s="1" t="s">
        <v>15</v>
      </c>
      <c r="E394" s="3">
        <v>150</v>
      </c>
      <c r="F394" s="3">
        <v>200</v>
      </c>
      <c r="G394" s="13">
        <v>926</v>
      </c>
      <c r="H394" s="3">
        <v>185200</v>
      </c>
      <c r="I394" s="3">
        <v>46300</v>
      </c>
      <c r="J394" s="1" t="s">
        <v>28</v>
      </c>
      <c r="K394" s="1" t="s">
        <v>29</v>
      </c>
      <c r="L394" s="1" t="s">
        <v>53</v>
      </c>
      <c r="M394" s="1">
        <v>2019</v>
      </c>
      <c r="N394" s="1" t="str">
        <f t="shared" si="6"/>
        <v>Francophone</v>
      </c>
      <c r="O394" s="3" t="str">
        <f>_xlfn.XLOOKUP(D:D,MappingTable[Brand],MappingTable[Brand Type], "not found")</f>
        <v>Beer</v>
      </c>
      <c r="P394" t="str">
        <f>_xlfn.XLOOKUP(L:L,MappingTable2[Month],MappingTable2[Quarters],"NIL")</f>
        <v>Q3</v>
      </c>
      <c r="Q394" s="1"/>
    </row>
    <row r="395" spans="1:17" x14ac:dyDescent="0.2">
      <c r="A395" s="1">
        <v>10494</v>
      </c>
      <c r="B395" s="1" t="s">
        <v>51</v>
      </c>
      <c r="C395" s="1" t="s">
        <v>52</v>
      </c>
      <c r="D395" s="1" t="s">
        <v>21</v>
      </c>
      <c r="E395" s="3">
        <v>250</v>
      </c>
      <c r="F395" s="3">
        <v>500</v>
      </c>
      <c r="G395" s="13">
        <v>808</v>
      </c>
      <c r="H395" s="3">
        <v>404000</v>
      </c>
      <c r="I395" s="3">
        <v>202000</v>
      </c>
      <c r="J395" s="1" t="s">
        <v>34</v>
      </c>
      <c r="K395" s="1" t="s">
        <v>35</v>
      </c>
      <c r="L395" s="1" t="s">
        <v>56</v>
      </c>
      <c r="M395" s="1">
        <v>2017</v>
      </c>
      <c r="N395" s="1" t="str">
        <f t="shared" si="6"/>
        <v>Francophone</v>
      </c>
      <c r="O395" s="3" t="str">
        <f>_xlfn.XLOOKUP(D:D,MappingTable[Brand],MappingTable[Brand Type], "not found")</f>
        <v>Beer</v>
      </c>
      <c r="P395" t="str">
        <f>_xlfn.XLOOKUP(L:L,MappingTable2[Month],MappingTable2[Quarters],"NIL")</f>
        <v>Q4</v>
      </c>
      <c r="Q395" s="1"/>
    </row>
    <row r="396" spans="1:17" x14ac:dyDescent="0.2">
      <c r="A396" s="1">
        <v>10495</v>
      </c>
      <c r="B396" s="1" t="s">
        <v>63</v>
      </c>
      <c r="C396" s="1" t="s">
        <v>64</v>
      </c>
      <c r="D396" s="1" t="s">
        <v>27</v>
      </c>
      <c r="E396" s="3">
        <v>180</v>
      </c>
      <c r="F396" s="3">
        <v>450</v>
      </c>
      <c r="G396" s="13">
        <v>883</v>
      </c>
      <c r="H396" s="3">
        <v>397350</v>
      </c>
      <c r="I396" s="3">
        <v>238410</v>
      </c>
      <c r="J396" s="1" t="s">
        <v>40</v>
      </c>
      <c r="K396" s="1" t="s">
        <v>41</v>
      </c>
      <c r="L396" s="1" t="s">
        <v>59</v>
      </c>
      <c r="M396" s="1">
        <v>2019</v>
      </c>
      <c r="N396" s="1" t="str">
        <f t="shared" si="6"/>
        <v>Francophone</v>
      </c>
      <c r="O396" s="3" t="str">
        <f>_xlfn.XLOOKUP(D:D,MappingTable[Brand],MappingTable[Brand Type], "not found")</f>
        <v>Beer</v>
      </c>
      <c r="P396" t="str">
        <f>_xlfn.XLOOKUP(L:L,MappingTable2[Month],MappingTable2[Quarters],"NIL")</f>
        <v>Q4</v>
      </c>
      <c r="Q396" s="1"/>
    </row>
    <row r="397" spans="1:17" x14ac:dyDescent="0.2">
      <c r="A397" s="1">
        <v>10496</v>
      </c>
      <c r="B397" s="1" t="s">
        <v>25</v>
      </c>
      <c r="C397" s="1" t="s">
        <v>26</v>
      </c>
      <c r="D397" s="1" t="s">
        <v>33</v>
      </c>
      <c r="E397" s="3">
        <v>170</v>
      </c>
      <c r="F397" s="3">
        <v>250</v>
      </c>
      <c r="G397" s="13">
        <v>958</v>
      </c>
      <c r="H397" s="3">
        <v>239500</v>
      </c>
      <c r="I397" s="3">
        <v>76640</v>
      </c>
      <c r="J397" s="1" t="s">
        <v>16</v>
      </c>
      <c r="K397" s="1" t="s">
        <v>44</v>
      </c>
      <c r="L397" s="1" t="s">
        <v>60</v>
      </c>
      <c r="M397" s="1">
        <v>2019</v>
      </c>
      <c r="N397" s="1" t="str">
        <f t="shared" si="6"/>
        <v>Anglophone</v>
      </c>
      <c r="O397" s="3" t="str">
        <f>_xlfn.XLOOKUP(D:D,MappingTable[Brand],MappingTable[Brand Type], "not found")</f>
        <v>Beer</v>
      </c>
      <c r="P397" t="str">
        <f>_xlfn.XLOOKUP(L:L,MappingTable2[Month],MappingTable2[Quarters],"NIL")</f>
        <v>Q4</v>
      </c>
      <c r="Q397" s="1"/>
    </row>
    <row r="398" spans="1:17" x14ac:dyDescent="0.2">
      <c r="A398" s="1">
        <v>10497</v>
      </c>
      <c r="B398" s="1" t="s">
        <v>19</v>
      </c>
      <c r="C398" s="1" t="s">
        <v>20</v>
      </c>
      <c r="D398" s="1" t="s">
        <v>39</v>
      </c>
      <c r="E398" s="3">
        <v>150</v>
      </c>
      <c r="F398" s="3">
        <v>200</v>
      </c>
      <c r="G398" s="13">
        <v>984</v>
      </c>
      <c r="H398" s="3">
        <v>196800</v>
      </c>
      <c r="I398" s="3">
        <v>49200</v>
      </c>
      <c r="J398" s="1" t="s">
        <v>22</v>
      </c>
      <c r="K398" s="1" t="s">
        <v>17</v>
      </c>
      <c r="L398" s="1" t="s">
        <v>18</v>
      </c>
      <c r="M398" s="1">
        <v>2019</v>
      </c>
      <c r="N398" s="1" t="str">
        <f t="shared" si="6"/>
        <v>Anglophone</v>
      </c>
      <c r="O398" s="3" t="str">
        <f>_xlfn.XLOOKUP(D:D,MappingTable[Brand],MappingTable[Brand Type], "not found")</f>
        <v>Beer</v>
      </c>
      <c r="P398" t="str">
        <f>_xlfn.XLOOKUP(L:L,MappingTable2[Month],MappingTable2[Quarters],"NIL")</f>
        <v>Q1</v>
      </c>
      <c r="Q398" s="1"/>
    </row>
    <row r="399" spans="1:17" x14ac:dyDescent="0.2">
      <c r="A399" s="1">
        <v>10498</v>
      </c>
      <c r="B399" s="1" t="s">
        <v>25</v>
      </c>
      <c r="C399" s="1" t="s">
        <v>26</v>
      </c>
      <c r="D399" s="1" t="s">
        <v>43</v>
      </c>
      <c r="E399" s="3">
        <v>80</v>
      </c>
      <c r="F399" s="3">
        <v>150</v>
      </c>
      <c r="G399" s="13">
        <v>765</v>
      </c>
      <c r="H399" s="3">
        <v>114750</v>
      </c>
      <c r="I399" s="3">
        <v>53550</v>
      </c>
      <c r="J399" s="1" t="s">
        <v>28</v>
      </c>
      <c r="K399" s="1" t="s">
        <v>23</v>
      </c>
      <c r="L399" s="1" t="s">
        <v>24</v>
      </c>
      <c r="M399" s="1">
        <v>2017</v>
      </c>
      <c r="N399" s="1" t="str">
        <f t="shared" si="6"/>
        <v>Francophone</v>
      </c>
      <c r="O399" s="3" t="str">
        <f>_xlfn.XLOOKUP(D:D,MappingTable[Brand],MappingTable[Brand Type], "not found")</f>
        <v>Malt</v>
      </c>
      <c r="P399" t="str">
        <f>_xlfn.XLOOKUP(L:L,MappingTable2[Month],MappingTable2[Quarters],"NIL")</f>
        <v>Q1</v>
      </c>
      <c r="Q399" s="1"/>
    </row>
    <row r="400" spans="1:17" x14ac:dyDescent="0.2">
      <c r="A400" s="1">
        <v>10499</v>
      </c>
      <c r="B400" s="1" t="s">
        <v>46</v>
      </c>
      <c r="C400" s="1" t="s">
        <v>47</v>
      </c>
      <c r="D400" s="1" t="s">
        <v>48</v>
      </c>
      <c r="E400" s="3">
        <v>90</v>
      </c>
      <c r="F400" s="3">
        <v>150</v>
      </c>
      <c r="G400" s="13">
        <v>956</v>
      </c>
      <c r="H400" s="3">
        <v>143400</v>
      </c>
      <c r="I400" s="3">
        <v>57360</v>
      </c>
      <c r="J400" s="1" t="s">
        <v>34</v>
      </c>
      <c r="K400" s="1" t="s">
        <v>29</v>
      </c>
      <c r="L400" s="1" t="s">
        <v>30</v>
      </c>
      <c r="M400" s="1">
        <v>2017</v>
      </c>
      <c r="N400" s="1" t="str">
        <f t="shared" si="6"/>
        <v>Francophone</v>
      </c>
      <c r="O400" s="3" t="str">
        <f>_xlfn.XLOOKUP(D:D,MappingTable[Brand],MappingTable[Brand Type], "not found")</f>
        <v>Malt</v>
      </c>
      <c r="P400" t="str">
        <f>_xlfn.XLOOKUP(L:L,MappingTable2[Month],MappingTable2[Quarters],"NIL")</f>
        <v>Q1</v>
      </c>
      <c r="Q400" s="1"/>
    </row>
    <row r="401" spans="1:17" x14ac:dyDescent="0.2">
      <c r="A401" s="1">
        <v>10500</v>
      </c>
      <c r="B401" s="1" t="s">
        <v>37</v>
      </c>
      <c r="C401" s="1" t="s">
        <v>38</v>
      </c>
      <c r="D401" s="1" t="s">
        <v>15</v>
      </c>
      <c r="E401" s="3">
        <v>150</v>
      </c>
      <c r="F401" s="3">
        <v>200</v>
      </c>
      <c r="G401" s="13">
        <v>931</v>
      </c>
      <c r="H401" s="3">
        <v>186200</v>
      </c>
      <c r="I401" s="3">
        <v>46550</v>
      </c>
      <c r="J401" s="1" t="s">
        <v>40</v>
      </c>
      <c r="K401" s="1" t="s">
        <v>35</v>
      </c>
      <c r="L401" s="1" t="s">
        <v>36</v>
      </c>
      <c r="M401" s="1">
        <v>2019</v>
      </c>
      <c r="N401" s="1" t="str">
        <f t="shared" si="6"/>
        <v>Francophone</v>
      </c>
      <c r="O401" s="3" t="str">
        <f>_xlfn.XLOOKUP(D:D,MappingTable[Brand],MappingTable[Brand Type], "not found")</f>
        <v>Beer</v>
      </c>
      <c r="P401" t="str">
        <f>_xlfn.XLOOKUP(L:L,MappingTable2[Month],MappingTable2[Quarters],"NIL")</f>
        <v>Q2</v>
      </c>
      <c r="Q401" s="1"/>
    </row>
    <row r="402" spans="1:17" x14ac:dyDescent="0.2">
      <c r="A402" s="1">
        <v>10501</v>
      </c>
      <c r="B402" s="1" t="s">
        <v>13</v>
      </c>
      <c r="C402" s="1" t="s">
        <v>14</v>
      </c>
      <c r="D402" s="1" t="s">
        <v>21</v>
      </c>
      <c r="E402" s="3">
        <v>250</v>
      </c>
      <c r="F402" s="3">
        <v>500</v>
      </c>
      <c r="G402" s="13">
        <v>718</v>
      </c>
      <c r="H402" s="3">
        <v>359000</v>
      </c>
      <c r="I402" s="3">
        <v>179500</v>
      </c>
      <c r="J402" s="1" t="s">
        <v>16</v>
      </c>
      <c r="K402" s="1" t="s">
        <v>41</v>
      </c>
      <c r="L402" s="1" t="s">
        <v>42</v>
      </c>
      <c r="M402" s="1">
        <v>2018</v>
      </c>
      <c r="N402" s="1" t="str">
        <f t="shared" si="6"/>
        <v>Anglophone</v>
      </c>
      <c r="O402" s="3" t="str">
        <f>_xlfn.XLOOKUP(D:D,MappingTable[Brand],MappingTable[Brand Type], "not found")</f>
        <v>Beer</v>
      </c>
      <c r="P402" t="str">
        <f>_xlfn.XLOOKUP(L:L,MappingTable2[Month],MappingTable2[Quarters],"NIL")</f>
        <v>Q2</v>
      </c>
      <c r="Q402" s="1"/>
    </row>
    <row r="403" spans="1:17" x14ac:dyDescent="0.2">
      <c r="A403" s="1">
        <v>10502</v>
      </c>
      <c r="B403" s="1" t="s">
        <v>13</v>
      </c>
      <c r="C403" s="1" t="s">
        <v>14</v>
      </c>
      <c r="D403" s="1" t="s">
        <v>27</v>
      </c>
      <c r="E403" s="3">
        <v>180</v>
      </c>
      <c r="F403" s="3">
        <v>450</v>
      </c>
      <c r="G403" s="13">
        <v>776</v>
      </c>
      <c r="H403" s="3">
        <v>349200</v>
      </c>
      <c r="I403" s="3">
        <v>209520</v>
      </c>
      <c r="J403" s="1" t="s">
        <v>22</v>
      </c>
      <c r="K403" s="1" t="s">
        <v>44</v>
      </c>
      <c r="L403" s="1" t="s">
        <v>45</v>
      </c>
      <c r="M403" s="1">
        <v>2018</v>
      </c>
      <c r="N403" s="1" t="str">
        <f t="shared" si="6"/>
        <v>Anglophone</v>
      </c>
      <c r="O403" s="3" t="str">
        <f>_xlfn.XLOOKUP(D:D,MappingTable[Brand],MappingTable[Brand Type], "not found")</f>
        <v>Beer</v>
      </c>
      <c r="P403" t="str">
        <f>_xlfn.XLOOKUP(L:L,MappingTable2[Month],MappingTable2[Quarters],"NIL")</f>
        <v>Q2</v>
      </c>
      <c r="Q403" s="1"/>
    </row>
    <row r="404" spans="1:17" x14ac:dyDescent="0.2">
      <c r="A404" s="1">
        <v>10503</v>
      </c>
      <c r="B404" s="1" t="s">
        <v>37</v>
      </c>
      <c r="C404" s="1" t="s">
        <v>38</v>
      </c>
      <c r="D404" s="1" t="s">
        <v>33</v>
      </c>
      <c r="E404" s="3">
        <v>170</v>
      </c>
      <c r="F404" s="3">
        <v>250</v>
      </c>
      <c r="G404" s="13">
        <v>836</v>
      </c>
      <c r="H404" s="3">
        <v>209000</v>
      </c>
      <c r="I404" s="3">
        <v>66880</v>
      </c>
      <c r="J404" s="1" t="s">
        <v>28</v>
      </c>
      <c r="K404" s="1" t="s">
        <v>17</v>
      </c>
      <c r="L404" s="1" t="s">
        <v>49</v>
      </c>
      <c r="M404" s="1">
        <v>2018</v>
      </c>
      <c r="N404" s="1" t="str">
        <f t="shared" si="6"/>
        <v>Francophone</v>
      </c>
      <c r="O404" s="3" t="str">
        <f>_xlfn.XLOOKUP(D:D,MappingTable[Brand],MappingTable[Brand Type], "not found")</f>
        <v>Beer</v>
      </c>
      <c r="P404" t="str">
        <f>_xlfn.XLOOKUP(L:L,MappingTable2[Month],MappingTable2[Quarters],"NIL")</f>
        <v>Q3</v>
      </c>
      <c r="Q404" s="1"/>
    </row>
    <row r="405" spans="1:17" x14ac:dyDescent="0.2">
      <c r="A405" s="1">
        <v>10504</v>
      </c>
      <c r="B405" s="1" t="s">
        <v>31</v>
      </c>
      <c r="C405" s="1" t="s">
        <v>32</v>
      </c>
      <c r="D405" s="1" t="s">
        <v>39</v>
      </c>
      <c r="E405" s="3">
        <v>150</v>
      </c>
      <c r="F405" s="3">
        <v>200</v>
      </c>
      <c r="G405" s="13">
        <v>730</v>
      </c>
      <c r="H405" s="3">
        <v>146000</v>
      </c>
      <c r="I405" s="3">
        <v>36500</v>
      </c>
      <c r="J405" s="1" t="s">
        <v>34</v>
      </c>
      <c r="K405" s="1" t="s">
        <v>23</v>
      </c>
      <c r="L405" s="1" t="s">
        <v>50</v>
      </c>
      <c r="M405" s="1">
        <v>2017</v>
      </c>
      <c r="N405" s="1" t="str">
        <f t="shared" si="6"/>
        <v>Francophone</v>
      </c>
      <c r="O405" s="3" t="str">
        <f>_xlfn.XLOOKUP(D:D,MappingTable[Brand],MappingTable[Brand Type], "not found")</f>
        <v>Beer</v>
      </c>
      <c r="P405" t="str">
        <f>_xlfn.XLOOKUP(L:L,MappingTable2[Month],MappingTable2[Quarters],"NIL")</f>
        <v>Q3</v>
      </c>
      <c r="Q405" s="1"/>
    </row>
    <row r="406" spans="1:17" x14ac:dyDescent="0.2">
      <c r="A406" s="1">
        <v>10505</v>
      </c>
      <c r="B406" s="1" t="s">
        <v>51</v>
      </c>
      <c r="C406" s="1" t="s">
        <v>52</v>
      </c>
      <c r="D406" s="1" t="s">
        <v>43</v>
      </c>
      <c r="E406" s="3">
        <v>80</v>
      </c>
      <c r="F406" s="3">
        <v>150</v>
      </c>
      <c r="G406" s="13">
        <v>741</v>
      </c>
      <c r="H406" s="3">
        <v>111150</v>
      </c>
      <c r="I406" s="3">
        <v>51870</v>
      </c>
      <c r="J406" s="1" t="s">
        <v>40</v>
      </c>
      <c r="K406" s="1" t="s">
        <v>29</v>
      </c>
      <c r="L406" s="1" t="s">
        <v>53</v>
      </c>
      <c r="M406" s="1">
        <v>2017</v>
      </c>
      <c r="N406" s="1" t="str">
        <f t="shared" si="6"/>
        <v>Francophone</v>
      </c>
      <c r="O406" s="3" t="str">
        <f>_xlfn.XLOOKUP(D:D,MappingTable[Brand],MappingTable[Brand Type], "not found")</f>
        <v>Malt</v>
      </c>
      <c r="P406" t="str">
        <f>_xlfn.XLOOKUP(L:L,MappingTable2[Month],MappingTable2[Quarters],"NIL")</f>
        <v>Q3</v>
      </c>
      <c r="Q406" s="1"/>
    </row>
    <row r="407" spans="1:17" x14ac:dyDescent="0.2">
      <c r="A407" s="1">
        <v>10506</v>
      </c>
      <c r="B407" s="1" t="s">
        <v>63</v>
      </c>
      <c r="C407" s="1" t="s">
        <v>64</v>
      </c>
      <c r="D407" s="1" t="s">
        <v>48</v>
      </c>
      <c r="E407" s="3">
        <v>90</v>
      </c>
      <c r="F407" s="3">
        <v>150</v>
      </c>
      <c r="G407" s="13">
        <v>982</v>
      </c>
      <c r="H407" s="3">
        <v>147300</v>
      </c>
      <c r="I407" s="3">
        <v>58920</v>
      </c>
      <c r="J407" s="1" t="s">
        <v>16</v>
      </c>
      <c r="K407" s="1" t="s">
        <v>35</v>
      </c>
      <c r="L407" s="1" t="s">
        <v>56</v>
      </c>
      <c r="M407" s="1">
        <v>2019</v>
      </c>
      <c r="N407" s="1" t="str">
        <f t="shared" si="6"/>
        <v>Anglophone</v>
      </c>
      <c r="O407" s="3" t="str">
        <f>_xlfn.XLOOKUP(D:D,MappingTable[Brand],MappingTable[Brand Type], "not found")</f>
        <v>Malt</v>
      </c>
      <c r="P407" t="str">
        <f>_xlfn.XLOOKUP(L:L,MappingTable2[Month],MappingTable2[Quarters],"NIL")</f>
        <v>Q4</v>
      </c>
      <c r="Q407" s="1"/>
    </row>
    <row r="408" spans="1:17" x14ac:dyDescent="0.2">
      <c r="A408" s="1">
        <v>10507</v>
      </c>
      <c r="B408" s="1" t="s">
        <v>25</v>
      </c>
      <c r="C408" s="1" t="s">
        <v>26</v>
      </c>
      <c r="D408" s="1" t="s">
        <v>15</v>
      </c>
      <c r="E408" s="3">
        <v>150</v>
      </c>
      <c r="F408" s="3">
        <v>200</v>
      </c>
      <c r="G408" s="13">
        <v>724</v>
      </c>
      <c r="H408" s="3">
        <v>144800</v>
      </c>
      <c r="I408" s="3">
        <v>36200</v>
      </c>
      <c r="J408" s="1" t="s">
        <v>22</v>
      </c>
      <c r="K408" s="1" t="s">
        <v>41</v>
      </c>
      <c r="L408" s="1" t="s">
        <v>59</v>
      </c>
      <c r="M408" s="1">
        <v>2019</v>
      </c>
      <c r="N408" s="1" t="str">
        <f t="shared" si="6"/>
        <v>Anglophone</v>
      </c>
      <c r="O408" s="3" t="str">
        <f>_xlfn.XLOOKUP(D:D,MappingTable[Brand],MappingTable[Brand Type], "not found")</f>
        <v>Beer</v>
      </c>
      <c r="P408" t="str">
        <f>_xlfn.XLOOKUP(L:L,MappingTable2[Month],MappingTable2[Quarters],"NIL")</f>
        <v>Q4</v>
      </c>
      <c r="Q408" s="1"/>
    </row>
    <row r="409" spans="1:17" x14ac:dyDescent="0.2">
      <c r="A409" s="1">
        <v>10508</v>
      </c>
      <c r="B409" s="1" t="s">
        <v>19</v>
      </c>
      <c r="C409" s="1" t="s">
        <v>20</v>
      </c>
      <c r="D409" s="1" t="s">
        <v>21</v>
      </c>
      <c r="E409" s="3">
        <v>250</v>
      </c>
      <c r="F409" s="3">
        <v>500</v>
      </c>
      <c r="G409" s="13">
        <v>906</v>
      </c>
      <c r="H409" s="3">
        <v>453000</v>
      </c>
      <c r="I409" s="3">
        <v>226500</v>
      </c>
      <c r="J409" s="1" t="s">
        <v>28</v>
      </c>
      <c r="K409" s="1" t="s">
        <v>44</v>
      </c>
      <c r="L409" s="1" t="s">
        <v>60</v>
      </c>
      <c r="M409" s="1">
        <v>2018</v>
      </c>
      <c r="N409" s="1" t="str">
        <f t="shared" si="6"/>
        <v>Francophone</v>
      </c>
      <c r="O409" s="3" t="str">
        <f>_xlfn.XLOOKUP(D:D,MappingTable[Brand],MappingTable[Brand Type], "not found")</f>
        <v>Beer</v>
      </c>
      <c r="P409" t="str">
        <f>_xlfn.XLOOKUP(L:L,MappingTable2[Month],MappingTable2[Quarters],"NIL")</f>
        <v>Q4</v>
      </c>
      <c r="Q409" s="1"/>
    </row>
    <row r="410" spans="1:17" x14ac:dyDescent="0.2">
      <c r="A410" s="1">
        <v>10509</v>
      </c>
      <c r="B410" s="1" t="s">
        <v>25</v>
      </c>
      <c r="C410" s="1" t="s">
        <v>26</v>
      </c>
      <c r="D410" s="1" t="s">
        <v>27</v>
      </c>
      <c r="E410" s="3">
        <v>180</v>
      </c>
      <c r="F410" s="3">
        <v>450</v>
      </c>
      <c r="G410" s="13">
        <v>907</v>
      </c>
      <c r="H410" s="3">
        <v>408150</v>
      </c>
      <c r="I410" s="3">
        <v>244890</v>
      </c>
      <c r="J410" s="1" t="s">
        <v>34</v>
      </c>
      <c r="K410" s="1" t="s">
        <v>17</v>
      </c>
      <c r="L410" s="1" t="s">
        <v>18</v>
      </c>
      <c r="M410" s="1">
        <v>2018</v>
      </c>
      <c r="N410" s="1" t="str">
        <f t="shared" si="6"/>
        <v>Francophone</v>
      </c>
      <c r="O410" s="3" t="str">
        <f>_xlfn.XLOOKUP(D:D,MappingTable[Brand],MappingTable[Brand Type], "not found")</f>
        <v>Beer</v>
      </c>
      <c r="P410" t="str">
        <f>_xlfn.XLOOKUP(L:L,MappingTable2[Month],MappingTable2[Quarters],"NIL")</f>
        <v>Q1</v>
      </c>
      <c r="Q410" s="1"/>
    </row>
    <row r="411" spans="1:17" x14ac:dyDescent="0.2">
      <c r="A411" s="1">
        <v>10510</v>
      </c>
      <c r="B411" s="1" t="s">
        <v>46</v>
      </c>
      <c r="C411" s="1" t="s">
        <v>47</v>
      </c>
      <c r="D411" s="1" t="s">
        <v>33</v>
      </c>
      <c r="E411" s="3">
        <v>170</v>
      </c>
      <c r="F411" s="3">
        <v>250</v>
      </c>
      <c r="G411" s="13">
        <v>712</v>
      </c>
      <c r="H411" s="3">
        <v>178000</v>
      </c>
      <c r="I411" s="3">
        <v>56960</v>
      </c>
      <c r="J411" s="1" t="s">
        <v>40</v>
      </c>
      <c r="K411" s="1" t="s">
        <v>23</v>
      </c>
      <c r="L411" s="1" t="s">
        <v>24</v>
      </c>
      <c r="M411" s="1">
        <v>2019</v>
      </c>
      <c r="N411" s="1" t="str">
        <f t="shared" si="6"/>
        <v>Francophone</v>
      </c>
      <c r="O411" s="3" t="str">
        <f>_xlfn.XLOOKUP(D:D,MappingTable[Brand],MappingTable[Brand Type], "not found")</f>
        <v>Beer</v>
      </c>
      <c r="P411" t="str">
        <f>_xlfn.XLOOKUP(L:L,MappingTable2[Month],MappingTable2[Quarters],"NIL")</f>
        <v>Q1</v>
      </c>
      <c r="Q411" s="1"/>
    </row>
    <row r="412" spans="1:17" x14ac:dyDescent="0.2">
      <c r="A412" s="1">
        <v>10511</v>
      </c>
      <c r="B412" s="1" t="s">
        <v>37</v>
      </c>
      <c r="C412" s="1" t="s">
        <v>38</v>
      </c>
      <c r="D412" s="1" t="s">
        <v>39</v>
      </c>
      <c r="E412" s="3">
        <v>150</v>
      </c>
      <c r="F412" s="3">
        <v>200</v>
      </c>
      <c r="G412" s="13">
        <v>859</v>
      </c>
      <c r="H412" s="3">
        <v>171800</v>
      </c>
      <c r="I412" s="3">
        <v>42950</v>
      </c>
      <c r="J412" s="1" t="s">
        <v>16</v>
      </c>
      <c r="K412" s="1" t="s">
        <v>29</v>
      </c>
      <c r="L412" s="1" t="s">
        <v>30</v>
      </c>
      <c r="M412" s="1">
        <v>2018</v>
      </c>
      <c r="N412" s="1" t="str">
        <f t="shared" si="6"/>
        <v>Anglophone</v>
      </c>
      <c r="O412" s="3" t="str">
        <f>_xlfn.XLOOKUP(D:D,MappingTable[Brand],MappingTable[Brand Type], "not found")</f>
        <v>Beer</v>
      </c>
      <c r="P412" t="str">
        <f>_xlfn.XLOOKUP(L:L,MappingTable2[Month],MappingTable2[Quarters],"NIL")</f>
        <v>Q1</v>
      </c>
      <c r="Q412" s="1"/>
    </row>
    <row r="413" spans="1:17" x14ac:dyDescent="0.2">
      <c r="A413" s="1">
        <v>10512</v>
      </c>
      <c r="B413" s="1" t="s">
        <v>13</v>
      </c>
      <c r="C413" s="1" t="s">
        <v>14</v>
      </c>
      <c r="D413" s="1" t="s">
        <v>43</v>
      </c>
      <c r="E413" s="3">
        <v>80</v>
      </c>
      <c r="F413" s="3">
        <v>150</v>
      </c>
      <c r="G413" s="13">
        <v>770</v>
      </c>
      <c r="H413" s="3">
        <v>115500</v>
      </c>
      <c r="I413" s="3">
        <v>53900</v>
      </c>
      <c r="J413" s="1" t="s">
        <v>22</v>
      </c>
      <c r="K413" s="1" t="s">
        <v>35</v>
      </c>
      <c r="L413" s="1" t="s">
        <v>36</v>
      </c>
      <c r="M413" s="1">
        <v>2018</v>
      </c>
      <c r="N413" s="1" t="str">
        <f t="shared" si="6"/>
        <v>Anglophone</v>
      </c>
      <c r="O413" s="3" t="str">
        <f>_xlfn.XLOOKUP(D:D,MappingTable[Brand],MappingTable[Brand Type], "not found")</f>
        <v>Malt</v>
      </c>
      <c r="P413" t="str">
        <f>_xlfn.XLOOKUP(L:L,MappingTable2[Month],MappingTable2[Quarters],"NIL")</f>
        <v>Q2</v>
      </c>
      <c r="Q413" s="1"/>
    </row>
    <row r="414" spans="1:17" x14ac:dyDescent="0.2">
      <c r="A414" s="1">
        <v>10513</v>
      </c>
      <c r="B414" s="1" t="s">
        <v>13</v>
      </c>
      <c r="C414" s="1" t="s">
        <v>14</v>
      </c>
      <c r="D414" s="1" t="s">
        <v>48</v>
      </c>
      <c r="E414" s="3">
        <v>90</v>
      </c>
      <c r="F414" s="3">
        <v>150</v>
      </c>
      <c r="G414" s="13">
        <v>775</v>
      </c>
      <c r="H414" s="3">
        <v>116250</v>
      </c>
      <c r="I414" s="3">
        <v>46500</v>
      </c>
      <c r="J414" s="1" t="s">
        <v>28</v>
      </c>
      <c r="K414" s="1" t="s">
        <v>41</v>
      </c>
      <c r="L414" s="1" t="s">
        <v>42</v>
      </c>
      <c r="M414" s="1">
        <v>2019</v>
      </c>
      <c r="N414" s="1" t="str">
        <f t="shared" si="6"/>
        <v>Francophone</v>
      </c>
      <c r="O414" s="3" t="str">
        <f>_xlfn.XLOOKUP(D:D,MappingTable[Brand],MappingTable[Brand Type], "not found")</f>
        <v>Malt</v>
      </c>
      <c r="P414" t="str">
        <f>_xlfn.XLOOKUP(L:L,MappingTable2[Month],MappingTable2[Quarters],"NIL")</f>
        <v>Q2</v>
      </c>
      <c r="Q414" s="1"/>
    </row>
    <row r="415" spans="1:17" x14ac:dyDescent="0.2">
      <c r="A415" s="1">
        <v>10514</v>
      </c>
      <c r="B415" s="1" t="s">
        <v>37</v>
      </c>
      <c r="C415" s="1" t="s">
        <v>38</v>
      </c>
      <c r="D415" s="1" t="s">
        <v>15</v>
      </c>
      <c r="E415" s="3">
        <v>150</v>
      </c>
      <c r="F415" s="3">
        <v>200</v>
      </c>
      <c r="G415" s="13">
        <v>820</v>
      </c>
      <c r="H415" s="3">
        <v>164000</v>
      </c>
      <c r="I415" s="3">
        <v>41000</v>
      </c>
      <c r="J415" s="1" t="s">
        <v>34</v>
      </c>
      <c r="K415" s="1" t="s">
        <v>44</v>
      </c>
      <c r="L415" s="1" t="s">
        <v>45</v>
      </c>
      <c r="M415" s="1">
        <v>2019</v>
      </c>
      <c r="N415" s="1" t="str">
        <f t="shared" si="6"/>
        <v>Francophone</v>
      </c>
      <c r="O415" s="3" t="str">
        <f>_xlfn.XLOOKUP(D:D,MappingTable[Brand],MappingTable[Brand Type], "not found")</f>
        <v>Beer</v>
      </c>
      <c r="P415" t="str">
        <f>_xlfn.XLOOKUP(L:L,MappingTable2[Month],MappingTable2[Quarters],"NIL")</f>
        <v>Q2</v>
      </c>
      <c r="Q415" s="1"/>
    </row>
    <row r="416" spans="1:17" x14ac:dyDescent="0.2">
      <c r="A416" s="1">
        <v>10515</v>
      </c>
      <c r="B416" s="1" t="s">
        <v>13</v>
      </c>
      <c r="C416" s="1" t="s">
        <v>14</v>
      </c>
      <c r="D416" s="1" t="s">
        <v>21</v>
      </c>
      <c r="E416" s="3">
        <v>250</v>
      </c>
      <c r="F416" s="3">
        <v>500</v>
      </c>
      <c r="G416" s="13">
        <v>833</v>
      </c>
      <c r="H416" s="3">
        <v>416500</v>
      </c>
      <c r="I416" s="3">
        <v>208250</v>
      </c>
      <c r="J416" s="1" t="s">
        <v>40</v>
      </c>
      <c r="K416" s="1" t="s">
        <v>17</v>
      </c>
      <c r="L416" s="1" t="s">
        <v>49</v>
      </c>
      <c r="M416" s="1">
        <v>2018</v>
      </c>
      <c r="N416" s="1" t="str">
        <f t="shared" si="6"/>
        <v>Francophone</v>
      </c>
      <c r="O416" s="3" t="str">
        <f>_xlfn.XLOOKUP(D:D,MappingTable[Brand],MappingTable[Brand Type], "not found")</f>
        <v>Beer</v>
      </c>
      <c r="P416" t="str">
        <f>_xlfn.XLOOKUP(L:L,MappingTable2[Month],MappingTable2[Quarters],"NIL")</f>
        <v>Q3</v>
      </c>
      <c r="Q416" s="1"/>
    </row>
    <row r="417" spans="1:17" x14ac:dyDescent="0.2">
      <c r="A417" s="1">
        <v>10516</v>
      </c>
      <c r="B417" s="1" t="s">
        <v>19</v>
      </c>
      <c r="C417" s="1" t="s">
        <v>20</v>
      </c>
      <c r="D417" s="1" t="s">
        <v>27</v>
      </c>
      <c r="E417" s="3">
        <v>180</v>
      </c>
      <c r="F417" s="3">
        <v>450</v>
      </c>
      <c r="G417" s="13">
        <v>735</v>
      </c>
      <c r="H417" s="3">
        <v>330750</v>
      </c>
      <c r="I417" s="3">
        <v>198450</v>
      </c>
      <c r="J417" s="1" t="s">
        <v>16</v>
      </c>
      <c r="K417" s="1" t="s">
        <v>23</v>
      </c>
      <c r="L417" s="1" t="s">
        <v>50</v>
      </c>
      <c r="M417" s="1">
        <v>2017</v>
      </c>
      <c r="N417" s="1" t="str">
        <f t="shared" si="6"/>
        <v>Anglophone</v>
      </c>
      <c r="O417" s="3" t="str">
        <f>_xlfn.XLOOKUP(D:D,MappingTable[Brand],MappingTable[Brand Type], "not found")</f>
        <v>Beer</v>
      </c>
      <c r="P417" t="str">
        <f>_xlfn.XLOOKUP(L:L,MappingTable2[Month],MappingTable2[Quarters],"NIL")</f>
        <v>Q3</v>
      </c>
      <c r="Q417" s="1"/>
    </row>
    <row r="418" spans="1:17" x14ac:dyDescent="0.2">
      <c r="A418" s="1">
        <v>10517</v>
      </c>
      <c r="B418" s="1" t="s">
        <v>25</v>
      </c>
      <c r="C418" s="1" t="s">
        <v>26</v>
      </c>
      <c r="D418" s="1" t="s">
        <v>33</v>
      </c>
      <c r="E418" s="3">
        <v>170</v>
      </c>
      <c r="F418" s="3">
        <v>250</v>
      </c>
      <c r="G418" s="13">
        <v>884</v>
      </c>
      <c r="H418" s="3">
        <v>221000</v>
      </c>
      <c r="I418" s="3">
        <v>70720</v>
      </c>
      <c r="J418" s="1" t="s">
        <v>22</v>
      </c>
      <c r="K418" s="1" t="s">
        <v>29</v>
      </c>
      <c r="L418" s="1" t="s">
        <v>53</v>
      </c>
      <c r="M418" s="1">
        <v>2017</v>
      </c>
      <c r="N418" s="1" t="str">
        <f t="shared" si="6"/>
        <v>Anglophone</v>
      </c>
      <c r="O418" s="3" t="str">
        <f>_xlfn.XLOOKUP(D:D,MappingTable[Brand],MappingTable[Brand Type], "not found")</f>
        <v>Beer</v>
      </c>
      <c r="P418" t="str">
        <f>_xlfn.XLOOKUP(L:L,MappingTable2[Month],MappingTable2[Quarters],"NIL")</f>
        <v>Q3</v>
      </c>
      <c r="Q418" s="1"/>
    </row>
    <row r="419" spans="1:17" x14ac:dyDescent="0.2">
      <c r="A419" s="1">
        <v>10518</v>
      </c>
      <c r="B419" s="1" t="s">
        <v>31</v>
      </c>
      <c r="C419" s="1" t="s">
        <v>32</v>
      </c>
      <c r="D419" s="1" t="s">
        <v>39</v>
      </c>
      <c r="E419" s="3">
        <v>150</v>
      </c>
      <c r="F419" s="3">
        <v>200</v>
      </c>
      <c r="G419" s="13">
        <v>888</v>
      </c>
      <c r="H419" s="3">
        <v>177600</v>
      </c>
      <c r="I419" s="3">
        <v>44400</v>
      </c>
      <c r="J419" s="1" t="s">
        <v>28</v>
      </c>
      <c r="K419" s="1" t="s">
        <v>35</v>
      </c>
      <c r="L419" s="1" t="s">
        <v>56</v>
      </c>
      <c r="M419" s="1">
        <v>2019</v>
      </c>
      <c r="N419" s="1" t="str">
        <f t="shared" si="6"/>
        <v>Francophone</v>
      </c>
      <c r="O419" s="3" t="str">
        <f>_xlfn.XLOOKUP(D:D,MappingTable[Brand],MappingTable[Brand Type], "not found")</f>
        <v>Beer</v>
      </c>
      <c r="P419" t="str">
        <f>_xlfn.XLOOKUP(L:L,MappingTable2[Month],MappingTable2[Quarters],"NIL")</f>
        <v>Q4</v>
      </c>
      <c r="Q419" s="1"/>
    </row>
    <row r="420" spans="1:17" x14ac:dyDescent="0.2">
      <c r="A420" s="1">
        <v>10519</v>
      </c>
      <c r="B420" s="1" t="s">
        <v>37</v>
      </c>
      <c r="C420" s="1" t="s">
        <v>38</v>
      </c>
      <c r="D420" s="1" t="s">
        <v>43</v>
      </c>
      <c r="E420" s="3">
        <v>80</v>
      </c>
      <c r="F420" s="3">
        <v>150</v>
      </c>
      <c r="G420" s="13">
        <v>756</v>
      </c>
      <c r="H420" s="3">
        <v>113400</v>
      </c>
      <c r="I420" s="3">
        <v>52920</v>
      </c>
      <c r="J420" s="1" t="s">
        <v>34</v>
      </c>
      <c r="K420" s="1" t="s">
        <v>41</v>
      </c>
      <c r="L420" s="1" t="s">
        <v>59</v>
      </c>
      <c r="M420" s="1">
        <v>2017</v>
      </c>
      <c r="N420" s="1" t="str">
        <f t="shared" si="6"/>
        <v>Francophone</v>
      </c>
      <c r="O420" s="3" t="str">
        <f>_xlfn.XLOOKUP(D:D,MappingTable[Brand],MappingTable[Brand Type], "not found")</f>
        <v>Malt</v>
      </c>
      <c r="P420" t="str">
        <f>_xlfn.XLOOKUP(L:L,MappingTable2[Month],MappingTable2[Quarters],"NIL")</f>
        <v>Q4</v>
      </c>
      <c r="Q420" s="1"/>
    </row>
    <row r="421" spans="1:17" x14ac:dyDescent="0.2">
      <c r="A421" s="1">
        <v>10520</v>
      </c>
      <c r="B421" s="1" t="s">
        <v>13</v>
      </c>
      <c r="C421" s="1" t="s">
        <v>14</v>
      </c>
      <c r="D421" s="1" t="s">
        <v>48</v>
      </c>
      <c r="E421" s="3">
        <v>90</v>
      </c>
      <c r="F421" s="3">
        <v>150</v>
      </c>
      <c r="G421" s="13">
        <v>787</v>
      </c>
      <c r="H421" s="3">
        <v>118050</v>
      </c>
      <c r="I421" s="3">
        <v>47220</v>
      </c>
      <c r="J421" s="1" t="s">
        <v>40</v>
      </c>
      <c r="K421" s="1" t="s">
        <v>44</v>
      </c>
      <c r="L421" s="1" t="s">
        <v>60</v>
      </c>
      <c r="M421" s="1">
        <v>2019</v>
      </c>
      <c r="N421" s="1" t="str">
        <f t="shared" si="6"/>
        <v>Francophone</v>
      </c>
      <c r="O421" s="3" t="str">
        <f>_xlfn.XLOOKUP(D:D,MappingTable[Brand],MappingTable[Brand Type], "not found")</f>
        <v>Malt</v>
      </c>
      <c r="P421" t="str">
        <f>_xlfn.XLOOKUP(L:L,MappingTable2[Month],MappingTable2[Quarters],"NIL")</f>
        <v>Q4</v>
      </c>
      <c r="Q421" s="1"/>
    </row>
    <row r="422" spans="1:17" x14ac:dyDescent="0.2">
      <c r="A422" s="1">
        <v>10521</v>
      </c>
      <c r="B422" s="1" t="s">
        <v>46</v>
      </c>
      <c r="C422" s="1" t="s">
        <v>47</v>
      </c>
      <c r="D422" s="1" t="s">
        <v>15</v>
      </c>
      <c r="E422" s="3">
        <v>150</v>
      </c>
      <c r="F422" s="3">
        <v>200</v>
      </c>
      <c r="G422" s="13">
        <v>804</v>
      </c>
      <c r="H422" s="3">
        <v>160800</v>
      </c>
      <c r="I422" s="3">
        <v>40200</v>
      </c>
      <c r="J422" s="1" t="s">
        <v>16</v>
      </c>
      <c r="K422" s="1" t="s">
        <v>17</v>
      </c>
      <c r="L422" s="1" t="s">
        <v>18</v>
      </c>
      <c r="M422" s="1">
        <v>2018</v>
      </c>
      <c r="N422" s="1" t="str">
        <f t="shared" si="6"/>
        <v>Anglophone</v>
      </c>
      <c r="O422" s="3" t="str">
        <f>_xlfn.XLOOKUP(D:D,MappingTable[Brand],MappingTable[Brand Type], "not found")</f>
        <v>Beer</v>
      </c>
      <c r="P422" t="str">
        <f>_xlfn.XLOOKUP(L:L,MappingTable2[Month],MappingTable2[Quarters],"NIL")</f>
        <v>Q1</v>
      </c>
      <c r="Q422" s="1"/>
    </row>
    <row r="423" spans="1:17" x14ac:dyDescent="0.2">
      <c r="A423" s="1">
        <v>10522</v>
      </c>
      <c r="B423" s="1" t="s">
        <v>31</v>
      </c>
      <c r="C423" s="1" t="s">
        <v>32</v>
      </c>
      <c r="D423" s="1" t="s">
        <v>21</v>
      </c>
      <c r="E423" s="3">
        <v>250</v>
      </c>
      <c r="F423" s="3">
        <v>500</v>
      </c>
      <c r="G423" s="13">
        <v>986</v>
      </c>
      <c r="H423" s="3">
        <v>493000</v>
      </c>
      <c r="I423" s="3">
        <v>246500</v>
      </c>
      <c r="J423" s="1" t="s">
        <v>22</v>
      </c>
      <c r="K423" s="1" t="s">
        <v>23</v>
      </c>
      <c r="L423" s="1" t="s">
        <v>24</v>
      </c>
      <c r="M423" s="1">
        <v>2018</v>
      </c>
      <c r="N423" s="1" t="str">
        <f t="shared" si="6"/>
        <v>Anglophone</v>
      </c>
      <c r="O423" s="3" t="str">
        <f>_xlfn.XLOOKUP(D:D,MappingTable[Brand],MappingTable[Brand Type], "not found")</f>
        <v>Beer</v>
      </c>
      <c r="P423" t="str">
        <f>_xlfn.XLOOKUP(L:L,MappingTable2[Month],MappingTable2[Quarters],"NIL")</f>
        <v>Q1</v>
      </c>
      <c r="Q423" s="1"/>
    </row>
    <row r="424" spans="1:17" x14ac:dyDescent="0.2">
      <c r="A424" s="1">
        <v>10523</v>
      </c>
      <c r="B424" s="1" t="s">
        <v>51</v>
      </c>
      <c r="C424" s="1" t="s">
        <v>52</v>
      </c>
      <c r="D424" s="1" t="s">
        <v>27</v>
      </c>
      <c r="E424" s="3">
        <v>180</v>
      </c>
      <c r="F424" s="3">
        <v>450</v>
      </c>
      <c r="G424" s="13">
        <v>856</v>
      </c>
      <c r="H424" s="3">
        <v>385200</v>
      </c>
      <c r="I424" s="3">
        <v>231120</v>
      </c>
      <c r="J424" s="1" t="s">
        <v>28</v>
      </c>
      <c r="K424" s="1" t="s">
        <v>29</v>
      </c>
      <c r="L424" s="1" t="s">
        <v>30</v>
      </c>
      <c r="M424" s="1">
        <v>2018</v>
      </c>
      <c r="N424" s="1" t="str">
        <f t="shared" si="6"/>
        <v>Francophone</v>
      </c>
      <c r="O424" s="3" t="str">
        <f>_xlfn.XLOOKUP(D:D,MappingTable[Brand],MappingTable[Brand Type], "not found")</f>
        <v>Beer</v>
      </c>
      <c r="P424" t="str">
        <f>_xlfn.XLOOKUP(L:L,MappingTable2[Month],MappingTable2[Quarters],"NIL")</f>
        <v>Q1</v>
      </c>
      <c r="Q424" s="1"/>
    </row>
    <row r="425" spans="1:17" x14ac:dyDescent="0.2">
      <c r="A425" s="1">
        <v>10524</v>
      </c>
      <c r="B425" s="1" t="s">
        <v>54</v>
      </c>
      <c r="C425" s="1" t="s">
        <v>55</v>
      </c>
      <c r="D425" s="1" t="s">
        <v>33</v>
      </c>
      <c r="E425" s="3">
        <v>170</v>
      </c>
      <c r="F425" s="3">
        <v>250</v>
      </c>
      <c r="G425" s="13">
        <v>835</v>
      </c>
      <c r="H425" s="3">
        <v>208750</v>
      </c>
      <c r="I425" s="3">
        <v>66800</v>
      </c>
      <c r="J425" s="1" t="s">
        <v>34</v>
      </c>
      <c r="K425" s="1" t="s">
        <v>35</v>
      </c>
      <c r="L425" s="1" t="s">
        <v>36</v>
      </c>
      <c r="M425" s="1">
        <v>2018</v>
      </c>
      <c r="N425" s="1" t="str">
        <f t="shared" si="6"/>
        <v>Francophone</v>
      </c>
      <c r="O425" s="3" t="str">
        <f>_xlfn.XLOOKUP(D:D,MappingTable[Brand],MappingTable[Brand Type], "not found")</f>
        <v>Beer</v>
      </c>
      <c r="P425" t="str">
        <f>_xlfn.XLOOKUP(L:L,MappingTable2[Month],MappingTable2[Quarters],"NIL")</f>
        <v>Q2</v>
      </c>
      <c r="Q425" s="1"/>
    </row>
    <row r="426" spans="1:17" x14ac:dyDescent="0.2">
      <c r="A426" s="1">
        <v>10525</v>
      </c>
      <c r="B426" s="1" t="s">
        <v>57</v>
      </c>
      <c r="C426" s="1" t="s">
        <v>58</v>
      </c>
      <c r="D426" s="1" t="s">
        <v>39</v>
      </c>
      <c r="E426" s="3">
        <v>150</v>
      </c>
      <c r="F426" s="3">
        <v>200</v>
      </c>
      <c r="G426" s="13">
        <v>938</v>
      </c>
      <c r="H426" s="3">
        <v>187600</v>
      </c>
      <c r="I426" s="3">
        <v>46900</v>
      </c>
      <c r="J426" s="1" t="s">
        <v>40</v>
      </c>
      <c r="K426" s="1" t="s">
        <v>41</v>
      </c>
      <c r="L426" s="1" t="s">
        <v>42</v>
      </c>
      <c r="M426" s="1">
        <v>2018</v>
      </c>
      <c r="N426" s="1" t="str">
        <f t="shared" si="6"/>
        <v>Francophone</v>
      </c>
      <c r="O426" s="3" t="str">
        <f>_xlfn.XLOOKUP(D:D,MappingTable[Brand],MappingTable[Brand Type], "not found")</f>
        <v>Beer</v>
      </c>
      <c r="P426" t="str">
        <f>_xlfn.XLOOKUP(L:L,MappingTable2[Month],MappingTable2[Quarters],"NIL")</f>
        <v>Q2</v>
      </c>
      <c r="Q426" s="1"/>
    </row>
    <row r="427" spans="1:17" x14ac:dyDescent="0.2">
      <c r="A427" s="1">
        <v>10526</v>
      </c>
      <c r="B427" s="1" t="s">
        <v>31</v>
      </c>
      <c r="C427" s="1" t="s">
        <v>32</v>
      </c>
      <c r="D427" s="1" t="s">
        <v>43</v>
      </c>
      <c r="E427" s="3">
        <v>80</v>
      </c>
      <c r="F427" s="3">
        <v>150</v>
      </c>
      <c r="G427" s="13">
        <v>719</v>
      </c>
      <c r="H427" s="3">
        <v>107850</v>
      </c>
      <c r="I427" s="3">
        <v>50330</v>
      </c>
      <c r="J427" s="1" t="s">
        <v>16</v>
      </c>
      <c r="K427" s="1" t="s">
        <v>44</v>
      </c>
      <c r="L427" s="1" t="s">
        <v>45</v>
      </c>
      <c r="M427" s="1">
        <v>2018</v>
      </c>
      <c r="N427" s="1" t="str">
        <f t="shared" si="6"/>
        <v>Anglophone</v>
      </c>
      <c r="O427" s="3" t="str">
        <f>_xlfn.XLOOKUP(D:D,MappingTable[Brand],MappingTable[Brand Type], "not found")</f>
        <v>Malt</v>
      </c>
      <c r="P427" t="str">
        <f>_xlfn.XLOOKUP(L:L,MappingTable2[Month],MappingTable2[Quarters],"NIL")</f>
        <v>Q2</v>
      </c>
      <c r="Q427" s="1"/>
    </row>
    <row r="428" spans="1:17" x14ac:dyDescent="0.2">
      <c r="A428" s="1">
        <v>10527</v>
      </c>
      <c r="B428" s="1" t="s">
        <v>61</v>
      </c>
      <c r="C428" s="1" t="s">
        <v>62</v>
      </c>
      <c r="D428" s="1" t="s">
        <v>48</v>
      </c>
      <c r="E428" s="3">
        <v>90</v>
      </c>
      <c r="F428" s="3">
        <v>150</v>
      </c>
      <c r="G428" s="13">
        <v>868</v>
      </c>
      <c r="H428" s="3">
        <v>130200</v>
      </c>
      <c r="I428" s="3">
        <v>52080</v>
      </c>
      <c r="J428" s="1" t="s">
        <v>22</v>
      </c>
      <c r="K428" s="1" t="s">
        <v>17</v>
      </c>
      <c r="L428" s="1" t="s">
        <v>49</v>
      </c>
      <c r="M428" s="1">
        <v>2017</v>
      </c>
      <c r="N428" s="1" t="str">
        <f t="shared" si="6"/>
        <v>Anglophone</v>
      </c>
      <c r="O428" s="3" t="str">
        <f>_xlfn.XLOOKUP(D:D,MappingTable[Brand],MappingTable[Brand Type], "not found")</f>
        <v>Malt</v>
      </c>
      <c r="P428" t="str">
        <f>_xlfn.XLOOKUP(L:L,MappingTable2[Month],MappingTable2[Quarters],"NIL")</f>
        <v>Q3</v>
      </c>
      <c r="Q428" s="1"/>
    </row>
    <row r="429" spans="1:17" x14ac:dyDescent="0.2">
      <c r="A429" s="1">
        <v>10528</v>
      </c>
      <c r="B429" s="1" t="s">
        <v>31</v>
      </c>
      <c r="C429" s="1" t="s">
        <v>32</v>
      </c>
      <c r="D429" s="1" t="s">
        <v>15</v>
      </c>
      <c r="E429" s="3">
        <v>150</v>
      </c>
      <c r="F429" s="3">
        <v>200</v>
      </c>
      <c r="G429" s="13">
        <v>885</v>
      </c>
      <c r="H429" s="3">
        <v>177000</v>
      </c>
      <c r="I429" s="3">
        <v>44250</v>
      </c>
      <c r="J429" s="1" t="s">
        <v>28</v>
      </c>
      <c r="K429" s="1" t="s">
        <v>23</v>
      </c>
      <c r="L429" s="1" t="s">
        <v>50</v>
      </c>
      <c r="M429" s="1">
        <v>2018</v>
      </c>
      <c r="N429" s="1" t="str">
        <f t="shared" si="6"/>
        <v>Francophone</v>
      </c>
      <c r="O429" s="3" t="str">
        <f>_xlfn.XLOOKUP(D:D,MappingTable[Brand],MappingTable[Brand Type], "not found")</f>
        <v>Beer</v>
      </c>
      <c r="P429" t="str">
        <f>_xlfn.XLOOKUP(L:L,MappingTable2[Month],MappingTable2[Quarters],"NIL")</f>
        <v>Q3</v>
      </c>
      <c r="Q429" s="1"/>
    </row>
    <row r="430" spans="1:17" x14ac:dyDescent="0.2">
      <c r="A430" s="1">
        <v>10529</v>
      </c>
      <c r="B430" s="1" t="s">
        <v>13</v>
      </c>
      <c r="C430" s="1" t="s">
        <v>14</v>
      </c>
      <c r="D430" s="1" t="s">
        <v>21</v>
      </c>
      <c r="E430" s="3">
        <v>250</v>
      </c>
      <c r="F430" s="3">
        <v>500</v>
      </c>
      <c r="G430" s="13">
        <v>943</v>
      </c>
      <c r="H430" s="3">
        <v>471500</v>
      </c>
      <c r="I430" s="3">
        <v>235750</v>
      </c>
      <c r="J430" s="1" t="s">
        <v>34</v>
      </c>
      <c r="K430" s="1" t="s">
        <v>29</v>
      </c>
      <c r="L430" s="1" t="s">
        <v>53</v>
      </c>
      <c r="M430" s="1">
        <v>2018</v>
      </c>
      <c r="N430" s="1" t="str">
        <f t="shared" si="6"/>
        <v>Francophone</v>
      </c>
      <c r="O430" s="3" t="str">
        <f>_xlfn.XLOOKUP(D:D,MappingTable[Brand],MappingTable[Brand Type], "not found")</f>
        <v>Beer</v>
      </c>
      <c r="P430" t="str">
        <f>_xlfn.XLOOKUP(L:L,MappingTable2[Month],MappingTable2[Quarters],"NIL")</f>
        <v>Q3</v>
      </c>
      <c r="Q430" s="1"/>
    </row>
    <row r="431" spans="1:17" x14ac:dyDescent="0.2">
      <c r="A431" s="1">
        <v>10530</v>
      </c>
      <c r="B431" s="1" t="s">
        <v>19</v>
      </c>
      <c r="C431" s="1" t="s">
        <v>20</v>
      </c>
      <c r="D431" s="1" t="s">
        <v>27</v>
      </c>
      <c r="E431" s="3">
        <v>180</v>
      </c>
      <c r="F431" s="3">
        <v>450</v>
      </c>
      <c r="G431" s="13">
        <v>900</v>
      </c>
      <c r="H431" s="3">
        <v>405000</v>
      </c>
      <c r="I431" s="3">
        <v>243000</v>
      </c>
      <c r="J431" s="1" t="s">
        <v>40</v>
      </c>
      <c r="K431" s="1" t="s">
        <v>35</v>
      </c>
      <c r="L431" s="1" t="s">
        <v>56</v>
      </c>
      <c r="M431" s="1">
        <v>2017</v>
      </c>
      <c r="N431" s="1" t="str">
        <f t="shared" si="6"/>
        <v>Francophone</v>
      </c>
      <c r="O431" s="3" t="str">
        <f>_xlfn.XLOOKUP(D:D,MappingTable[Brand],MappingTable[Brand Type], "not found")</f>
        <v>Beer</v>
      </c>
      <c r="P431" t="str">
        <f>_xlfn.XLOOKUP(L:L,MappingTable2[Month],MappingTable2[Quarters],"NIL")</f>
        <v>Q4</v>
      </c>
      <c r="Q431" s="1"/>
    </row>
    <row r="432" spans="1:17" x14ac:dyDescent="0.2">
      <c r="A432" s="1">
        <v>10531</v>
      </c>
      <c r="B432" s="1" t="s">
        <v>25</v>
      </c>
      <c r="C432" s="1" t="s">
        <v>26</v>
      </c>
      <c r="D432" s="1" t="s">
        <v>33</v>
      </c>
      <c r="E432" s="3">
        <v>170</v>
      </c>
      <c r="F432" s="3">
        <v>250</v>
      </c>
      <c r="G432" s="13">
        <v>950</v>
      </c>
      <c r="H432" s="3">
        <v>237500</v>
      </c>
      <c r="I432" s="3">
        <v>76000</v>
      </c>
      <c r="J432" s="1" t="s">
        <v>16</v>
      </c>
      <c r="K432" s="1" t="s">
        <v>41</v>
      </c>
      <c r="L432" s="1" t="s">
        <v>59</v>
      </c>
      <c r="M432" s="1">
        <v>2019</v>
      </c>
      <c r="N432" s="1" t="str">
        <f t="shared" si="6"/>
        <v>Anglophone</v>
      </c>
      <c r="O432" s="3" t="str">
        <f>_xlfn.XLOOKUP(D:D,MappingTable[Brand],MappingTable[Brand Type], "not found")</f>
        <v>Beer</v>
      </c>
      <c r="P432" t="str">
        <f>_xlfn.XLOOKUP(L:L,MappingTable2[Month],MappingTable2[Quarters],"NIL")</f>
        <v>Q4</v>
      </c>
      <c r="Q432" s="1"/>
    </row>
    <row r="433" spans="1:17" x14ac:dyDescent="0.2">
      <c r="A433" s="1">
        <v>10532</v>
      </c>
      <c r="B433" s="1" t="s">
        <v>31</v>
      </c>
      <c r="C433" s="1" t="s">
        <v>32</v>
      </c>
      <c r="D433" s="1" t="s">
        <v>39</v>
      </c>
      <c r="E433" s="3">
        <v>150</v>
      </c>
      <c r="F433" s="3">
        <v>200</v>
      </c>
      <c r="G433" s="13">
        <v>742</v>
      </c>
      <c r="H433" s="3">
        <v>148400</v>
      </c>
      <c r="I433" s="3">
        <v>37100</v>
      </c>
      <c r="J433" s="1" t="s">
        <v>22</v>
      </c>
      <c r="K433" s="1" t="s">
        <v>44</v>
      </c>
      <c r="L433" s="1" t="s">
        <v>60</v>
      </c>
      <c r="M433" s="1">
        <v>2017</v>
      </c>
      <c r="N433" s="1" t="str">
        <f t="shared" si="6"/>
        <v>Anglophone</v>
      </c>
      <c r="O433" s="3" t="str">
        <f>_xlfn.XLOOKUP(D:D,MappingTable[Brand],MappingTable[Brand Type], "not found")</f>
        <v>Beer</v>
      </c>
      <c r="P433" t="str">
        <f>_xlfn.XLOOKUP(L:L,MappingTable2[Month],MappingTable2[Quarters],"NIL")</f>
        <v>Q4</v>
      </c>
      <c r="Q433" s="1"/>
    </row>
    <row r="434" spans="1:17" x14ac:dyDescent="0.2">
      <c r="A434" s="1">
        <v>10533</v>
      </c>
      <c r="B434" s="1" t="s">
        <v>37</v>
      </c>
      <c r="C434" s="1" t="s">
        <v>38</v>
      </c>
      <c r="D434" s="1" t="s">
        <v>43</v>
      </c>
      <c r="E434" s="3">
        <v>80</v>
      </c>
      <c r="F434" s="3">
        <v>150</v>
      </c>
      <c r="G434" s="13">
        <v>889</v>
      </c>
      <c r="H434" s="3">
        <v>133350</v>
      </c>
      <c r="I434" s="3">
        <v>62230</v>
      </c>
      <c r="J434" s="1" t="s">
        <v>28</v>
      </c>
      <c r="K434" s="1" t="s">
        <v>17</v>
      </c>
      <c r="L434" s="1" t="s">
        <v>18</v>
      </c>
      <c r="M434" s="1">
        <v>2018</v>
      </c>
      <c r="N434" s="1" t="str">
        <f t="shared" si="6"/>
        <v>Francophone</v>
      </c>
      <c r="O434" s="3" t="str">
        <f>_xlfn.XLOOKUP(D:D,MappingTable[Brand],MappingTable[Brand Type], "not found")</f>
        <v>Malt</v>
      </c>
      <c r="P434" t="str">
        <f>_xlfn.XLOOKUP(L:L,MappingTable2[Month],MappingTable2[Quarters],"NIL")</f>
        <v>Q1</v>
      </c>
      <c r="Q434" s="1"/>
    </row>
    <row r="435" spans="1:17" x14ac:dyDescent="0.2">
      <c r="A435" s="1">
        <v>10534</v>
      </c>
      <c r="B435" s="1" t="s">
        <v>13</v>
      </c>
      <c r="C435" s="1" t="s">
        <v>14</v>
      </c>
      <c r="D435" s="1" t="s">
        <v>48</v>
      </c>
      <c r="E435" s="3">
        <v>90</v>
      </c>
      <c r="F435" s="3">
        <v>150</v>
      </c>
      <c r="G435" s="13">
        <v>939</v>
      </c>
      <c r="H435" s="3">
        <v>140850</v>
      </c>
      <c r="I435" s="3">
        <v>56340</v>
      </c>
      <c r="J435" s="1" t="s">
        <v>34</v>
      </c>
      <c r="K435" s="1" t="s">
        <v>23</v>
      </c>
      <c r="L435" s="1" t="s">
        <v>24</v>
      </c>
      <c r="M435" s="1">
        <v>2018</v>
      </c>
      <c r="N435" s="1" t="str">
        <f t="shared" si="6"/>
        <v>Francophone</v>
      </c>
      <c r="O435" s="3" t="str">
        <f>_xlfn.XLOOKUP(D:D,MappingTable[Brand],MappingTable[Brand Type], "not found")</f>
        <v>Malt</v>
      </c>
      <c r="P435" t="str">
        <f>_xlfn.XLOOKUP(L:L,MappingTable2[Month],MappingTable2[Quarters],"NIL")</f>
        <v>Q1</v>
      </c>
      <c r="Q435" s="1"/>
    </row>
    <row r="436" spans="1:17" x14ac:dyDescent="0.2">
      <c r="A436" s="1">
        <v>10535</v>
      </c>
      <c r="B436" s="1" t="s">
        <v>46</v>
      </c>
      <c r="C436" s="1" t="s">
        <v>47</v>
      </c>
      <c r="D436" s="1" t="s">
        <v>15</v>
      </c>
      <c r="E436" s="3">
        <v>150</v>
      </c>
      <c r="F436" s="3">
        <v>200</v>
      </c>
      <c r="G436" s="13">
        <v>950</v>
      </c>
      <c r="H436" s="3">
        <v>190000</v>
      </c>
      <c r="I436" s="3">
        <v>47500</v>
      </c>
      <c r="J436" s="1" t="s">
        <v>40</v>
      </c>
      <c r="K436" s="1" t="s">
        <v>29</v>
      </c>
      <c r="L436" s="1" t="s">
        <v>30</v>
      </c>
      <c r="M436" s="1">
        <v>2018</v>
      </c>
      <c r="N436" s="1" t="str">
        <f t="shared" si="6"/>
        <v>Francophone</v>
      </c>
      <c r="O436" s="3" t="str">
        <f>_xlfn.XLOOKUP(D:D,MappingTable[Brand],MappingTable[Brand Type], "not found")</f>
        <v>Beer</v>
      </c>
      <c r="P436" t="str">
        <f>_xlfn.XLOOKUP(L:L,MappingTable2[Month],MappingTable2[Quarters],"NIL")</f>
        <v>Q1</v>
      </c>
      <c r="Q436" s="1"/>
    </row>
    <row r="437" spans="1:17" x14ac:dyDescent="0.2">
      <c r="A437" s="1">
        <v>10536</v>
      </c>
      <c r="B437" s="1" t="s">
        <v>31</v>
      </c>
      <c r="C437" s="1" t="s">
        <v>32</v>
      </c>
      <c r="D437" s="1" t="s">
        <v>21</v>
      </c>
      <c r="E437" s="3">
        <v>250</v>
      </c>
      <c r="F437" s="3">
        <v>500</v>
      </c>
      <c r="G437" s="13">
        <v>745</v>
      </c>
      <c r="H437" s="3">
        <v>372500</v>
      </c>
      <c r="I437" s="3">
        <v>186250</v>
      </c>
      <c r="J437" s="1" t="s">
        <v>16</v>
      </c>
      <c r="K437" s="1" t="s">
        <v>35</v>
      </c>
      <c r="L437" s="1" t="s">
        <v>36</v>
      </c>
      <c r="M437" s="1">
        <v>2018</v>
      </c>
      <c r="N437" s="1" t="str">
        <f t="shared" si="6"/>
        <v>Anglophone</v>
      </c>
      <c r="O437" s="3" t="str">
        <f>_xlfn.XLOOKUP(D:D,MappingTable[Brand],MappingTable[Brand Type], "not found")</f>
        <v>Beer</v>
      </c>
      <c r="P437" t="str">
        <f>_xlfn.XLOOKUP(L:L,MappingTable2[Month],MappingTable2[Quarters],"NIL")</f>
        <v>Q2</v>
      </c>
      <c r="Q437" s="1"/>
    </row>
    <row r="438" spans="1:17" x14ac:dyDescent="0.2">
      <c r="A438" s="1">
        <v>10537</v>
      </c>
      <c r="B438" s="1" t="s">
        <v>51</v>
      </c>
      <c r="C438" s="1" t="s">
        <v>52</v>
      </c>
      <c r="D438" s="1" t="s">
        <v>27</v>
      </c>
      <c r="E438" s="3">
        <v>180</v>
      </c>
      <c r="F438" s="3">
        <v>450</v>
      </c>
      <c r="G438" s="13">
        <v>933</v>
      </c>
      <c r="H438" s="3">
        <v>419850</v>
      </c>
      <c r="I438" s="3">
        <v>251910</v>
      </c>
      <c r="J438" s="1" t="s">
        <v>22</v>
      </c>
      <c r="K438" s="1" t="s">
        <v>41</v>
      </c>
      <c r="L438" s="1" t="s">
        <v>42</v>
      </c>
      <c r="M438" s="1">
        <v>2017</v>
      </c>
      <c r="N438" s="1" t="str">
        <f t="shared" si="6"/>
        <v>Anglophone</v>
      </c>
      <c r="O438" s="3" t="str">
        <f>_xlfn.XLOOKUP(D:D,MappingTable[Brand],MappingTable[Brand Type], "not found")</f>
        <v>Beer</v>
      </c>
      <c r="P438" t="str">
        <f>_xlfn.XLOOKUP(L:L,MappingTable2[Month],MappingTable2[Quarters],"NIL")</f>
        <v>Q2</v>
      </c>
      <c r="Q438" s="1"/>
    </row>
    <row r="439" spans="1:17" x14ac:dyDescent="0.2">
      <c r="A439" s="1">
        <v>10538</v>
      </c>
      <c r="B439" s="1" t="s">
        <v>54</v>
      </c>
      <c r="C439" s="1" t="s">
        <v>55</v>
      </c>
      <c r="D439" s="1" t="s">
        <v>33</v>
      </c>
      <c r="E439" s="3">
        <v>170</v>
      </c>
      <c r="F439" s="3">
        <v>250</v>
      </c>
      <c r="G439" s="13">
        <v>826</v>
      </c>
      <c r="H439" s="3">
        <v>206500</v>
      </c>
      <c r="I439" s="3">
        <v>66080</v>
      </c>
      <c r="J439" s="1" t="s">
        <v>28</v>
      </c>
      <c r="K439" s="1" t="s">
        <v>44</v>
      </c>
      <c r="L439" s="1" t="s">
        <v>45</v>
      </c>
      <c r="M439" s="1">
        <v>2017</v>
      </c>
      <c r="N439" s="1" t="str">
        <f t="shared" si="6"/>
        <v>Francophone</v>
      </c>
      <c r="O439" s="3" t="str">
        <f>_xlfn.XLOOKUP(D:D,MappingTable[Brand],MappingTable[Brand Type], "not found")</f>
        <v>Beer</v>
      </c>
      <c r="P439" t="str">
        <f>_xlfn.XLOOKUP(L:L,MappingTable2[Month],MappingTable2[Quarters],"NIL")</f>
        <v>Q2</v>
      </c>
      <c r="Q439" s="1"/>
    </row>
    <row r="440" spans="1:17" x14ac:dyDescent="0.2">
      <c r="A440" s="1">
        <v>10539</v>
      </c>
      <c r="B440" s="1" t="s">
        <v>57</v>
      </c>
      <c r="C440" s="1" t="s">
        <v>58</v>
      </c>
      <c r="D440" s="1" t="s">
        <v>39</v>
      </c>
      <c r="E440" s="3">
        <v>150</v>
      </c>
      <c r="F440" s="3">
        <v>200</v>
      </c>
      <c r="G440" s="13">
        <v>989</v>
      </c>
      <c r="H440" s="3">
        <v>197800</v>
      </c>
      <c r="I440" s="3">
        <v>49450</v>
      </c>
      <c r="J440" s="1" t="s">
        <v>34</v>
      </c>
      <c r="K440" s="1" t="s">
        <v>17</v>
      </c>
      <c r="L440" s="1" t="s">
        <v>49</v>
      </c>
      <c r="M440" s="1">
        <v>2017</v>
      </c>
      <c r="N440" s="1" t="str">
        <f t="shared" si="6"/>
        <v>Francophone</v>
      </c>
      <c r="O440" s="3" t="str">
        <f>_xlfn.XLOOKUP(D:D,MappingTable[Brand],MappingTable[Brand Type], "not found")</f>
        <v>Beer</v>
      </c>
      <c r="P440" t="str">
        <f>_xlfn.XLOOKUP(L:L,MappingTable2[Month],MappingTable2[Quarters],"NIL")</f>
        <v>Q3</v>
      </c>
      <c r="Q440" s="1"/>
    </row>
    <row r="441" spans="1:17" x14ac:dyDescent="0.2">
      <c r="A441" s="1">
        <v>10540</v>
      </c>
      <c r="B441" s="1" t="s">
        <v>31</v>
      </c>
      <c r="C441" s="1" t="s">
        <v>32</v>
      </c>
      <c r="D441" s="1" t="s">
        <v>43</v>
      </c>
      <c r="E441" s="3">
        <v>80</v>
      </c>
      <c r="F441" s="3">
        <v>150</v>
      </c>
      <c r="G441" s="13">
        <v>881</v>
      </c>
      <c r="H441" s="3">
        <v>132150</v>
      </c>
      <c r="I441" s="3">
        <v>61670</v>
      </c>
      <c r="J441" s="1" t="s">
        <v>40</v>
      </c>
      <c r="K441" s="1" t="s">
        <v>23</v>
      </c>
      <c r="L441" s="1" t="s">
        <v>50</v>
      </c>
      <c r="M441" s="1">
        <v>2019</v>
      </c>
      <c r="N441" s="1" t="str">
        <f t="shared" si="6"/>
        <v>Francophone</v>
      </c>
      <c r="O441" s="3" t="str">
        <f>_xlfn.XLOOKUP(D:D,MappingTable[Brand],MappingTable[Brand Type], "not found")</f>
        <v>Malt</v>
      </c>
      <c r="P441" t="str">
        <f>_xlfn.XLOOKUP(L:L,MappingTable2[Month],MappingTable2[Quarters],"NIL")</f>
        <v>Q3</v>
      </c>
      <c r="Q441" s="1"/>
    </row>
    <row r="442" spans="1:17" x14ac:dyDescent="0.2">
      <c r="A442" s="1">
        <v>10541</v>
      </c>
      <c r="B442" s="1" t="s">
        <v>61</v>
      </c>
      <c r="C442" s="1" t="s">
        <v>62</v>
      </c>
      <c r="D442" s="1" t="s">
        <v>48</v>
      </c>
      <c r="E442" s="3">
        <v>90</v>
      </c>
      <c r="F442" s="3">
        <v>150</v>
      </c>
      <c r="G442" s="13">
        <v>768</v>
      </c>
      <c r="H442" s="3">
        <v>115200</v>
      </c>
      <c r="I442" s="3">
        <v>46080</v>
      </c>
      <c r="J442" s="1" t="s">
        <v>16</v>
      </c>
      <c r="K442" s="1" t="s">
        <v>29</v>
      </c>
      <c r="L442" s="1" t="s">
        <v>53</v>
      </c>
      <c r="M442" s="1">
        <v>2019</v>
      </c>
      <c r="N442" s="1" t="str">
        <f t="shared" si="6"/>
        <v>Anglophone</v>
      </c>
      <c r="O442" s="3" t="str">
        <f>_xlfn.XLOOKUP(D:D,MappingTable[Brand],MappingTable[Brand Type], "not found")</f>
        <v>Malt</v>
      </c>
      <c r="P442" t="str">
        <f>_xlfn.XLOOKUP(L:L,MappingTable2[Month],MappingTable2[Quarters],"NIL")</f>
        <v>Q3</v>
      </c>
      <c r="Q442" s="1"/>
    </row>
    <row r="443" spans="1:17" x14ac:dyDescent="0.2">
      <c r="A443" s="1">
        <v>10542</v>
      </c>
      <c r="B443" s="1" t="s">
        <v>31</v>
      </c>
      <c r="C443" s="1" t="s">
        <v>32</v>
      </c>
      <c r="D443" s="1" t="s">
        <v>15</v>
      </c>
      <c r="E443" s="3">
        <v>150</v>
      </c>
      <c r="F443" s="3">
        <v>200</v>
      </c>
      <c r="G443" s="13">
        <v>844</v>
      </c>
      <c r="H443" s="3">
        <v>168800</v>
      </c>
      <c r="I443" s="3">
        <v>42200</v>
      </c>
      <c r="J443" s="1" t="s">
        <v>22</v>
      </c>
      <c r="K443" s="1" t="s">
        <v>35</v>
      </c>
      <c r="L443" s="1" t="s">
        <v>56</v>
      </c>
      <c r="M443" s="1">
        <v>2018</v>
      </c>
      <c r="N443" s="1" t="str">
        <f t="shared" si="6"/>
        <v>Anglophone</v>
      </c>
      <c r="O443" s="3" t="str">
        <f>_xlfn.XLOOKUP(D:D,MappingTable[Brand],MappingTable[Brand Type], "not found")</f>
        <v>Beer</v>
      </c>
      <c r="P443" t="str">
        <f>_xlfn.XLOOKUP(L:L,MappingTable2[Month],MappingTable2[Quarters],"NIL")</f>
        <v>Q4</v>
      </c>
      <c r="Q443" s="1"/>
    </row>
    <row r="444" spans="1:17" x14ac:dyDescent="0.2">
      <c r="A444" s="1">
        <v>10543</v>
      </c>
      <c r="B444" s="1" t="s">
        <v>51</v>
      </c>
      <c r="C444" s="1" t="s">
        <v>52</v>
      </c>
      <c r="D444" s="1" t="s">
        <v>21</v>
      </c>
      <c r="E444" s="3">
        <v>250</v>
      </c>
      <c r="F444" s="3">
        <v>500</v>
      </c>
      <c r="G444" s="13">
        <v>790</v>
      </c>
      <c r="H444" s="3">
        <v>395000</v>
      </c>
      <c r="I444" s="3">
        <v>197500</v>
      </c>
      <c r="J444" s="1" t="s">
        <v>28</v>
      </c>
      <c r="K444" s="1" t="s">
        <v>41</v>
      </c>
      <c r="L444" s="1" t="s">
        <v>59</v>
      </c>
      <c r="M444" s="1">
        <v>2017</v>
      </c>
      <c r="N444" s="1" t="str">
        <f t="shared" si="6"/>
        <v>Francophone</v>
      </c>
      <c r="O444" s="3" t="str">
        <f>_xlfn.XLOOKUP(D:D,MappingTable[Brand],MappingTable[Brand Type], "not found")</f>
        <v>Beer</v>
      </c>
      <c r="P444" t="str">
        <f>_xlfn.XLOOKUP(L:L,MappingTable2[Month],MappingTable2[Quarters],"NIL")</f>
        <v>Q4</v>
      </c>
      <c r="Q444" s="1"/>
    </row>
    <row r="445" spans="1:17" x14ac:dyDescent="0.2">
      <c r="A445" s="1">
        <v>10544</v>
      </c>
      <c r="B445" s="1" t="s">
        <v>31</v>
      </c>
      <c r="C445" s="1" t="s">
        <v>32</v>
      </c>
      <c r="D445" s="1" t="s">
        <v>27</v>
      </c>
      <c r="E445" s="3">
        <v>180</v>
      </c>
      <c r="F445" s="3">
        <v>450</v>
      </c>
      <c r="G445" s="13">
        <v>898</v>
      </c>
      <c r="H445" s="3">
        <v>404100</v>
      </c>
      <c r="I445" s="3">
        <v>242460</v>
      </c>
      <c r="J445" s="1" t="s">
        <v>34</v>
      </c>
      <c r="K445" s="1" t="s">
        <v>44</v>
      </c>
      <c r="L445" s="1" t="s">
        <v>60</v>
      </c>
      <c r="M445" s="1">
        <v>2018</v>
      </c>
      <c r="N445" s="1" t="str">
        <f t="shared" si="6"/>
        <v>Francophone</v>
      </c>
      <c r="O445" s="3" t="str">
        <f>_xlfn.XLOOKUP(D:D,MappingTable[Brand],MappingTable[Brand Type], "not found")</f>
        <v>Beer</v>
      </c>
      <c r="P445" t="str">
        <f>_xlfn.XLOOKUP(L:L,MappingTable2[Month],MappingTable2[Quarters],"NIL")</f>
        <v>Q4</v>
      </c>
      <c r="Q445" s="1"/>
    </row>
    <row r="446" spans="1:17" x14ac:dyDescent="0.2">
      <c r="A446" s="1">
        <v>10545</v>
      </c>
      <c r="B446" s="1" t="s">
        <v>57</v>
      </c>
      <c r="C446" s="1" t="s">
        <v>58</v>
      </c>
      <c r="D446" s="1" t="s">
        <v>33</v>
      </c>
      <c r="E446" s="3">
        <v>170</v>
      </c>
      <c r="F446" s="3">
        <v>250</v>
      </c>
      <c r="G446" s="13">
        <v>818</v>
      </c>
      <c r="H446" s="3">
        <v>204500</v>
      </c>
      <c r="I446" s="3">
        <v>65440</v>
      </c>
      <c r="J446" s="1" t="s">
        <v>40</v>
      </c>
      <c r="K446" s="1" t="s">
        <v>17</v>
      </c>
      <c r="L446" s="1" t="s">
        <v>18</v>
      </c>
      <c r="M446" s="1">
        <v>2018</v>
      </c>
      <c r="N446" s="1" t="str">
        <f t="shared" si="6"/>
        <v>Francophone</v>
      </c>
      <c r="O446" s="3" t="str">
        <f>_xlfn.XLOOKUP(D:D,MappingTable[Brand],MappingTable[Brand Type], "not found")</f>
        <v>Beer</v>
      </c>
      <c r="P446" t="str">
        <f>_xlfn.XLOOKUP(L:L,MappingTable2[Month],MappingTable2[Quarters],"NIL")</f>
        <v>Q1</v>
      </c>
      <c r="Q446" s="1"/>
    </row>
    <row r="447" spans="1:17" x14ac:dyDescent="0.2">
      <c r="A447" s="1">
        <v>10546</v>
      </c>
      <c r="B447" s="1" t="s">
        <v>63</v>
      </c>
      <c r="C447" s="1" t="s">
        <v>64</v>
      </c>
      <c r="D447" s="1" t="s">
        <v>39</v>
      </c>
      <c r="E447" s="3">
        <v>150</v>
      </c>
      <c r="F447" s="3">
        <v>200</v>
      </c>
      <c r="G447" s="13">
        <v>707</v>
      </c>
      <c r="H447" s="3">
        <v>141400</v>
      </c>
      <c r="I447" s="3">
        <v>35350</v>
      </c>
      <c r="J447" s="1" t="s">
        <v>16</v>
      </c>
      <c r="K447" s="1" t="s">
        <v>23</v>
      </c>
      <c r="L447" s="1" t="s">
        <v>24</v>
      </c>
      <c r="M447" s="1">
        <v>2018</v>
      </c>
      <c r="N447" s="1" t="str">
        <f t="shared" si="6"/>
        <v>Anglophone</v>
      </c>
      <c r="O447" s="3" t="str">
        <f>_xlfn.XLOOKUP(D:D,MappingTable[Brand],MappingTable[Brand Type], "not found")</f>
        <v>Beer</v>
      </c>
      <c r="P447" t="str">
        <f>_xlfn.XLOOKUP(L:L,MappingTable2[Month],MappingTable2[Quarters],"NIL")</f>
        <v>Q1</v>
      </c>
      <c r="Q447" s="1"/>
    </row>
    <row r="448" spans="1:17" x14ac:dyDescent="0.2">
      <c r="A448" s="1">
        <v>10547</v>
      </c>
      <c r="B448" s="1" t="s">
        <v>61</v>
      </c>
      <c r="C448" s="1" t="s">
        <v>62</v>
      </c>
      <c r="D448" s="1" t="s">
        <v>43</v>
      </c>
      <c r="E448" s="3">
        <v>80</v>
      </c>
      <c r="F448" s="3">
        <v>150</v>
      </c>
      <c r="G448" s="13">
        <v>712</v>
      </c>
      <c r="H448" s="3">
        <v>106800</v>
      </c>
      <c r="I448" s="3">
        <v>49840</v>
      </c>
      <c r="J448" s="1" t="s">
        <v>22</v>
      </c>
      <c r="K448" s="1" t="s">
        <v>29</v>
      </c>
      <c r="L448" s="1" t="s">
        <v>30</v>
      </c>
      <c r="M448" s="1">
        <v>2017</v>
      </c>
      <c r="N448" s="1" t="str">
        <f t="shared" si="6"/>
        <v>Anglophone</v>
      </c>
      <c r="O448" s="3" t="str">
        <f>_xlfn.XLOOKUP(D:D,MappingTable[Brand],MappingTable[Brand Type], "not found")</f>
        <v>Malt</v>
      </c>
      <c r="P448" t="str">
        <f>_xlfn.XLOOKUP(L:L,MappingTable2[Month],MappingTable2[Quarters],"NIL")</f>
        <v>Q1</v>
      </c>
      <c r="Q448" s="1"/>
    </row>
    <row r="449" spans="1:17" x14ac:dyDescent="0.2">
      <c r="A449" s="1">
        <v>10548</v>
      </c>
      <c r="B449" s="1" t="s">
        <v>57</v>
      </c>
      <c r="C449" s="1" t="s">
        <v>58</v>
      </c>
      <c r="D449" s="1" t="s">
        <v>48</v>
      </c>
      <c r="E449" s="3">
        <v>90</v>
      </c>
      <c r="F449" s="3">
        <v>150</v>
      </c>
      <c r="G449" s="13">
        <v>991</v>
      </c>
      <c r="H449" s="3">
        <v>148650</v>
      </c>
      <c r="I449" s="3">
        <v>59460</v>
      </c>
      <c r="J449" s="1" t="s">
        <v>28</v>
      </c>
      <c r="K449" s="1" t="s">
        <v>35</v>
      </c>
      <c r="L449" s="1" t="s">
        <v>36</v>
      </c>
      <c r="M449" s="1">
        <v>2018</v>
      </c>
      <c r="N449" s="1" t="str">
        <f t="shared" si="6"/>
        <v>Francophone</v>
      </c>
      <c r="O449" s="3" t="str">
        <f>_xlfn.XLOOKUP(D:D,MappingTable[Brand],MappingTable[Brand Type], "not found")</f>
        <v>Malt</v>
      </c>
      <c r="P449" t="str">
        <f>_xlfn.XLOOKUP(L:L,MappingTable2[Month],MappingTable2[Quarters],"NIL")</f>
        <v>Q2</v>
      </c>
      <c r="Q449" s="1"/>
    </row>
    <row r="450" spans="1:17" x14ac:dyDescent="0.2">
      <c r="A450" s="1">
        <v>10549</v>
      </c>
      <c r="B450" s="1" t="s">
        <v>19</v>
      </c>
      <c r="C450" s="1" t="s">
        <v>20</v>
      </c>
      <c r="D450" s="1" t="s">
        <v>15</v>
      </c>
      <c r="E450" s="3">
        <v>150</v>
      </c>
      <c r="F450" s="3">
        <v>200</v>
      </c>
      <c r="G450" s="13">
        <v>900</v>
      </c>
      <c r="H450" s="3">
        <v>180000</v>
      </c>
      <c r="I450" s="3">
        <v>45000</v>
      </c>
      <c r="J450" s="1" t="s">
        <v>34</v>
      </c>
      <c r="K450" s="1" t="s">
        <v>41</v>
      </c>
      <c r="L450" s="1" t="s">
        <v>42</v>
      </c>
      <c r="M450" s="1">
        <v>2019</v>
      </c>
      <c r="N450" s="1" t="str">
        <f t="shared" ref="N450:N513" si="7">IF(ISNUMBER(MATCH(J450,$S$7:$S$8,0)), "Anglophone","Francophone")</f>
        <v>Francophone</v>
      </c>
      <c r="O450" s="3" t="str">
        <f>_xlfn.XLOOKUP(D:D,MappingTable[Brand],MappingTable[Brand Type], "not found")</f>
        <v>Beer</v>
      </c>
      <c r="P450" t="str">
        <f>_xlfn.XLOOKUP(L:L,MappingTable2[Month],MappingTable2[Quarters],"NIL")</f>
        <v>Q2</v>
      </c>
      <c r="Q450" s="1"/>
    </row>
    <row r="451" spans="1:17" x14ac:dyDescent="0.2">
      <c r="A451" s="1">
        <v>10550</v>
      </c>
      <c r="B451" s="1" t="s">
        <v>61</v>
      </c>
      <c r="C451" s="1" t="s">
        <v>62</v>
      </c>
      <c r="D451" s="1" t="s">
        <v>21</v>
      </c>
      <c r="E451" s="3">
        <v>250</v>
      </c>
      <c r="F451" s="3">
        <v>500</v>
      </c>
      <c r="G451" s="13">
        <v>810</v>
      </c>
      <c r="H451" s="3">
        <v>405000</v>
      </c>
      <c r="I451" s="3">
        <v>202500</v>
      </c>
      <c r="J451" s="1" t="s">
        <v>40</v>
      </c>
      <c r="K451" s="1" t="s">
        <v>44</v>
      </c>
      <c r="L451" s="1" t="s">
        <v>45</v>
      </c>
      <c r="M451" s="1">
        <v>2019</v>
      </c>
      <c r="N451" s="1" t="str">
        <f t="shared" si="7"/>
        <v>Francophone</v>
      </c>
      <c r="O451" s="3" t="str">
        <f>_xlfn.XLOOKUP(D:D,MappingTable[Brand],MappingTable[Brand Type], "not found")</f>
        <v>Beer</v>
      </c>
      <c r="P451" t="str">
        <f>_xlfn.XLOOKUP(L:L,MappingTable2[Month],MappingTable2[Quarters],"NIL")</f>
        <v>Q2</v>
      </c>
      <c r="Q451" s="1"/>
    </row>
    <row r="452" spans="1:17" x14ac:dyDescent="0.2">
      <c r="A452" s="1">
        <v>10551</v>
      </c>
      <c r="B452" s="1" t="s">
        <v>31</v>
      </c>
      <c r="C452" s="1" t="s">
        <v>32</v>
      </c>
      <c r="D452" s="1" t="s">
        <v>27</v>
      </c>
      <c r="E452" s="3">
        <v>180</v>
      </c>
      <c r="F452" s="3">
        <v>450</v>
      </c>
      <c r="G452" s="13">
        <v>740</v>
      </c>
      <c r="H452" s="3">
        <v>333000</v>
      </c>
      <c r="I452" s="3">
        <v>199800</v>
      </c>
      <c r="J452" s="1" t="s">
        <v>16</v>
      </c>
      <c r="K452" s="1" t="s">
        <v>17</v>
      </c>
      <c r="L452" s="1" t="s">
        <v>49</v>
      </c>
      <c r="M452" s="1">
        <v>2019</v>
      </c>
      <c r="N452" s="1" t="str">
        <f t="shared" si="7"/>
        <v>Anglophone</v>
      </c>
      <c r="O452" s="3" t="str">
        <f>_xlfn.XLOOKUP(D:D,MappingTable[Brand],MappingTable[Brand Type], "not found")</f>
        <v>Beer</v>
      </c>
      <c r="P452" t="str">
        <f>_xlfn.XLOOKUP(L:L,MappingTable2[Month],MappingTable2[Quarters],"NIL")</f>
        <v>Q3</v>
      </c>
      <c r="Q452" s="1"/>
    </row>
    <row r="453" spans="1:17" x14ac:dyDescent="0.2">
      <c r="A453" s="1">
        <v>10552</v>
      </c>
      <c r="B453" s="1" t="s">
        <v>25</v>
      </c>
      <c r="C453" s="1" t="s">
        <v>26</v>
      </c>
      <c r="D453" s="1" t="s">
        <v>33</v>
      </c>
      <c r="E453" s="3">
        <v>170</v>
      </c>
      <c r="F453" s="3">
        <v>250</v>
      </c>
      <c r="G453" s="13">
        <v>909</v>
      </c>
      <c r="H453" s="3">
        <v>227250</v>
      </c>
      <c r="I453" s="3">
        <v>72720</v>
      </c>
      <c r="J453" s="1" t="s">
        <v>22</v>
      </c>
      <c r="K453" s="1" t="s">
        <v>23</v>
      </c>
      <c r="L453" s="1" t="s">
        <v>50</v>
      </c>
      <c r="M453" s="1">
        <v>2017</v>
      </c>
      <c r="N453" s="1" t="str">
        <f t="shared" si="7"/>
        <v>Anglophone</v>
      </c>
      <c r="O453" s="3" t="str">
        <f>_xlfn.XLOOKUP(D:D,MappingTable[Brand],MappingTable[Brand Type], "not found")</f>
        <v>Beer</v>
      </c>
      <c r="P453" t="str">
        <f>_xlfn.XLOOKUP(L:L,MappingTable2[Month],MappingTable2[Quarters],"NIL")</f>
        <v>Q3</v>
      </c>
      <c r="Q453" s="1"/>
    </row>
    <row r="454" spans="1:17" x14ac:dyDescent="0.2">
      <c r="A454" s="1">
        <v>10553</v>
      </c>
      <c r="B454" s="1" t="s">
        <v>13</v>
      </c>
      <c r="C454" s="1" t="s">
        <v>14</v>
      </c>
      <c r="D454" s="1" t="s">
        <v>39</v>
      </c>
      <c r="E454" s="3">
        <v>150</v>
      </c>
      <c r="F454" s="3">
        <v>200</v>
      </c>
      <c r="G454" s="13">
        <v>824</v>
      </c>
      <c r="H454" s="3">
        <v>164800</v>
      </c>
      <c r="I454" s="3">
        <v>41200</v>
      </c>
      <c r="J454" s="1" t="s">
        <v>28</v>
      </c>
      <c r="K454" s="1" t="s">
        <v>29</v>
      </c>
      <c r="L454" s="1" t="s">
        <v>53</v>
      </c>
      <c r="M454" s="1">
        <v>2018</v>
      </c>
      <c r="N454" s="1" t="str">
        <f t="shared" si="7"/>
        <v>Francophone</v>
      </c>
      <c r="O454" s="3" t="str">
        <f>_xlfn.XLOOKUP(D:D,MappingTable[Brand],MappingTable[Brand Type], "not found")</f>
        <v>Beer</v>
      </c>
      <c r="P454" t="str">
        <f>_xlfn.XLOOKUP(L:L,MappingTable2[Month],MappingTable2[Quarters],"NIL")</f>
        <v>Q3</v>
      </c>
      <c r="Q454" s="1"/>
    </row>
    <row r="455" spans="1:17" x14ac:dyDescent="0.2">
      <c r="A455" s="1">
        <v>10554</v>
      </c>
      <c r="B455" s="1" t="s">
        <v>37</v>
      </c>
      <c r="C455" s="1" t="s">
        <v>38</v>
      </c>
      <c r="D455" s="1" t="s">
        <v>43</v>
      </c>
      <c r="E455" s="3">
        <v>80</v>
      </c>
      <c r="F455" s="3">
        <v>150</v>
      </c>
      <c r="G455" s="13">
        <v>809</v>
      </c>
      <c r="H455" s="3">
        <v>121350</v>
      </c>
      <c r="I455" s="3">
        <v>56630</v>
      </c>
      <c r="J455" s="1" t="s">
        <v>34</v>
      </c>
      <c r="K455" s="1" t="s">
        <v>35</v>
      </c>
      <c r="L455" s="1" t="s">
        <v>56</v>
      </c>
      <c r="M455" s="1">
        <v>2017</v>
      </c>
      <c r="N455" s="1" t="str">
        <f t="shared" si="7"/>
        <v>Francophone</v>
      </c>
      <c r="O455" s="3" t="str">
        <f>_xlfn.XLOOKUP(D:D,MappingTable[Brand],MappingTable[Brand Type], "not found")</f>
        <v>Malt</v>
      </c>
      <c r="P455" t="str">
        <f>_xlfn.XLOOKUP(L:L,MappingTable2[Month],MappingTable2[Quarters],"NIL")</f>
        <v>Q4</v>
      </c>
      <c r="Q455" s="1"/>
    </row>
    <row r="456" spans="1:17" x14ac:dyDescent="0.2">
      <c r="A456" s="1">
        <v>10555</v>
      </c>
      <c r="B456" s="1" t="s">
        <v>54</v>
      </c>
      <c r="C456" s="1" t="s">
        <v>55</v>
      </c>
      <c r="D456" s="1" t="s">
        <v>48</v>
      </c>
      <c r="E456" s="3">
        <v>90</v>
      </c>
      <c r="F456" s="3">
        <v>150</v>
      </c>
      <c r="G456" s="13">
        <v>819</v>
      </c>
      <c r="H456" s="3">
        <v>122850</v>
      </c>
      <c r="I456" s="3">
        <v>49140</v>
      </c>
      <c r="J456" s="1" t="s">
        <v>40</v>
      </c>
      <c r="K456" s="1" t="s">
        <v>41</v>
      </c>
      <c r="L456" s="1" t="s">
        <v>59</v>
      </c>
      <c r="M456" s="1">
        <v>2018</v>
      </c>
      <c r="N456" s="1" t="str">
        <f t="shared" si="7"/>
        <v>Francophone</v>
      </c>
      <c r="O456" s="3" t="str">
        <f>_xlfn.XLOOKUP(D:D,MappingTable[Brand],MappingTable[Brand Type], "not found")</f>
        <v>Malt</v>
      </c>
      <c r="P456" t="str">
        <f>_xlfn.XLOOKUP(L:L,MappingTable2[Month],MappingTable2[Quarters],"NIL")</f>
        <v>Q4</v>
      </c>
      <c r="Q456" s="1"/>
    </row>
    <row r="457" spans="1:17" x14ac:dyDescent="0.2">
      <c r="A457" s="1">
        <v>10556</v>
      </c>
      <c r="B457" s="1" t="s">
        <v>19</v>
      </c>
      <c r="C457" s="1" t="s">
        <v>20</v>
      </c>
      <c r="D457" s="1" t="s">
        <v>15</v>
      </c>
      <c r="E457" s="3">
        <v>150</v>
      </c>
      <c r="F457" s="3">
        <v>200</v>
      </c>
      <c r="G457" s="13">
        <v>865</v>
      </c>
      <c r="H457" s="3">
        <v>173000</v>
      </c>
      <c r="I457" s="3">
        <v>43250</v>
      </c>
      <c r="J457" s="1" t="s">
        <v>16</v>
      </c>
      <c r="K457" s="1" t="s">
        <v>44</v>
      </c>
      <c r="L457" s="1" t="s">
        <v>60</v>
      </c>
      <c r="M457" s="1">
        <v>2019</v>
      </c>
      <c r="N457" s="1" t="str">
        <f t="shared" si="7"/>
        <v>Anglophone</v>
      </c>
      <c r="O457" s="3" t="str">
        <f>_xlfn.XLOOKUP(D:D,MappingTable[Brand],MappingTable[Brand Type], "not found")</f>
        <v>Beer</v>
      </c>
      <c r="P457" t="str">
        <f>_xlfn.XLOOKUP(L:L,MappingTable2[Month],MappingTable2[Quarters],"NIL")</f>
        <v>Q4</v>
      </c>
      <c r="Q457" s="1"/>
    </row>
    <row r="458" spans="1:17" x14ac:dyDescent="0.2">
      <c r="A458" s="1">
        <v>10557</v>
      </c>
      <c r="B458" s="1" t="s">
        <v>19</v>
      </c>
      <c r="C458" s="1" t="s">
        <v>20</v>
      </c>
      <c r="D458" s="1" t="s">
        <v>21</v>
      </c>
      <c r="E458" s="3">
        <v>250</v>
      </c>
      <c r="F458" s="3">
        <v>500</v>
      </c>
      <c r="G458" s="13">
        <v>902</v>
      </c>
      <c r="H458" s="3">
        <v>451000</v>
      </c>
      <c r="I458" s="3">
        <v>225500</v>
      </c>
      <c r="J458" s="1" t="s">
        <v>22</v>
      </c>
      <c r="K458" s="1" t="s">
        <v>17</v>
      </c>
      <c r="L458" s="1" t="s">
        <v>18</v>
      </c>
      <c r="M458" s="1">
        <v>2019</v>
      </c>
      <c r="N458" s="1" t="str">
        <f t="shared" si="7"/>
        <v>Anglophone</v>
      </c>
      <c r="O458" s="3" t="str">
        <f>_xlfn.XLOOKUP(D:D,MappingTable[Brand],MappingTable[Brand Type], "not found")</f>
        <v>Beer</v>
      </c>
      <c r="P458" t="str">
        <f>_xlfn.XLOOKUP(L:L,MappingTable2[Month],MappingTable2[Quarters],"NIL")</f>
        <v>Q1</v>
      </c>
      <c r="Q458" s="1"/>
    </row>
    <row r="459" spans="1:17" x14ac:dyDescent="0.2">
      <c r="A459" s="1">
        <v>10558</v>
      </c>
      <c r="B459" s="1" t="s">
        <v>63</v>
      </c>
      <c r="C459" s="1" t="s">
        <v>64</v>
      </c>
      <c r="D459" s="1" t="s">
        <v>27</v>
      </c>
      <c r="E459" s="3">
        <v>180</v>
      </c>
      <c r="F459" s="3">
        <v>450</v>
      </c>
      <c r="G459" s="13">
        <v>796</v>
      </c>
      <c r="H459" s="3">
        <v>358200</v>
      </c>
      <c r="I459" s="3">
        <v>214920</v>
      </c>
      <c r="J459" s="1" t="s">
        <v>28</v>
      </c>
      <c r="K459" s="1" t="s">
        <v>23</v>
      </c>
      <c r="L459" s="1" t="s">
        <v>24</v>
      </c>
      <c r="M459" s="1">
        <v>2017</v>
      </c>
      <c r="N459" s="1" t="str">
        <f t="shared" si="7"/>
        <v>Francophone</v>
      </c>
      <c r="O459" s="3" t="str">
        <f>_xlfn.XLOOKUP(D:D,MappingTable[Brand],MappingTable[Brand Type], "not found")</f>
        <v>Beer</v>
      </c>
      <c r="P459" t="str">
        <f>_xlfn.XLOOKUP(L:L,MappingTable2[Month],MappingTable2[Quarters],"NIL")</f>
        <v>Q1</v>
      </c>
      <c r="Q459" s="1"/>
    </row>
    <row r="460" spans="1:17" x14ac:dyDescent="0.2">
      <c r="A460" s="1">
        <v>10559</v>
      </c>
      <c r="B460" s="1" t="s">
        <v>31</v>
      </c>
      <c r="C460" s="1" t="s">
        <v>32</v>
      </c>
      <c r="D460" s="1" t="s">
        <v>33</v>
      </c>
      <c r="E460" s="3">
        <v>170</v>
      </c>
      <c r="F460" s="3">
        <v>250</v>
      </c>
      <c r="G460" s="13">
        <v>916</v>
      </c>
      <c r="H460" s="3">
        <v>229000</v>
      </c>
      <c r="I460" s="3">
        <v>73280</v>
      </c>
      <c r="J460" s="1" t="s">
        <v>34</v>
      </c>
      <c r="K460" s="1" t="s">
        <v>29</v>
      </c>
      <c r="L460" s="1" t="s">
        <v>30</v>
      </c>
      <c r="M460" s="1">
        <v>2018</v>
      </c>
      <c r="N460" s="1" t="str">
        <f t="shared" si="7"/>
        <v>Francophone</v>
      </c>
      <c r="O460" s="3" t="str">
        <f>_xlfn.XLOOKUP(D:D,MappingTable[Brand],MappingTable[Brand Type], "not found")</f>
        <v>Beer</v>
      </c>
      <c r="P460" t="str">
        <f>_xlfn.XLOOKUP(L:L,MappingTable2[Month],MappingTable2[Quarters],"NIL")</f>
        <v>Q1</v>
      </c>
      <c r="Q460" s="1"/>
    </row>
    <row r="461" spans="1:17" x14ac:dyDescent="0.2">
      <c r="A461" s="1">
        <v>10560</v>
      </c>
      <c r="B461" s="1" t="s">
        <v>51</v>
      </c>
      <c r="C461" s="1" t="s">
        <v>52</v>
      </c>
      <c r="D461" s="1" t="s">
        <v>39</v>
      </c>
      <c r="E461" s="3">
        <v>150</v>
      </c>
      <c r="F461" s="3">
        <v>200</v>
      </c>
      <c r="G461" s="13">
        <v>982</v>
      </c>
      <c r="H461" s="3">
        <v>196400</v>
      </c>
      <c r="I461" s="3">
        <v>49100</v>
      </c>
      <c r="J461" s="1" t="s">
        <v>40</v>
      </c>
      <c r="K461" s="1" t="s">
        <v>35</v>
      </c>
      <c r="L461" s="1" t="s">
        <v>36</v>
      </c>
      <c r="M461" s="1">
        <v>2017</v>
      </c>
      <c r="N461" s="1" t="str">
        <f t="shared" si="7"/>
        <v>Francophone</v>
      </c>
      <c r="O461" s="3" t="str">
        <f>_xlfn.XLOOKUP(D:D,MappingTable[Brand],MappingTable[Brand Type], "not found")</f>
        <v>Beer</v>
      </c>
      <c r="P461" t="str">
        <f>_xlfn.XLOOKUP(L:L,MappingTable2[Month],MappingTable2[Quarters],"NIL")</f>
        <v>Q2</v>
      </c>
      <c r="Q461" s="1"/>
    </row>
    <row r="462" spans="1:17" x14ac:dyDescent="0.2">
      <c r="A462" s="1">
        <v>10561</v>
      </c>
      <c r="B462" s="1" t="s">
        <v>63</v>
      </c>
      <c r="C462" s="1" t="s">
        <v>64</v>
      </c>
      <c r="D462" s="1" t="s">
        <v>43</v>
      </c>
      <c r="E462" s="3">
        <v>80</v>
      </c>
      <c r="F462" s="3">
        <v>150</v>
      </c>
      <c r="G462" s="13">
        <v>734</v>
      </c>
      <c r="H462" s="3">
        <v>110100</v>
      </c>
      <c r="I462" s="3">
        <v>51380</v>
      </c>
      <c r="J462" s="1" t="s">
        <v>16</v>
      </c>
      <c r="K462" s="1" t="s">
        <v>41</v>
      </c>
      <c r="L462" s="1" t="s">
        <v>42</v>
      </c>
      <c r="M462" s="1">
        <v>2018</v>
      </c>
      <c r="N462" s="1" t="str">
        <f t="shared" si="7"/>
        <v>Anglophone</v>
      </c>
      <c r="O462" s="3" t="str">
        <f>_xlfn.XLOOKUP(D:D,MappingTable[Brand],MappingTable[Brand Type], "not found")</f>
        <v>Malt</v>
      </c>
      <c r="P462" t="str">
        <f>_xlfn.XLOOKUP(L:L,MappingTable2[Month],MappingTable2[Quarters],"NIL")</f>
        <v>Q2</v>
      </c>
      <c r="Q462" s="1"/>
    </row>
    <row r="463" spans="1:17" x14ac:dyDescent="0.2">
      <c r="A463" s="1">
        <v>10562</v>
      </c>
      <c r="B463" s="1" t="s">
        <v>25</v>
      </c>
      <c r="C463" s="1" t="s">
        <v>26</v>
      </c>
      <c r="D463" s="1" t="s">
        <v>48</v>
      </c>
      <c r="E463" s="3">
        <v>90</v>
      </c>
      <c r="F463" s="3">
        <v>150</v>
      </c>
      <c r="G463" s="13">
        <v>735</v>
      </c>
      <c r="H463" s="3">
        <v>110250</v>
      </c>
      <c r="I463" s="3">
        <v>44100</v>
      </c>
      <c r="J463" s="1" t="s">
        <v>22</v>
      </c>
      <c r="K463" s="1" t="s">
        <v>44</v>
      </c>
      <c r="L463" s="1" t="s">
        <v>45</v>
      </c>
      <c r="M463" s="1">
        <v>2019</v>
      </c>
      <c r="N463" s="1" t="str">
        <f t="shared" si="7"/>
        <v>Anglophone</v>
      </c>
      <c r="O463" s="3" t="str">
        <f>_xlfn.XLOOKUP(D:D,MappingTable[Brand],MappingTable[Brand Type], "not found")</f>
        <v>Malt</v>
      </c>
      <c r="P463" t="str">
        <f>_xlfn.XLOOKUP(L:L,MappingTable2[Month],MappingTable2[Quarters],"NIL")</f>
        <v>Q2</v>
      </c>
      <c r="Q463" s="1"/>
    </row>
    <row r="464" spans="1:17" x14ac:dyDescent="0.2">
      <c r="A464" s="1">
        <v>10563</v>
      </c>
      <c r="B464" s="1" t="s">
        <v>19</v>
      </c>
      <c r="C464" s="1" t="s">
        <v>20</v>
      </c>
      <c r="D464" s="1" t="s">
        <v>15</v>
      </c>
      <c r="E464" s="3">
        <v>150</v>
      </c>
      <c r="F464" s="3">
        <v>200</v>
      </c>
      <c r="G464" s="13">
        <v>747</v>
      </c>
      <c r="H464" s="3">
        <v>149400</v>
      </c>
      <c r="I464" s="3">
        <v>37350</v>
      </c>
      <c r="J464" s="1" t="s">
        <v>28</v>
      </c>
      <c r="K464" s="1" t="s">
        <v>17</v>
      </c>
      <c r="L464" s="1" t="s">
        <v>49</v>
      </c>
      <c r="M464" s="1">
        <v>2017</v>
      </c>
      <c r="N464" s="1" t="str">
        <f t="shared" si="7"/>
        <v>Francophone</v>
      </c>
      <c r="O464" s="3" t="str">
        <f>_xlfn.XLOOKUP(D:D,MappingTable[Brand],MappingTable[Brand Type], "not found")</f>
        <v>Beer</v>
      </c>
      <c r="P464" t="str">
        <f>_xlfn.XLOOKUP(L:L,MappingTable2[Month],MappingTable2[Quarters],"NIL")</f>
        <v>Q3</v>
      </c>
      <c r="Q464" s="1"/>
    </row>
    <row r="465" spans="1:17" x14ac:dyDescent="0.2">
      <c r="A465" s="1">
        <v>10564</v>
      </c>
      <c r="B465" s="1" t="s">
        <v>25</v>
      </c>
      <c r="C465" s="1" t="s">
        <v>26</v>
      </c>
      <c r="D465" s="1" t="s">
        <v>21</v>
      </c>
      <c r="E465" s="3">
        <v>250</v>
      </c>
      <c r="F465" s="3">
        <v>500</v>
      </c>
      <c r="G465" s="13">
        <v>798</v>
      </c>
      <c r="H465" s="3">
        <v>399000</v>
      </c>
      <c r="I465" s="3">
        <v>199500</v>
      </c>
      <c r="J465" s="1" t="s">
        <v>34</v>
      </c>
      <c r="K465" s="1" t="s">
        <v>23</v>
      </c>
      <c r="L465" s="1" t="s">
        <v>50</v>
      </c>
      <c r="M465" s="1">
        <v>2018</v>
      </c>
      <c r="N465" s="1" t="str">
        <f t="shared" si="7"/>
        <v>Francophone</v>
      </c>
      <c r="O465" s="3" t="str">
        <f>_xlfn.XLOOKUP(D:D,MappingTable[Brand],MappingTable[Brand Type], "not found")</f>
        <v>Beer</v>
      </c>
      <c r="P465" t="str">
        <f>_xlfn.XLOOKUP(L:L,MappingTable2[Month],MappingTable2[Quarters],"NIL")</f>
        <v>Q3</v>
      </c>
      <c r="Q465" s="1"/>
    </row>
    <row r="466" spans="1:17" x14ac:dyDescent="0.2">
      <c r="A466" s="1">
        <v>10565</v>
      </c>
      <c r="B466" s="1" t="s">
        <v>46</v>
      </c>
      <c r="C466" s="1" t="s">
        <v>47</v>
      </c>
      <c r="D466" s="1" t="s">
        <v>27</v>
      </c>
      <c r="E466" s="3">
        <v>180</v>
      </c>
      <c r="F466" s="3">
        <v>450</v>
      </c>
      <c r="G466" s="13">
        <v>829</v>
      </c>
      <c r="H466" s="3">
        <v>373050</v>
      </c>
      <c r="I466" s="3">
        <v>223830</v>
      </c>
      <c r="J466" s="1" t="s">
        <v>40</v>
      </c>
      <c r="K466" s="1" t="s">
        <v>29</v>
      </c>
      <c r="L466" s="1" t="s">
        <v>53</v>
      </c>
      <c r="M466" s="1">
        <v>2017</v>
      </c>
      <c r="N466" s="1" t="str">
        <f t="shared" si="7"/>
        <v>Francophone</v>
      </c>
      <c r="O466" s="3" t="str">
        <f>_xlfn.XLOOKUP(D:D,MappingTable[Brand],MappingTable[Brand Type], "not found")</f>
        <v>Beer</v>
      </c>
      <c r="P466" t="str">
        <f>_xlfn.XLOOKUP(L:L,MappingTable2[Month],MappingTable2[Quarters],"NIL")</f>
        <v>Q3</v>
      </c>
      <c r="Q466" s="1"/>
    </row>
    <row r="467" spans="1:17" x14ac:dyDescent="0.2">
      <c r="A467" s="1">
        <v>10566</v>
      </c>
      <c r="B467" s="1" t="s">
        <v>37</v>
      </c>
      <c r="C467" s="1" t="s">
        <v>38</v>
      </c>
      <c r="D467" s="1" t="s">
        <v>33</v>
      </c>
      <c r="E467" s="3">
        <v>170</v>
      </c>
      <c r="F467" s="3">
        <v>250</v>
      </c>
      <c r="G467" s="13">
        <v>729</v>
      </c>
      <c r="H467" s="3">
        <v>182250</v>
      </c>
      <c r="I467" s="3">
        <v>58320</v>
      </c>
      <c r="J467" s="1" t="s">
        <v>16</v>
      </c>
      <c r="K467" s="1" t="s">
        <v>35</v>
      </c>
      <c r="L467" s="1" t="s">
        <v>56</v>
      </c>
      <c r="M467" s="1">
        <v>2017</v>
      </c>
      <c r="N467" s="1" t="str">
        <f t="shared" si="7"/>
        <v>Anglophone</v>
      </c>
      <c r="O467" s="3" t="str">
        <f>_xlfn.XLOOKUP(D:D,MappingTable[Brand],MappingTable[Brand Type], "not found")</f>
        <v>Beer</v>
      </c>
      <c r="P467" t="str">
        <f>_xlfn.XLOOKUP(L:L,MappingTable2[Month],MappingTable2[Quarters],"NIL")</f>
        <v>Q4</v>
      </c>
      <c r="Q467" s="1"/>
    </row>
    <row r="468" spans="1:17" x14ac:dyDescent="0.2">
      <c r="A468" s="1">
        <v>10567</v>
      </c>
      <c r="B468" s="1" t="s">
        <v>13</v>
      </c>
      <c r="C468" s="1" t="s">
        <v>14</v>
      </c>
      <c r="D468" s="1" t="s">
        <v>39</v>
      </c>
      <c r="E468" s="3">
        <v>150</v>
      </c>
      <c r="F468" s="3">
        <v>200</v>
      </c>
      <c r="G468" s="13">
        <v>721</v>
      </c>
      <c r="H468" s="3">
        <v>144200</v>
      </c>
      <c r="I468" s="3">
        <v>36050</v>
      </c>
      <c r="J468" s="1" t="s">
        <v>22</v>
      </c>
      <c r="K468" s="1" t="s">
        <v>41</v>
      </c>
      <c r="L468" s="1" t="s">
        <v>59</v>
      </c>
      <c r="M468" s="1">
        <v>2019</v>
      </c>
      <c r="N468" s="1" t="str">
        <f t="shared" si="7"/>
        <v>Anglophone</v>
      </c>
      <c r="O468" s="3" t="str">
        <f>_xlfn.XLOOKUP(D:D,MappingTable[Brand],MappingTable[Brand Type], "not found")</f>
        <v>Beer</v>
      </c>
      <c r="P468" t="str">
        <f>_xlfn.XLOOKUP(L:L,MappingTable2[Month],MappingTable2[Quarters],"NIL")</f>
        <v>Q4</v>
      </c>
      <c r="Q468" s="1"/>
    </row>
    <row r="469" spans="1:17" x14ac:dyDescent="0.2">
      <c r="A469" s="1">
        <v>10568</v>
      </c>
      <c r="B469" s="1" t="s">
        <v>13</v>
      </c>
      <c r="C469" s="1" t="s">
        <v>14</v>
      </c>
      <c r="D469" s="1" t="s">
        <v>43</v>
      </c>
      <c r="E469" s="3">
        <v>80</v>
      </c>
      <c r="F469" s="3">
        <v>150</v>
      </c>
      <c r="G469" s="13">
        <v>709</v>
      </c>
      <c r="H469" s="3">
        <v>106350</v>
      </c>
      <c r="I469" s="3">
        <v>49630</v>
      </c>
      <c r="J469" s="1" t="s">
        <v>28</v>
      </c>
      <c r="K469" s="1" t="s">
        <v>44</v>
      </c>
      <c r="L469" s="1" t="s">
        <v>60</v>
      </c>
      <c r="M469" s="1">
        <v>2018</v>
      </c>
      <c r="N469" s="1" t="str">
        <f t="shared" si="7"/>
        <v>Francophone</v>
      </c>
      <c r="O469" s="3" t="str">
        <f>_xlfn.XLOOKUP(D:D,MappingTable[Brand],MappingTable[Brand Type], "not found")</f>
        <v>Malt</v>
      </c>
      <c r="P469" t="str">
        <f>_xlfn.XLOOKUP(L:L,MappingTable2[Month],MappingTable2[Quarters],"NIL")</f>
        <v>Q4</v>
      </c>
      <c r="Q469" s="1"/>
    </row>
    <row r="470" spans="1:17" x14ac:dyDescent="0.2">
      <c r="A470" s="1">
        <v>10569</v>
      </c>
      <c r="B470" s="1" t="s">
        <v>37</v>
      </c>
      <c r="C470" s="1" t="s">
        <v>38</v>
      </c>
      <c r="D470" s="1" t="s">
        <v>48</v>
      </c>
      <c r="E470" s="3">
        <v>90</v>
      </c>
      <c r="F470" s="3">
        <v>150</v>
      </c>
      <c r="G470" s="13">
        <v>719</v>
      </c>
      <c r="H470" s="3">
        <v>107850</v>
      </c>
      <c r="I470" s="3">
        <v>43140</v>
      </c>
      <c r="J470" s="1" t="s">
        <v>34</v>
      </c>
      <c r="K470" s="1" t="s">
        <v>17</v>
      </c>
      <c r="L470" s="1" t="s">
        <v>18</v>
      </c>
      <c r="M470" s="1">
        <v>2017</v>
      </c>
      <c r="N470" s="1" t="str">
        <f t="shared" si="7"/>
        <v>Francophone</v>
      </c>
      <c r="O470" s="3" t="str">
        <f>_xlfn.XLOOKUP(D:D,MappingTable[Brand],MappingTable[Brand Type], "not found")</f>
        <v>Malt</v>
      </c>
      <c r="P470" t="str">
        <f>_xlfn.XLOOKUP(L:L,MappingTable2[Month],MappingTable2[Quarters],"NIL")</f>
        <v>Q1</v>
      </c>
      <c r="Q470" s="1"/>
    </row>
    <row r="471" spans="1:17" x14ac:dyDescent="0.2">
      <c r="A471" s="1">
        <v>10570</v>
      </c>
      <c r="B471" s="1" t="s">
        <v>13</v>
      </c>
      <c r="C471" s="1" t="s">
        <v>14</v>
      </c>
      <c r="D471" s="1" t="s">
        <v>15</v>
      </c>
      <c r="E471" s="3">
        <v>150</v>
      </c>
      <c r="F471" s="3">
        <v>200</v>
      </c>
      <c r="G471" s="13">
        <v>875</v>
      </c>
      <c r="H471" s="3">
        <v>175000</v>
      </c>
      <c r="I471" s="3">
        <v>43750</v>
      </c>
      <c r="J471" s="1" t="s">
        <v>40</v>
      </c>
      <c r="K471" s="1" t="s">
        <v>23</v>
      </c>
      <c r="L471" s="1" t="s">
        <v>24</v>
      </c>
      <c r="M471" s="1">
        <v>2018</v>
      </c>
      <c r="N471" s="1" t="str">
        <f t="shared" si="7"/>
        <v>Francophone</v>
      </c>
      <c r="O471" s="3" t="str">
        <f>_xlfn.XLOOKUP(D:D,MappingTable[Brand],MappingTable[Brand Type], "not found")</f>
        <v>Beer</v>
      </c>
      <c r="P471" t="str">
        <f>_xlfn.XLOOKUP(L:L,MappingTable2[Month],MappingTable2[Quarters],"NIL")</f>
        <v>Q1</v>
      </c>
      <c r="Q471" s="1"/>
    </row>
    <row r="472" spans="1:17" x14ac:dyDescent="0.2">
      <c r="A472" s="1">
        <v>10571</v>
      </c>
      <c r="B472" s="1" t="s">
        <v>19</v>
      </c>
      <c r="C472" s="1" t="s">
        <v>20</v>
      </c>
      <c r="D472" s="1" t="s">
        <v>21</v>
      </c>
      <c r="E472" s="3">
        <v>250</v>
      </c>
      <c r="F472" s="3">
        <v>500</v>
      </c>
      <c r="G472" s="13">
        <v>762</v>
      </c>
      <c r="H472" s="3">
        <v>381000</v>
      </c>
      <c r="I472" s="3">
        <v>190500</v>
      </c>
      <c r="J472" s="1" t="s">
        <v>16</v>
      </c>
      <c r="K472" s="1" t="s">
        <v>29</v>
      </c>
      <c r="L472" s="1" t="s">
        <v>30</v>
      </c>
      <c r="M472" s="1">
        <v>2017</v>
      </c>
      <c r="N472" s="1" t="str">
        <f t="shared" si="7"/>
        <v>Anglophone</v>
      </c>
      <c r="O472" s="3" t="str">
        <f>_xlfn.XLOOKUP(D:D,MappingTable[Brand],MappingTable[Brand Type], "not found")</f>
        <v>Beer</v>
      </c>
      <c r="P472" t="str">
        <f>_xlfn.XLOOKUP(L:L,MappingTable2[Month],MappingTable2[Quarters],"NIL")</f>
        <v>Q1</v>
      </c>
      <c r="Q472" s="1"/>
    </row>
    <row r="473" spans="1:17" x14ac:dyDescent="0.2">
      <c r="A473" s="1">
        <v>10572</v>
      </c>
      <c r="B473" s="1" t="s">
        <v>25</v>
      </c>
      <c r="C473" s="1" t="s">
        <v>26</v>
      </c>
      <c r="D473" s="1" t="s">
        <v>27</v>
      </c>
      <c r="E473" s="3">
        <v>180</v>
      </c>
      <c r="F473" s="3">
        <v>450</v>
      </c>
      <c r="G473" s="13">
        <v>964</v>
      </c>
      <c r="H473" s="3">
        <v>433800</v>
      </c>
      <c r="I473" s="3">
        <v>260280</v>
      </c>
      <c r="J473" s="1" t="s">
        <v>22</v>
      </c>
      <c r="K473" s="1" t="s">
        <v>35</v>
      </c>
      <c r="L473" s="1" t="s">
        <v>36</v>
      </c>
      <c r="M473" s="1">
        <v>2017</v>
      </c>
      <c r="N473" s="1" t="str">
        <f t="shared" si="7"/>
        <v>Anglophone</v>
      </c>
      <c r="O473" s="3" t="str">
        <f>_xlfn.XLOOKUP(D:D,MappingTable[Brand],MappingTable[Brand Type], "not found")</f>
        <v>Beer</v>
      </c>
      <c r="P473" t="str">
        <f>_xlfn.XLOOKUP(L:L,MappingTable2[Month],MappingTable2[Quarters],"NIL")</f>
        <v>Q2</v>
      </c>
      <c r="Q473" s="1"/>
    </row>
    <row r="474" spans="1:17" x14ac:dyDescent="0.2">
      <c r="A474" s="1">
        <v>10573</v>
      </c>
      <c r="B474" s="1" t="s">
        <v>31</v>
      </c>
      <c r="C474" s="1" t="s">
        <v>32</v>
      </c>
      <c r="D474" s="1" t="s">
        <v>33</v>
      </c>
      <c r="E474" s="3">
        <v>170</v>
      </c>
      <c r="F474" s="3">
        <v>250</v>
      </c>
      <c r="G474" s="13">
        <v>931</v>
      </c>
      <c r="H474" s="3">
        <v>232750</v>
      </c>
      <c r="I474" s="3">
        <v>74480</v>
      </c>
      <c r="J474" s="1" t="s">
        <v>28</v>
      </c>
      <c r="K474" s="1" t="s">
        <v>41</v>
      </c>
      <c r="L474" s="1" t="s">
        <v>42</v>
      </c>
      <c r="M474" s="1">
        <v>2018</v>
      </c>
      <c r="N474" s="1" t="str">
        <f t="shared" si="7"/>
        <v>Francophone</v>
      </c>
      <c r="O474" s="3" t="str">
        <f>_xlfn.XLOOKUP(D:D,MappingTable[Brand],MappingTable[Brand Type], "not found")</f>
        <v>Beer</v>
      </c>
      <c r="P474" t="str">
        <f>_xlfn.XLOOKUP(L:L,MappingTable2[Month],MappingTable2[Quarters],"NIL")</f>
        <v>Q2</v>
      </c>
      <c r="Q474" s="1"/>
    </row>
    <row r="475" spans="1:17" x14ac:dyDescent="0.2">
      <c r="A475" s="1">
        <v>10574</v>
      </c>
      <c r="B475" s="1" t="s">
        <v>37</v>
      </c>
      <c r="C475" s="1" t="s">
        <v>38</v>
      </c>
      <c r="D475" s="1" t="s">
        <v>39</v>
      </c>
      <c r="E475" s="3">
        <v>150</v>
      </c>
      <c r="F475" s="3">
        <v>200</v>
      </c>
      <c r="G475" s="13">
        <v>766</v>
      </c>
      <c r="H475" s="3">
        <v>153200</v>
      </c>
      <c r="I475" s="3">
        <v>38300</v>
      </c>
      <c r="J475" s="1" t="s">
        <v>34</v>
      </c>
      <c r="K475" s="1" t="s">
        <v>44</v>
      </c>
      <c r="L475" s="1" t="s">
        <v>45</v>
      </c>
      <c r="M475" s="1">
        <v>2019</v>
      </c>
      <c r="N475" s="1" t="str">
        <f t="shared" si="7"/>
        <v>Francophone</v>
      </c>
      <c r="O475" s="3" t="str">
        <f>_xlfn.XLOOKUP(D:D,MappingTable[Brand],MappingTable[Brand Type], "not found")</f>
        <v>Beer</v>
      </c>
      <c r="P475" t="str">
        <f>_xlfn.XLOOKUP(L:L,MappingTable2[Month],MappingTable2[Quarters],"NIL")</f>
        <v>Q2</v>
      </c>
      <c r="Q475" s="1"/>
    </row>
    <row r="476" spans="1:17" x14ac:dyDescent="0.2">
      <c r="A476" s="1">
        <v>10575</v>
      </c>
      <c r="B476" s="1" t="s">
        <v>13</v>
      </c>
      <c r="C476" s="1" t="s">
        <v>14</v>
      </c>
      <c r="D476" s="1" t="s">
        <v>43</v>
      </c>
      <c r="E476" s="3">
        <v>80</v>
      </c>
      <c r="F476" s="3">
        <v>150</v>
      </c>
      <c r="G476" s="13">
        <v>746</v>
      </c>
      <c r="H476" s="3">
        <v>111900</v>
      </c>
      <c r="I476" s="3">
        <v>52220</v>
      </c>
      <c r="J476" s="1" t="s">
        <v>40</v>
      </c>
      <c r="K476" s="1" t="s">
        <v>17</v>
      </c>
      <c r="L476" s="1" t="s">
        <v>49</v>
      </c>
      <c r="M476" s="1">
        <v>2018</v>
      </c>
      <c r="N476" s="1" t="str">
        <f t="shared" si="7"/>
        <v>Francophone</v>
      </c>
      <c r="O476" s="3" t="str">
        <f>_xlfn.XLOOKUP(D:D,MappingTable[Brand],MappingTable[Brand Type], "not found")</f>
        <v>Malt</v>
      </c>
      <c r="P476" t="str">
        <f>_xlfn.XLOOKUP(L:L,MappingTable2[Month],MappingTable2[Quarters],"NIL")</f>
        <v>Q3</v>
      </c>
      <c r="Q476" s="1"/>
    </row>
    <row r="477" spans="1:17" x14ac:dyDescent="0.2">
      <c r="A477" s="1">
        <v>10576</v>
      </c>
      <c r="B477" s="1" t="s">
        <v>46</v>
      </c>
      <c r="C477" s="1" t="s">
        <v>47</v>
      </c>
      <c r="D477" s="1" t="s">
        <v>48</v>
      </c>
      <c r="E477" s="3">
        <v>90</v>
      </c>
      <c r="F477" s="3">
        <v>150</v>
      </c>
      <c r="G477" s="13">
        <v>942</v>
      </c>
      <c r="H477" s="3">
        <v>141300</v>
      </c>
      <c r="I477" s="3">
        <v>56520</v>
      </c>
      <c r="J477" s="1" t="s">
        <v>16</v>
      </c>
      <c r="K477" s="1" t="s">
        <v>23</v>
      </c>
      <c r="L477" s="1" t="s">
        <v>50</v>
      </c>
      <c r="M477" s="1">
        <v>2017</v>
      </c>
      <c r="N477" s="1" t="str">
        <f t="shared" si="7"/>
        <v>Anglophone</v>
      </c>
      <c r="O477" s="3" t="str">
        <f>_xlfn.XLOOKUP(D:D,MappingTable[Brand],MappingTable[Brand Type], "not found")</f>
        <v>Malt</v>
      </c>
      <c r="P477" t="str">
        <f>_xlfn.XLOOKUP(L:L,MappingTable2[Month],MappingTable2[Quarters],"NIL")</f>
        <v>Q3</v>
      </c>
      <c r="Q477" s="1"/>
    </row>
    <row r="478" spans="1:17" x14ac:dyDescent="0.2">
      <c r="A478" s="1">
        <v>10577</v>
      </c>
      <c r="B478" s="1" t="s">
        <v>31</v>
      </c>
      <c r="C478" s="1" t="s">
        <v>32</v>
      </c>
      <c r="D478" s="1" t="s">
        <v>15</v>
      </c>
      <c r="E478" s="3">
        <v>150</v>
      </c>
      <c r="F478" s="3">
        <v>200</v>
      </c>
      <c r="G478" s="13">
        <v>724</v>
      </c>
      <c r="H478" s="3">
        <v>144800</v>
      </c>
      <c r="I478" s="3">
        <v>36200</v>
      </c>
      <c r="J478" s="1" t="s">
        <v>22</v>
      </c>
      <c r="K478" s="1" t="s">
        <v>29</v>
      </c>
      <c r="L478" s="1" t="s">
        <v>53</v>
      </c>
      <c r="M478" s="1">
        <v>2019</v>
      </c>
      <c r="N478" s="1" t="str">
        <f t="shared" si="7"/>
        <v>Anglophone</v>
      </c>
      <c r="O478" s="3" t="str">
        <f>_xlfn.XLOOKUP(D:D,MappingTable[Brand],MappingTable[Brand Type], "not found")</f>
        <v>Beer</v>
      </c>
      <c r="P478" t="str">
        <f>_xlfn.XLOOKUP(L:L,MappingTable2[Month],MappingTable2[Quarters],"NIL")</f>
        <v>Q3</v>
      </c>
      <c r="Q478" s="1"/>
    </row>
    <row r="479" spans="1:17" x14ac:dyDescent="0.2">
      <c r="A479" s="1">
        <v>10578</v>
      </c>
      <c r="B479" s="1" t="s">
        <v>51</v>
      </c>
      <c r="C479" s="1" t="s">
        <v>52</v>
      </c>
      <c r="D479" s="1" t="s">
        <v>21</v>
      </c>
      <c r="E479" s="3">
        <v>250</v>
      </c>
      <c r="F479" s="3">
        <v>500</v>
      </c>
      <c r="G479" s="13">
        <v>887</v>
      </c>
      <c r="H479" s="3">
        <v>443500</v>
      </c>
      <c r="I479" s="3">
        <v>221750</v>
      </c>
      <c r="J479" s="1" t="s">
        <v>28</v>
      </c>
      <c r="K479" s="1" t="s">
        <v>35</v>
      </c>
      <c r="L479" s="1" t="s">
        <v>56</v>
      </c>
      <c r="M479" s="1">
        <v>2018</v>
      </c>
      <c r="N479" s="1" t="str">
        <f t="shared" si="7"/>
        <v>Francophone</v>
      </c>
      <c r="O479" s="3" t="str">
        <f>_xlfn.XLOOKUP(D:D,MappingTable[Brand],MappingTable[Brand Type], "not found")</f>
        <v>Beer</v>
      </c>
      <c r="P479" t="str">
        <f>_xlfn.XLOOKUP(L:L,MappingTable2[Month],MappingTable2[Quarters],"NIL")</f>
        <v>Q4</v>
      </c>
      <c r="Q479" s="1"/>
    </row>
    <row r="480" spans="1:17" x14ac:dyDescent="0.2">
      <c r="A480" s="1">
        <v>10579</v>
      </c>
      <c r="B480" s="1" t="s">
        <v>54</v>
      </c>
      <c r="C480" s="1" t="s">
        <v>55</v>
      </c>
      <c r="D480" s="1" t="s">
        <v>27</v>
      </c>
      <c r="E480" s="3">
        <v>180</v>
      </c>
      <c r="F480" s="3">
        <v>450</v>
      </c>
      <c r="G480" s="13">
        <v>703</v>
      </c>
      <c r="H480" s="3">
        <v>316350</v>
      </c>
      <c r="I480" s="3">
        <v>189810</v>
      </c>
      <c r="J480" s="1" t="s">
        <v>34</v>
      </c>
      <c r="K480" s="1" t="s">
        <v>41</v>
      </c>
      <c r="L480" s="1" t="s">
        <v>59</v>
      </c>
      <c r="M480" s="1">
        <v>2017</v>
      </c>
      <c r="N480" s="1" t="str">
        <f t="shared" si="7"/>
        <v>Francophone</v>
      </c>
      <c r="O480" s="3" t="str">
        <f>_xlfn.XLOOKUP(D:D,MappingTable[Brand],MappingTable[Brand Type], "not found")</f>
        <v>Beer</v>
      </c>
      <c r="P480" t="str">
        <f>_xlfn.XLOOKUP(L:L,MappingTable2[Month],MappingTable2[Quarters],"NIL")</f>
        <v>Q4</v>
      </c>
      <c r="Q480" s="1"/>
    </row>
    <row r="481" spans="1:17" x14ac:dyDescent="0.2">
      <c r="A481" s="1">
        <v>10580</v>
      </c>
      <c r="B481" s="1" t="s">
        <v>57</v>
      </c>
      <c r="C481" s="1" t="s">
        <v>58</v>
      </c>
      <c r="D481" s="1" t="s">
        <v>33</v>
      </c>
      <c r="E481" s="3">
        <v>170</v>
      </c>
      <c r="F481" s="3">
        <v>250</v>
      </c>
      <c r="G481" s="13">
        <v>930</v>
      </c>
      <c r="H481" s="3">
        <v>232500</v>
      </c>
      <c r="I481" s="3">
        <v>74400</v>
      </c>
      <c r="J481" s="1" t="s">
        <v>40</v>
      </c>
      <c r="K481" s="1" t="s">
        <v>44</v>
      </c>
      <c r="L481" s="1" t="s">
        <v>60</v>
      </c>
      <c r="M481" s="1">
        <v>2018</v>
      </c>
      <c r="N481" s="1" t="str">
        <f t="shared" si="7"/>
        <v>Francophone</v>
      </c>
      <c r="O481" s="3" t="str">
        <f>_xlfn.XLOOKUP(D:D,MappingTable[Brand],MappingTable[Brand Type], "not found")</f>
        <v>Beer</v>
      </c>
      <c r="P481" t="str">
        <f>_xlfn.XLOOKUP(L:L,MappingTable2[Month],MappingTable2[Quarters],"NIL")</f>
        <v>Q4</v>
      </c>
      <c r="Q481" s="1"/>
    </row>
    <row r="482" spans="1:17" x14ac:dyDescent="0.2">
      <c r="A482" s="1">
        <v>10581</v>
      </c>
      <c r="B482" s="1" t="s">
        <v>31</v>
      </c>
      <c r="C482" s="1" t="s">
        <v>32</v>
      </c>
      <c r="D482" s="1" t="s">
        <v>39</v>
      </c>
      <c r="E482" s="3">
        <v>150</v>
      </c>
      <c r="F482" s="3">
        <v>200</v>
      </c>
      <c r="G482" s="13">
        <v>867</v>
      </c>
      <c r="H482" s="3">
        <v>173400</v>
      </c>
      <c r="I482" s="3">
        <v>43350</v>
      </c>
      <c r="J482" s="1" t="s">
        <v>16</v>
      </c>
      <c r="K482" s="1" t="s">
        <v>17</v>
      </c>
      <c r="L482" s="1" t="s">
        <v>18</v>
      </c>
      <c r="M482" s="1">
        <v>2017</v>
      </c>
      <c r="N482" s="1" t="str">
        <f t="shared" si="7"/>
        <v>Anglophone</v>
      </c>
      <c r="O482" s="3" t="str">
        <f>_xlfn.XLOOKUP(D:D,MappingTable[Brand],MappingTable[Brand Type], "not found")</f>
        <v>Beer</v>
      </c>
      <c r="P482" t="str">
        <f>_xlfn.XLOOKUP(L:L,MappingTable2[Month],MappingTable2[Quarters],"NIL")</f>
        <v>Q1</v>
      </c>
      <c r="Q482" s="1"/>
    </row>
    <row r="483" spans="1:17" x14ac:dyDescent="0.2">
      <c r="A483" s="1">
        <v>10582</v>
      </c>
      <c r="B483" s="1" t="s">
        <v>61</v>
      </c>
      <c r="C483" s="1" t="s">
        <v>62</v>
      </c>
      <c r="D483" s="1" t="s">
        <v>43</v>
      </c>
      <c r="E483" s="3">
        <v>80</v>
      </c>
      <c r="F483" s="3">
        <v>150</v>
      </c>
      <c r="G483" s="13">
        <v>853</v>
      </c>
      <c r="H483" s="3">
        <v>127950</v>
      </c>
      <c r="I483" s="3">
        <v>59710</v>
      </c>
      <c r="J483" s="1" t="s">
        <v>22</v>
      </c>
      <c r="K483" s="1" t="s">
        <v>23</v>
      </c>
      <c r="L483" s="1" t="s">
        <v>24</v>
      </c>
      <c r="M483" s="1">
        <v>2018</v>
      </c>
      <c r="N483" s="1" t="str">
        <f t="shared" si="7"/>
        <v>Anglophone</v>
      </c>
      <c r="O483" s="3" t="str">
        <f>_xlfn.XLOOKUP(D:D,MappingTable[Brand],MappingTable[Brand Type], "not found")</f>
        <v>Malt</v>
      </c>
      <c r="P483" t="str">
        <f>_xlfn.XLOOKUP(L:L,MappingTable2[Month],MappingTable2[Quarters],"NIL")</f>
        <v>Q1</v>
      </c>
      <c r="Q483" s="1"/>
    </row>
    <row r="484" spans="1:17" x14ac:dyDescent="0.2">
      <c r="A484" s="1">
        <v>10583</v>
      </c>
      <c r="B484" s="1" t="s">
        <v>31</v>
      </c>
      <c r="C484" s="1" t="s">
        <v>32</v>
      </c>
      <c r="D484" s="1" t="s">
        <v>48</v>
      </c>
      <c r="E484" s="3">
        <v>90</v>
      </c>
      <c r="F484" s="3">
        <v>150</v>
      </c>
      <c r="G484" s="13">
        <v>794</v>
      </c>
      <c r="H484" s="3">
        <v>119100</v>
      </c>
      <c r="I484" s="3">
        <v>47640</v>
      </c>
      <c r="J484" s="1" t="s">
        <v>28</v>
      </c>
      <c r="K484" s="1" t="s">
        <v>29</v>
      </c>
      <c r="L484" s="1" t="s">
        <v>30</v>
      </c>
      <c r="M484" s="1">
        <v>2018</v>
      </c>
      <c r="N484" s="1" t="str">
        <f t="shared" si="7"/>
        <v>Francophone</v>
      </c>
      <c r="O484" s="3" t="str">
        <f>_xlfn.XLOOKUP(D:D,MappingTable[Brand],MappingTable[Brand Type], "not found")</f>
        <v>Malt</v>
      </c>
      <c r="P484" t="str">
        <f>_xlfn.XLOOKUP(L:L,MappingTable2[Month],MappingTable2[Quarters],"NIL")</f>
        <v>Q1</v>
      </c>
      <c r="Q484" s="1"/>
    </row>
    <row r="485" spans="1:17" x14ac:dyDescent="0.2">
      <c r="A485" s="1">
        <v>10584</v>
      </c>
      <c r="B485" s="1" t="s">
        <v>51</v>
      </c>
      <c r="C485" s="1" t="s">
        <v>52</v>
      </c>
      <c r="D485" s="1" t="s">
        <v>15</v>
      </c>
      <c r="E485" s="3">
        <v>150</v>
      </c>
      <c r="F485" s="3">
        <v>200</v>
      </c>
      <c r="G485" s="13">
        <v>974</v>
      </c>
      <c r="H485" s="3">
        <v>194800</v>
      </c>
      <c r="I485" s="3">
        <v>48700</v>
      </c>
      <c r="J485" s="1" t="s">
        <v>34</v>
      </c>
      <c r="K485" s="1" t="s">
        <v>35</v>
      </c>
      <c r="L485" s="1" t="s">
        <v>36</v>
      </c>
      <c r="M485" s="1">
        <v>2018</v>
      </c>
      <c r="N485" s="1" t="str">
        <f t="shared" si="7"/>
        <v>Francophone</v>
      </c>
      <c r="O485" s="3" t="str">
        <f>_xlfn.XLOOKUP(D:D,MappingTable[Brand],MappingTable[Brand Type], "not found")</f>
        <v>Beer</v>
      </c>
      <c r="P485" t="str">
        <f>_xlfn.XLOOKUP(L:L,MappingTable2[Month],MappingTable2[Quarters],"NIL")</f>
        <v>Q2</v>
      </c>
      <c r="Q485" s="1"/>
    </row>
    <row r="486" spans="1:17" x14ac:dyDescent="0.2">
      <c r="A486" s="1">
        <v>10585</v>
      </c>
      <c r="B486" s="1" t="s">
        <v>31</v>
      </c>
      <c r="C486" s="1" t="s">
        <v>32</v>
      </c>
      <c r="D486" s="1" t="s">
        <v>21</v>
      </c>
      <c r="E486" s="3">
        <v>250</v>
      </c>
      <c r="F486" s="3">
        <v>500</v>
      </c>
      <c r="G486" s="13">
        <v>778</v>
      </c>
      <c r="H486" s="3">
        <v>389000</v>
      </c>
      <c r="I486" s="3">
        <v>194500</v>
      </c>
      <c r="J486" s="1" t="s">
        <v>40</v>
      </c>
      <c r="K486" s="1" t="s">
        <v>41</v>
      </c>
      <c r="L486" s="1" t="s">
        <v>42</v>
      </c>
      <c r="M486" s="1">
        <v>2019</v>
      </c>
      <c r="N486" s="1" t="str">
        <f t="shared" si="7"/>
        <v>Francophone</v>
      </c>
      <c r="O486" s="3" t="str">
        <f>_xlfn.XLOOKUP(D:D,MappingTable[Brand],MappingTable[Brand Type], "not found")</f>
        <v>Beer</v>
      </c>
      <c r="P486" t="str">
        <f>_xlfn.XLOOKUP(L:L,MappingTable2[Month],MappingTable2[Quarters],"NIL")</f>
        <v>Q2</v>
      </c>
      <c r="Q486" s="1"/>
    </row>
    <row r="487" spans="1:17" x14ac:dyDescent="0.2">
      <c r="A487" s="1">
        <v>10586</v>
      </c>
      <c r="B487" s="1" t="s">
        <v>57</v>
      </c>
      <c r="C487" s="1" t="s">
        <v>58</v>
      </c>
      <c r="D487" s="1" t="s">
        <v>27</v>
      </c>
      <c r="E487" s="3">
        <v>180</v>
      </c>
      <c r="F487" s="3">
        <v>450</v>
      </c>
      <c r="G487" s="13">
        <v>939</v>
      </c>
      <c r="H487" s="3">
        <v>422550</v>
      </c>
      <c r="I487" s="3">
        <v>253530</v>
      </c>
      <c r="J487" s="1" t="s">
        <v>16</v>
      </c>
      <c r="K487" s="1" t="s">
        <v>44</v>
      </c>
      <c r="L487" s="1" t="s">
        <v>45</v>
      </c>
      <c r="M487" s="1">
        <v>2018</v>
      </c>
      <c r="N487" s="1" t="str">
        <f t="shared" si="7"/>
        <v>Anglophone</v>
      </c>
      <c r="O487" s="3" t="str">
        <f>_xlfn.XLOOKUP(D:D,MappingTable[Brand],MappingTable[Brand Type], "not found")</f>
        <v>Beer</v>
      </c>
      <c r="P487" t="str">
        <f>_xlfn.XLOOKUP(L:L,MappingTable2[Month],MappingTable2[Quarters],"NIL")</f>
        <v>Q2</v>
      </c>
      <c r="Q487" s="1"/>
    </row>
    <row r="488" spans="1:17" x14ac:dyDescent="0.2">
      <c r="A488" s="1">
        <v>10587</v>
      </c>
      <c r="B488" s="1" t="s">
        <v>63</v>
      </c>
      <c r="C488" s="1" t="s">
        <v>64</v>
      </c>
      <c r="D488" s="1" t="s">
        <v>33</v>
      </c>
      <c r="E488" s="3">
        <v>170</v>
      </c>
      <c r="F488" s="3">
        <v>250</v>
      </c>
      <c r="G488" s="13">
        <v>763</v>
      </c>
      <c r="H488" s="3">
        <v>190750</v>
      </c>
      <c r="I488" s="3">
        <v>61040</v>
      </c>
      <c r="J488" s="1" t="s">
        <v>22</v>
      </c>
      <c r="K488" s="1" t="s">
        <v>17</v>
      </c>
      <c r="L488" s="1" t="s">
        <v>49</v>
      </c>
      <c r="M488" s="1">
        <v>2017</v>
      </c>
      <c r="N488" s="1" t="str">
        <f t="shared" si="7"/>
        <v>Anglophone</v>
      </c>
      <c r="O488" s="3" t="str">
        <f>_xlfn.XLOOKUP(D:D,MappingTable[Brand],MappingTable[Brand Type], "not found")</f>
        <v>Beer</v>
      </c>
      <c r="P488" t="str">
        <f>_xlfn.XLOOKUP(L:L,MappingTable2[Month],MappingTable2[Quarters],"NIL")</f>
        <v>Q3</v>
      </c>
      <c r="Q488" s="1"/>
    </row>
    <row r="489" spans="1:17" x14ac:dyDescent="0.2">
      <c r="A489" s="1">
        <v>10588</v>
      </c>
      <c r="B489" s="1" t="s">
        <v>61</v>
      </c>
      <c r="C489" s="1" t="s">
        <v>62</v>
      </c>
      <c r="D489" s="1" t="s">
        <v>39</v>
      </c>
      <c r="E489" s="3">
        <v>150</v>
      </c>
      <c r="F489" s="3">
        <v>200</v>
      </c>
      <c r="G489" s="13">
        <v>970</v>
      </c>
      <c r="H489" s="3">
        <v>194000</v>
      </c>
      <c r="I489" s="3">
        <v>48500</v>
      </c>
      <c r="J489" s="1" t="s">
        <v>28</v>
      </c>
      <c r="K489" s="1" t="s">
        <v>23</v>
      </c>
      <c r="L489" s="1" t="s">
        <v>50</v>
      </c>
      <c r="M489" s="1">
        <v>2019</v>
      </c>
      <c r="N489" s="1" t="str">
        <f t="shared" si="7"/>
        <v>Francophone</v>
      </c>
      <c r="O489" s="3" t="str">
        <f>_xlfn.XLOOKUP(D:D,MappingTable[Brand],MappingTable[Brand Type], "not found")</f>
        <v>Beer</v>
      </c>
      <c r="P489" t="str">
        <f>_xlfn.XLOOKUP(L:L,MappingTable2[Month],MappingTable2[Quarters],"NIL")</f>
        <v>Q3</v>
      </c>
      <c r="Q489" s="1"/>
    </row>
    <row r="490" spans="1:17" x14ac:dyDescent="0.2">
      <c r="A490" s="1">
        <v>10589</v>
      </c>
      <c r="B490" s="1" t="s">
        <v>57</v>
      </c>
      <c r="C490" s="1" t="s">
        <v>58</v>
      </c>
      <c r="D490" s="1" t="s">
        <v>43</v>
      </c>
      <c r="E490" s="3">
        <v>80</v>
      </c>
      <c r="F490" s="3">
        <v>150</v>
      </c>
      <c r="G490" s="13">
        <v>808</v>
      </c>
      <c r="H490" s="3">
        <v>121200</v>
      </c>
      <c r="I490" s="3">
        <v>56560</v>
      </c>
      <c r="J490" s="1" t="s">
        <v>34</v>
      </c>
      <c r="K490" s="1" t="s">
        <v>29</v>
      </c>
      <c r="L490" s="1" t="s">
        <v>53</v>
      </c>
      <c r="M490" s="1">
        <v>2017</v>
      </c>
      <c r="N490" s="1" t="str">
        <f t="shared" si="7"/>
        <v>Francophone</v>
      </c>
      <c r="O490" s="3" t="str">
        <f>_xlfn.XLOOKUP(D:D,MappingTable[Brand],MappingTable[Brand Type], "not found")</f>
        <v>Malt</v>
      </c>
      <c r="P490" t="str">
        <f>_xlfn.XLOOKUP(L:L,MappingTable2[Month],MappingTable2[Quarters],"NIL")</f>
        <v>Q3</v>
      </c>
      <c r="Q490" s="1"/>
    </row>
    <row r="491" spans="1:17" x14ac:dyDescent="0.2">
      <c r="A491" s="1">
        <v>10590</v>
      </c>
      <c r="B491" s="1" t="s">
        <v>19</v>
      </c>
      <c r="C491" s="1" t="s">
        <v>20</v>
      </c>
      <c r="D491" s="1" t="s">
        <v>48</v>
      </c>
      <c r="E491" s="3">
        <v>90</v>
      </c>
      <c r="F491" s="3">
        <v>150</v>
      </c>
      <c r="G491" s="13">
        <v>952</v>
      </c>
      <c r="H491" s="3">
        <v>142800</v>
      </c>
      <c r="I491" s="3">
        <v>57120</v>
      </c>
      <c r="J491" s="1" t="s">
        <v>40</v>
      </c>
      <c r="K491" s="1" t="s">
        <v>35</v>
      </c>
      <c r="L491" s="1" t="s">
        <v>56</v>
      </c>
      <c r="M491" s="1">
        <v>2019</v>
      </c>
      <c r="N491" s="1" t="str">
        <f t="shared" si="7"/>
        <v>Francophone</v>
      </c>
      <c r="O491" s="3" t="str">
        <f>_xlfn.XLOOKUP(D:D,MappingTable[Brand],MappingTable[Brand Type], "not found")</f>
        <v>Malt</v>
      </c>
      <c r="P491" t="str">
        <f>_xlfn.XLOOKUP(L:L,MappingTable2[Month],MappingTable2[Quarters],"NIL")</f>
        <v>Q4</v>
      </c>
      <c r="Q491" s="1"/>
    </row>
    <row r="492" spans="1:17" x14ac:dyDescent="0.2">
      <c r="A492" s="1">
        <v>10591</v>
      </c>
      <c r="B492" s="1" t="s">
        <v>61</v>
      </c>
      <c r="C492" s="1" t="s">
        <v>62</v>
      </c>
      <c r="D492" s="1" t="s">
        <v>15</v>
      </c>
      <c r="E492" s="3">
        <v>150</v>
      </c>
      <c r="F492" s="3">
        <v>200</v>
      </c>
      <c r="G492" s="13">
        <v>918</v>
      </c>
      <c r="H492" s="3">
        <v>183600</v>
      </c>
      <c r="I492" s="3">
        <v>45900</v>
      </c>
      <c r="J492" s="1" t="s">
        <v>16</v>
      </c>
      <c r="K492" s="1" t="s">
        <v>41</v>
      </c>
      <c r="L492" s="1" t="s">
        <v>59</v>
      </c>
      <c r="M492" s="1">
        <v>2019</v>
      </c>
      <c r="N492" s="1" t="str">
        <f t="shared" si="7"/>
        <v>Anglophone</v>
      </c>
      <c r="O492" s="3" t="str">
        <f>_xlfn.XLOOKUP(D:D,MappingTable[Brand],MappingTable[Brand Type], "not found")</f>
        <v>Beer</v>
      </c>
      <c r="P492" t="str">
        <f>_xlfn.XLOOKUP(L:L,MappingTable2[Month],MappingTable2[Quarters],"NIL")</f>
        <v>Q4</v>
      </c>
      <c r="Q492" s="1"/>
    </row>
    <row r="493" spans="1:17" x14ac:dyDescent="0.2">
      <c r="A493" s="1">
        <v>10592</v>
      </c>
      <c r="B493" s="1" t="s">
        <v>31</v>
      </c>
      <c r="C493" s="1" t="s">
        <v>32</v>
      </c>
      <c r="D493" s="1" t="s">
        <v>21</v>
      </c>
      <c r="E493" s="3">
        <v>250</v>
      </c>
      <c r="F493" s="3">
        <v>500</v>
      </c>
      <c r="G493" s="13">
        <v>934</v>
      </c>
      <c r="H493" s="3">
        <v>467000</v>
      </c>
      <c r="I493" s="3">
        <v>233500</v>
      </c>
      <c r="J493" s="1" t="s">
        <v>22</v>
      </c>
      <c r="K493" s="1" t="s">
        <v>44</v>
      </c>
      <c r="L493" s="1" t="s">
        <v>60</v>
      </c>
      <c r="M493" s="1">
        <v>2018</v>
      </c>
      <c r="N493" s="1" t="str">
        <f t="shared" si="7"/>
        <v>Anglophone</v>
      </c>
      <c r="O493" s="3" t="str">
        <f>_xlfn.XLOOKUP(D:D,MappingTable[Brand],MappingTable[Brand Type], "not found")</f>
        <v>Beer</v>
      </c>
      <c r="P493" t="str">
        <f>_xlfn.XLOOKUP(L:L,MappingTable2[Month],MappingTable2[Quarters],"NIL")</f>
        <v>Q4</v>
      </c>
      <c r="Q493" s="1"/>
    </row>
    <row r="494" spans="1:17" x14ac:dyDescent="0.2">
      <c r="A494" s="1">
        <v>10593</v>
      </c>
      <c r="B494" s="1" t="s">
        <v>25</v>
      </c>
      <c r="C494" s="1" t="s">
        <v>26</v>
      </c>
      <c r="D494" s="1" t="s">
        <v>27</v>
      </c>
      <c r="E494" s="3">
        <v>180</v>
      </c>
      <c r="F494" s="3">
        <v>450</v>
      </c>
      <c r="G494" s="13">
        <v>753</v>
      </c>
      <c r="H494" s="3">
        <v>338850</v>
      </c>
      <c r="I494" s="3">
        <v>203310</v>
      </c>
      <c r="J494" s="1" t="s">
        <v>28</v>
      </c>
      <c r="K494" s="1" t="s">
        <v>17</v>
      </c>
      <c r="L494" s="1" t="s">
        <v>18</v>
      </c>
      <c r="M494" s="1">
        <v>2019</v>
      </c>
      <c r="N494" s="1" t="str">
        <f t="shared" si="7"/>
        <v>Francophone</v>
      </c>
      <c r="O494" s="3" t="str">
        <f>_xlfn.XLOOKUP(D:D,MappingTable[Brand],MappingTable[Brand Type], "not found")</f>
        <v>Beer</v>
      </c>
      <c r="P494" t="str">
        <f>_xlfn.XLOOKUP(L:L,MappingTable2[Month],MappingTable2[Quarters],"NIL")</f>
        <v>Q1</v>
      </c>
      <c r="Q494" s="1"/>
    </row>
    <row r="495" spans="1:17" x14ac:dyDescent="0.2">
      <c r="A495" s="1">
        <v>10594</v>
      </c>
      <c r="B495" s="1" t="s">
        <v>13</v>
      </c>
      <c r="C495" s="1" t="s">
        <v>14</v>
      </c>
      <c r="D495" s="1" t="s">
        <v>33</v>
      </c>
      <c r="E495" s="3">
        <v>170</v>
      </c>
      <c r="F495" s="3">
        <v>250</v>
      </c>
      <c r="G495" s="13">
        <v>740</v>
      </c>
      <c r="H495" s="3">
        <v>185000</v>
      </c>
      <c r="I495" s="3">
        <v>59200</v>
      </c>
      <c r="J495" s="1" t="s">
        <v>34</v>
      </c>
      <c r="K495" s="1" t="s">
        <v>23</v>
      </c>
      <c r="L495" s="1" t="s">
        <v>24</v>
      </c>
      <c r="M495" s="1">
        <v>2018</v>
      </c>
      <c r="N495" s="1" t="str">
        <f t="shared" si="7"/>
        <v>Francophone</v>
      </c>
      <c r="O495" s="3" t="str">
        <f>_xlfn.XLOOKUP(D:D,MappingTable[Brand],MappingTable[Brand Type], "not found")</f>
        <v>Beer</v>
      </c>
      <c r="P495" t="str">
        <f>_xlfn.XLOOKUP(L:L,MappingTable2[Month],MappingTable2[Quarters],"NIL")</f>
        <v>Q1</v>
      </c>
      <c r="Q495" s="1"/>
    </row>
    <row r="496" spans="1:17" x14ac:dyDescent="0.2">
      <c r="A496" s="1">
        <v>10595</v>
      </c>
      <c r="B496" s="1" t="s">
        <v>37</v>
      </c>
      <c r="C496" s="1" t="s">
        <v>38</v>
      </c>
      <c r="D496" s="1" t="s">
        <v>39</v>
      </c>
      <c r="E496" s="3">
        <v>150</v>
      </c>
      <c r="F496" s="3">
        <v>200</v>
      </c>
      <c r="G496" s="13">
        <v>829</v>
      </c>
      <c r="H496" s="3">
        <v>165800</v>
      </c>
      <c r="I496" s="3">
        <v>41450</v>
      </c>
      <c r="J496" s="1" t="s">
        <v>40</v>
      </c>
      <c r="K496" s="1" t="s">
        <v>29</v>
      </c>
      <c r="L496" s="1" t="s">
        <v>30</v>
      </c>
      <c r="M496" s="1">
        <v>2018</v>
      </c>
      <c r="N496" s="1" t="str">
        <f t="shared" si="7"/>
        <v>Francophone</v>
      </c>
      <c r="O496" s="3" t="str">
        <f>_xlfn.XLOOKUP(D:D,MappingTable[Brand],MappingTable[Brand Type], "not found")</f>
        <v>Beer</v>
      </c>
      <c r="P496" t="str">
        <f>_xlfn.XLOOKUP(L:L,MappingTable2[Month],MappingTable2[Quarters],"NIL")</f>
        <v>Q1</v>
      </c>
      <c r="Q496" s="1"/>
    </row>
    <row r="497" spans="1:17" x14ac:dyDescent="0.2">
      <c r="A497" s="1">
        <v>10596</v>
      </c>
      <c r="B497" s="1" t="s">
        <v>54</v>
      </c>
      <c r="C497" s="1" t="s">
        <v>55</v>
      </c>
      <c r="D497" s="1" t="s">
        <v>43</v>
      </c>
      <c r="E497" s="3">
        <v>80</v>
      </c>
      <c r="F497" s="3">
        <v>150</v>
      </c>
      <c r="G497" s="13">
        <v>977</v>
      </c>
      <c r="H497" s="3">
        <v>146550</v>
      </c>
      <c r="I497" s="3">
        <v>68390</v>
      </c>
      <c r="J497" s="1" t="s">
        <v>16</v>
      </c>
      <c r="K497" s="1" t="s">
        <v>35</v>
      </c>
      <c r="L497" s="1" t="s">
        <v>36</v>
      </c>
      <c r="M497" s="1">
        <v>2018</v>
      </c>
      <c r="N497" s="1" t="str">
        <f t="shared" si="7"/>
        <v>Anglophone</v>
      </c>
      <c r="O497" s="3" t="str">
        <f>_xlfn.XLOOKUP(D:D,MappingTable[Brand],MappingTable[Brand Type], "not found")</f>
        <v>Malt</v>
      </c>
      <c r="P497" t="str">
        <f>_xlfn.XLOOKUP(L:L,MappingTable2[Month],MappingTable2[Quarters],"NIL")</f>
        <v>Q2</v>
      </c>
      <c r="Q497" s="1"/>
    </row>
    <row r="498" spans="1:17" x14ac:dyDescent="0.2">
      <c r="A498" s="1">
        <v>10597</v>
      </c>
      <c r="B498" s="1" t="s">
        <v>19</v>
      </c>
      <c r="C498" s="1" t="s">
        <v>20</v>
      </c>
      <c r="D498" s="1" t="s">
        <v>48</v>
      </c>
      <c r="E498" s="3">
        <v>90</v>
      </c>
      <c r="F498" s="3">
        <v>150</v>
      </c>
      <c r="G498" s="13">
        <v>968</v>
      </c>
      <c r="H498" s="3">
        <v>145200</v>
      </c>
      <c r="I498" s="3">
        <v>58080</v>
      </c>
      <c r="J498" s="1" t="s">
        <v>22</v>
      </c>
      <c r="K498" s="1" t="s">
        <v>41</v>
      </c>
      <c r="L498" s="1" t="s">
        <v>42</v>
      </c>
      <c r="M498" s="1">
        <v>2018</v>
      </c>
      <c r="N498" s="1" t="str">
        <f t="shared" si="7"/>
        <v>Anglophone</v>
      </c>
      <c r="O498" s="3" t="str">
        <f>_xlfn.XLOOKUP(D:D,MappingTable[Brand],MappingTable[Brand Type], "not found")</f>
        <v>Malt</v>
      </c>
      <c r="P498" t="str">
        <f>_xlfn.XLOOKUP(L:L,MappingTable2[Month],MappingTable2[Quarters],"NIL")</f>
        <v>Q2</v>
      </c>
      <c r="Q498" s="1"/>
    </row>
    <row r="499" spans="1:17" x14ac:dyDescent="0.2">
      <c r="A499" s="1">
        <v>10598</v>
      </c>
      <c r="B499" s="1" t="s">
        <v>19</v>
      </c>
      <c r="C499" s="1" t="s">
        <v>20</v>
      </c>
      <c r="D499" s="1" t="s">
        <v>15</v>
      </c>
      <c r="E499" s="3">
        <v>150</v>
      </c>
      <c r="F499" s="3">
        <v>200</v>
      </c>
      <c r="G499" s="13">
        <v>797</v>
      </c>
      <c r="H499" s="3">
        <v>159400</v>
      </c>
      <c r="I499" s="3">
        <v>39850</v>
      </c>
      <c r="J499" s="1" t="s">
        <v>28</v>
      </c>
      <c r="K499" s="1" t="s">
        <v>44</v>
      </c>
      <c r="L499" s="1" t="s">
        <v>45</v>
      </c>
      <c r="M499" s="1">
        <v>2017</v>
      </c>
      <c r="N499" s="1" t="str">
        <f t="shared" si="7"/>
        <v>Francophone</v>
      </c>
      <c r="O499" s="3" t="str">
        <f>_xlfn.XLOOKUP(D:D,MappingTable[Brand],MappingTable[Brand Type], "not found")</f>
        <v>Beer</v>
      </c>
      <c r="P499" t="str">
        <f>_xlfn.XLOOKUP(L:L,MappingTable2[Month],MappingTable2[Quarters],"NIL")</f>
        <v>Q2</v>
      </c>
      <c r="Q499" s="1"/>
    </row>
    <row r="500" spans="1:17" x14ac:dyDescent="0.2">
      <c r="A500" s="1">
        <v>10599</v>
      </c>
      <c r="B500" s="1" t="s">
        <v>63</v>
      </c>
      <c r="C500" s="1" t="s">
        <v>64</v>
      </c>
      <c r="D500" s="1" t="s">
        <v>21</v>
      </c>
      <c r="E500" s="3">
        <v>250</v>
      </c>
      <c r="F500" s="3">
        <v>500</v>
      </c>
      <c r="G500" s="13">
        <v>926</v>
      </c>
      <c r="H500" s="3">
        <v>463000</v>
      </c>
      <c r="I500" s="3">
        <v>231500</v>
      </c>
      <c r="J500" s="1" t="s">
        <v>34</v>
      </c>
      <c r="K500" s="1" t="s">
        <v>17</v>
      </c>
      <c r="L500" s="1" t="s">
        <v>49</v>
      </c>
      <c r="M500" s="1">
        <v>2018</v>
      </c>
      <c r="N500" s="1" t="str">
        <f t="shared" si="7"/>
        <v>Francophone</v>
      </c>
      <c r="O500" s="3" t="str">
        <f>_xlfn.XLOOKUP(D:D,MappingTable[Brand],MappingTable[Brand Type], "not found")</f>
        <v>Beer</v>
      </c>
      <c r="P500" t="str">
        <f>_xlfn.XLOOKUP(L:L,MappingTable2[Month],MappingTable2[Quarters],"NIL")</f>
        <v>Q3</v>
      </c>
      <c r="Q500" s="1"/>
    </row>
    <row r="501" spans="1:17" x14ac:dyDescent="0.2">
      <c r="A501" s="1">
        <v>10600</v>
      </c>
      <c r="B501" s="1" t="s">
        <v>31</v>
      </c>
      <c r="C501" s="1" t="s">
        <v>32</v>
      </c>
      <c r="D501" s="1" t="s">
        <v>27</v>
      </c>
      <c r="E501" s="3">
        <v>180</v>
      </c>
      <c r="F501" s="3">
        <v>450</v>
      </c>
      <c r="G501" s="13">
        <v>925</v>
      </c>
      <c r="H501" s="3">
        <v>416250</v>
      </c>
      <c r="I501" s="3">
        <v>249750</v>
      </c>
      <c r="J501" s="1" t="s">
        <v>40</v>
      </c>
      <c r="K501" s="1" t="s">
        <v>23</v>
      </c>
      <c r="L501" s="1" t="s">
        <v>50</v>
      </c>
      <c r="M501" s="1">
        <v>2019</v>
      </c>
      <c r="N501" s="1" t="str">
        <f t="shared" si="7"/>
        <v>Francophone</v>
      </c>
      <c r="O501" s="3" t="str">
        <f>_xlfn.XLOOKUP(D:D,MappingTable[Brand],MappingTable[Brand Type], "not found")</f>
        <v>Beer</v>
      </c>
      <c r="P501" t="str">
        <f>_xlfn.XLOOKUP(L:L,MappingTable2[Month],MappingTable2[Quarters],"NIL")</f>
        <v>Q3</v>
      </c>
      <c r="Q501" s="1"/>
    </row>
    <row r="502" spans="1:17" x14ac:dyDescent="0.2">
      <c r="A502" s="1">
        <v>10601</v>
      </c>
      <c r="B502" s="1" t="s">
        <v>51</v>
      </c>
      <c r="C502" s="1" t="s">
        <v>52</v>
      </c>
      <c r="D502" s="1" t="s">
        <v>33</v>
      </c>
      <c r="E502" s="3">
        <v>170</v>
      </c>
      <c r="F502" s="3">
        <v>250</v>
      </c>
      <c r="G502" s="13">
        <v>911</v>
      </c>
      <c r="H502" s="3">
        <v>227750</v>
      </c>
      <c r="I502" s="3">
        <v>72880</v>
      </c>
      <c r="J502" s="1" t="s">
        <v>16</v>
      </c>
      <c r="K502" s="1" t="s">
        <v>29</v>
      </c>
      <c r="L502" s="1" t="s">
        <v>53</v>
      </c>
      <c r="M502" s="1">
        <v>2017</v>
      </c>
      <c r="N502" s="1" t="str">
        <f t="shared" si="7"/>
        <v>Anglophone</v>
      </c>
      <c r="O502" s="3" t="str">
        <f>_xlfn.XLOOKUP(D:D,MappingTable[Brand],MappingTable[Brand Type], "not found")</f>
        <v>Beer</v>
      </c>
      <c r="P502" t="str">
        <f>_xlfn.XLOOKUP(L:L,MappingTable2[Month],MappingTable2[Quarters],"NIL")</f>
        <v>Q3</v>
      </c>
      <c r="Q502" s="1"/>
    </row>
    <row r="503" spans="1:17" x14ac:dyDescent="0.2">
      <c r="A503" s="1">
        <v>10602</v>
      </c>
      <c r="B503" s="1" t="s">
        <v>63</v>
      </c>
      <c r="C503" s="1" t="s">
        <v>64</v>
      </c>
      <c r="D503" s="1" t="s">
        <v>39</v>
      </c>
      <c r="E503" s="3">
        <v>150</v>
      </c>
      <c r="F503" s="3">
        <v>200</v>
      </c>
      <c r="G503" s="13">
        <v>709</v>
      </c>
      <c r="H503" s="3">
        <v>141800</v>
      </c>
      <c r="I503" s="3">
        <v>35450</v>
      </c>
      <c r="J503" s="1" t="s">
        <v>22</v>
      </c>
      <c r="K503" s="1" t="s">
        <v>35</v>
      </c>
      <c r="L503" s="1" t="s">
        <v>56</v>
      </c>
      <c r="M503" s="1">
        <v>2017</v>
      </c>
      <c r="N503" s="1" t="str">
        <f t="shared" si="7"/>
        <v>Anglophone</v>
      </c>
      <c r="O503" s="3" t="str">
        <f>_xlfn.XLOOKUP(D:D,MappingTable[Brand],MappingTable[Brand Type], "not found")</f>
        <v>Beer</v>
      </c>
      <c r="P503" t="str">
        <f>_xlfn.XLOOKUP(L:L,MappingTable2[Month],MappingTable2[Quarters],"NIL")</f>
        <v>Q4</v>
      </c>
      <c r="Q503" s="1"/>
    </row>
    <row r="504" spans="1:17" x14ac:dyDescent="0.2">
      <c r="A504" s="1">
        <v>10603</v>
      </c>
      <c r="B504" s="1" t="s">
        <v>25</v>
      </c>
      <c r="C504" s="1" t="s">
        <v>26</v>
      </c>
      <c r="D504" s="1" t="s">
        <v>43</v>
      </c>
      <c r="E504" s="3">
        <v>80</v>
      </c>
      <c r="F504" s="3">
        <v>150</v>
      </c>
      <c r="G504" s="13">
        <v>791</v>
      </c>
      <c r="H504" s="3">
        <v>118650</v>
      </c>
      <c r="I504" s="3">
        <v>55370</v>
      </c>
      <c r="J504" s="1" t="s">
        <v>28</v>
      </c>
      <c r="K504" s="1" t="s">
        <v>41</v>
      </c>
      <c r="L504" s="1" t="s">
        <v>59</v>
      </c>
      <c r="M504" s="1">
        <v>2019</v>
      </c>
      <c r="N504" s="1" t="str">
        <f t="shared" si="7"/>
        <v>Francophone</v>
      </c>
      <c r="O504" s="3" t="str">
        <f>_xlfn.XLOOKUP(D:D,MappingTable[Brand],MappingTable[Brand Type], "not found")</f>
        <v>Malt</v>
      </c>
      <c r="P504" t="str">
        <f>_xlfn.XLOOKUP(L:L,MappingTable2[Month],MappingTable2[Quarters],"NIL")</f>
        <v>Q4</v>
      </c>
      <c r="Q504" s="1"/>
    </row>
    <row r="505" spans="1:17" x14ac:dyDescent="0.2">
      <c r="A505" s="1">
        <v>10604</v>
      </c>
      <c r="B505" s="1" t="s">
        <v>19</v>
      </c>
      <c r="C505" s="1" t="s">
        <v>20</v>
      </c>
      <c r="D505" s="1" t="s">
        <v>48</v>
      </c>
      <c r="E505" s="3">
        <v>90</v>
      </c>
      <c r="F505" s="3">
        <v>150</v>
      </c>
      <c r="G505" s="13">
        <v>702</v>
      </c>
      <c r="H505" s="3">
        <v>105300</v>
      </c>
      <c r="I505" s="3">
        <v>42120</v>
      </c>
      <c r="J505" s="1" t="s">
        <v>34</v>
      </c>
      <c r="K505" s="1" t="s">
        <v>44</v>
      </c>
      <c r="L505" s="1" t="s">
        <v>60</v>
      </c>
      <c r="M505" s="1">
        <v>2018</v>
      </c>
      <c r="N505" s="1" t="str">
        <f t="shared" si="7"/>
        <v>Francophone</v>
      </c>
      <c r="O505" s="3" t="str">
        <f>_xlfn.XLOOKUP(D:D,MappingTable[Brand],MappingTable[Brand Type], "not found")</f>
        <v>Malt</v>
      </c>
      <c r="P505" t="str">
        <f>_xlfn.XLOOKUP(L:L,MappingTable2[Month],MappingTable2[Quarters],"NIL")</f>
        <v>Q4</v>
      </c>
      <c r="Q505" s="1"/>
    </row>
    <row r="506" spans="1:17" x14ac:dyDescent="0.2">
      <c r="A506" s="1">
        <v>10605</v>
      </c>
      <c r="B506" s="1" t="s">
        <v>25</v>
      </c>
      <c r="C506" s="1" t="s">
        <v>26</v>
      </c>
      <c r="D506" s="1" t="s">
        <v>15</v>
      </c>
      <c r="E506" s="3">
        <v>150</v>
      </c>
      <c r="F506" s="3">
        <v>200</v>
      </c>
      <c r="G506" s="13">
        <v>922</v>
      </c>
      <c r="H506" s="3">
        <v>184400</v>
      </c>
      <c r="I506" s="3">
        <v>46100</v>
      </c>
      <c r="J506" s="1" t="s">
        <v>40</v>
      </c>
      <c r="K506" s="1" t="s">
        <v>17</v>
      </c>
      <c r="L506" s="1" t="s">
        <v>18</v>
      </c>
      <c r="M506" s="1">
        <v>2017</v>
      </c>
      <c r="N506" s="1" t="str">
        <f t="shared" si="7"/>
        <v>Francophone</v>
      </c>
      <c r="O506" s="3" t="str">
        <f>_xlfn.XLOOKUP(D:D,MappingTable[Brand],MappingTable[Brand Type], "not found")</f>
        <v>Beer</v>
      </c>
      <c r="P506" t="str">
        <f>_xlfn.XLOOKUP(L:L,MappingTable2[Month],MappingTable2[Quarters],"NIL")</f>
        <v>Q1</v>
      </c>
      <c r="Q506" s="1"/>
    </row>
    <row r="507" spans="1:17" x14ac:dyDescent="0.2">
      <c r="A507" s="1">
        <v>10606</v>
      </c>
      <c r="B507" s="1" t="s">
        <v>46</v>
      </c>
      <c r="C507" s="1" t="s">
        <v>47</v>
      </c>
      <c r="D507" s="1" t="s">
        <v>21</v>
      </c>
      <c r="E507" s="3">
        <v>250</v>
      </c>
      <c r="F507" s="3">
        <v>500</v>
      </c>
      <c r="G507" s="13">
        <v>957</v>
      </c>
      <c r="H507" s="3">
        <v>478500</v>
      </c>
      <c r="I507" s="3">
        <v>239250</v>
      </c>
      <c r="J507" s="1" t="s">
        <v>16</v>
      </c>
      <c r="K507" s="1" t="s">
        <v>23</v>
      </c>
      <c r="L507" s="1" t="s">
        <v>24</v>
      </c>
      <c r="M507" s="1">
        <v>2019</v>
      </c>
      <c r="N507" s="1" t="str">
        <f t="shared" si="7"/>
        <v>Anglophone</v>
      </c>
      <c r="O507" s="3" t="str">
        <f>_xlfn.XLOOKUP(D:D,MappingTable[Brand],MappingTable[Brand Type], "not found")</f>
        <v>Beer</v>
      </c>
      <c r="P507" t="str">
        <f>_xlfn.XLOOKUP(L:L,MappingTable2[Month],MappingTable2[Quarters],"NIL")</f>
        <v>Q1</v>
      </c>
      <c r="Q507" s="1"/>
    </row>
    <row r="508" spans="1:17" x14ac:dyDescent="0.2">
      <c r="A508" s="1">
        <v>10607</v>
      </c>
      <c r="B508" s="1" t="s">
        <v>37</v>
      </c>
      <c r="C508" s="1" t="s">
        <v>38</v>
      </c>
      <c r="D508" s="1" t="s">
        <v>27</v>
      </c>
      <c r="E508" s="3">
        <v>180</v>
      </c>
      <c r="F508" s="3">
        <v>450</v>
      </c>
      <c r="G508" s="13">
        <v>811</v>
      </c>
      <c r="H508" s="3">
        <v>364950</v>
      </c>
      <c r="I508" s="3">
        <v>218970</v>
      </c>
      <c r="J508" s="1" t="s">
        <v>22</v>
      </c>
      <c r="K508" s="1" t="s">
        <v>29</v>
      </c>
      <c r="L508" s="1" t="s">
        <v>30</v>
      </c>
      <c r="M508" s="1">
        <v>2017</v>
      </c>
      <c r="N508" s="1" t="str">
        <f t="shared" si="7"/>
        <v>Anglophone</v>
      </c>
      <c r="O508" s="3" t="str">
        <f>_xlfn.XLOOKUP(D:D,MappingTable[Brand],MappingTable[Brand Type], "not found")</f>
        <v>Beer</v>
      </c>
      <c r="P508" t="str">
        <f>_xlfn.XLOOKUP(L:L,MappingTable2[Month],MappingTable2[Quarters],"NIL")</f>
        <v>Q1</v>
      </c>
      <c r="Q508" s="1"/>
    </row>
    <row r="509" spans="1:17" x14ac:dyDescent="0.2">
      <c r="A509" s="1">
        <v>10608</v>
      </c>
      <c r="B509" s="1" t="s">
        <v>13</v>
      </c>
      <c r="C509" s="1" t="s">
        <v>14</v>
      </c>
      <c r="D509" s="1" t="s">
        <v>33</v>
      </c>
      <c r="E509" s="3">
        <v>170</v>
      </c>
      <c r="F509" s="3">
        <v>250</v>
      </c>
      <c r="G509" s="13">
        <v>776</v>
      </c>
      <c r="H509" s="3">
        <v>194000</v>
      </c>
      <c r="I509" s="3">
        <v>62080</v>
      </c>
      <c r="J509" s="1" t="s">
        <v>28</v>
      </c>
      <c r="K509" s="1" t="s">
        <v>35</v>
      </c>
      <c r="L509" s="1" t="s">
        <v>36</v>
      </c>
      <c r="M509" s="1">
        <v>2018</v>
      </c>
      <c r="N509" s="1" t="str">
        <f t="shared" si="7"/>
        <v>Francophone</v>
      </c>
      <c r="O509" s="3" t="str">
        <f>_xlfn.XLOOKUP(D:D,MappingTable[Brand],MappingTable[Brand Type], "not found")</f>
        <v>Beer</v>
      </c>
      <c r="P509" t="str">
        <f>_xlfn.XLOOKUP(L:L,MappingTable2[Month],MappingTable2[Quarters],"NIL")</f>
        <v>Q2</v>
      </c>
      <c r="Q509" s="1"/>
    </row>
    <row r="510" spans="1:17" x14ac:dyDescent="0.2">
      <c r="A510" s="1">
        <v>10609</v>
      </c>
      <c r="B510" s="1" t="s">
        <v>13</v>
      </c>
      <c r="C510" s="1" t="s">
        <v>14</v>
      </c>
      <c r="D510" s="1" t="s">
        <v>39</v>
      </c>
      <c r="E510" s="3">
        <v>150</v>
      </c>
      <c r="F510" s="3">
        <v>200</v>
      </c>
      <c r="G510" s="13">
        <v>998</v>
      </c>
      <c r="H510" s="3">
        <v>199600</v>
      </c>
      <c r="I510" s="3">
        <v>49900</v>
      </c>
      <c r="J510" s="1" t="s">
        <v>34</v>
      </c>
      <c r="K510" s="1" t="s">
        <v>41</v>
      </c>
      <c r="L510" s="1" t="s">
        <v>42</v>
      </c>
      <c r="M510" s="1">
        <v>2018</v>
      </c>
      <c r="N510" s="1" t="str">
        <f t="shared" si="7"/>
        <v>Francophone</v>
      </c>
      <c r="O510" s="3" t="str">
        <f>_xlfn.XLOOKUP(D:D,MappingTable[Brand],MappingTable[Brand Type], "not found")</f>
        <v>Beer</v>
      </c>
      <c r="P510" t="str">
        <f>_xlfn.XLOOKUP(L:L,MappingTable2[Month],MappingTable2[Quarters],"NIL")</f>
        <v>Q2</v>
      </c>
      <c r="Q510" s="1"/>
    </row>
    <row r="511" spans="1:17" x14ac:dyDescent="0.2">
      <c r="A511" s="1">
        <v>10610</v>
      </c>
      <c r="B511" s="1" t="s">
        <v>37</v>
      </c>
      <c r="C511" s="1" t="s">
        <v>38</v>
      </c>
      <c r="D511" s="1" t="s">
        <v>43</v>
      </c>
      <c r="E511" s="3">
        <v>80</v>
      </c>
      <c r="F511" s="3">
        <v>150</v>
      </c>
      <c r="G511" s="13">
        <v>872</v>
      </c>
      <c r="H511" s="3">
        <v>130800</v>
      </c>
      <c r="I511" s="3">
        <v>61040</v>
      </c>
      <c r="J511" s="1" t="s">
        <v>40</v>
      </c>
      <c r="K511" s="1" t="s">
        <v>44</v>
      </c>
      <c r="L511" s="1" t="s">
        <v>45</v>
      </c>
      <c r="M511" s="1">
        <v>2017</v>
      </c>
      <c r="N511" s="1" t="str">
        <f t="shared" si="7"/>
        <v>Francophone</v>
      </c>
      <c r="O511" s="3" t="str">
        <f>_xlfn.XLOOKUP(D:D,MappingTable[Brand],MappingTable[Brand Type], "not found")</f>
        <v>Malt</v>
      </c>
      <c r="P511" t="str">
        <f>_xlfn.XLOOKUP(L:L,MappingTable2[Month],MappingTable2[Quarters],"NIL")</f>
        <v>Q2</v>
      </c>
      <c r="Q511" s="1"/>
    </row>
    <row r="512" spans="1:17" x14ac:dyDescent="0.2">
      <c r="A512" s="1">
        <v>10611</v>
      </c>
      <c r="B512" s="1" t="s">
        <v>31</v>
      </c>
      <c r="C512" s="1" t="s">
        <v>32</v>
      </c>
      <c r="D512" s="1" t="s">
        <v>48</v>
      </c>
      <c r="E512" s="3">
        <v>90</v>
      </c>
      <c r="F512" s="3">
        <v>150</v>
      </c>
      <c r="G512" s="13">
        <v>763</v>
      </c>
      <c r="H512" s="3">
        <v>114450</v>
      </c>
      <c r="I512" s="3">
        <v>45780</v>
      </c>
      <c r="J512" s="1" t="s">
        <v>16</v>
      </c>
      <c r="K512" s="1" t="s">
        <v>17</v>
      </c>
      <c r="L512" s="1" t="s">
        <v>49</v>
      </c>
      <c r="M512" s="1">
        <v>2019</v>
      </c>
      <c r="N512" s="1" t="str">
        <f t="shared" si="7"/>
        <v>Anglophone</v>
      </c>
      <c r="O512" s="3" t="str">
        <f>_xlfn.XLOOKUP(D:D,MappingTable[Brand],MappingTable[Brand Type], "not found")</f>
        <v>Malt</v>
      </c>
      <c r="P512" t="str">
        <f>_xlfn.XLOOKUP(L:L,MappingTable2[Month],MappingTable2[Quarters],"NIL")</f>
        <v>Q3</v>
      </c>
      <c r="Q512" s="1"/>
    </row>
    <row r="513" spans="1:17" x14ac:dyDescent="0.2">
      <c r="A513" s="1">
        <v>10612</v>
      </c>
      <c r="B513" s="1" t="s">
        <v>51</v>
      </c>
      <c r="C513" s="1" t="s">
        <v>52</v>
      </c>
      <c r="D513" s="1" t="s">
        <v>15</v>
      </c>
      <c r="E513" s="3">
        <v>150</v>
      </c>
      <c r="F513" s="3">
        <v>200</v>
      </c>
      <c r="G513" s="13">
        <v>822</v>
      </c>
      <c r="H513" s="3">
        <v>164400</v>
      </c>
      <c r="I513" s="3">
        <v>41100</v>
      </c>
      <c r="J513" s="1" t="s">
        <v>22</v>
      </c>
      <c r="K513" s="1" t="s">
        <v>23</v>
      </c>
      <c r="L513" s="1" t="s">
        <v>50</v>
      </c>
      <c r="M513" s="1">
        <v>2017</v>
      </c>
      <c r="N513" s="1" t="str">
        <f t="shared" si="7"/>
        <v>Anglophone</v>
      </c>
      <c r="O513" s="3" t="str">
        <f>_xlfn.XLOOKUP(D:D,MappingTable[Brand],MappingTable[Brand Type], "not found")</f>
        <v>Beer</v>
      </c>
      <c r="P513" t="str">
        <f>_xlfn.XLOOKUP(L:L,MappingTable2[Month],MappingTable2[Quarters],"NIL")</f>
        <v>Q3</v>
      </c>
      <c r="Q513" s="1"/>
    </row>
    <row r="514" spans="1:17" x14ac:dyDescent="0.2">
      <c r="A514" s="1">
        <v>10613</v>
      </c>
      <c r="B514" s="1" t="s">
        <v>63</v>
      </c>
      <c r="C514" s="1" t="s">
        <v>64</v>
      </c>
      <c r="D514" s="1" t="s">
        <v>21</v>
      </c>
      <c r="E514" s="3">
        <v>250</v>
      </c>
      <c r="F514" s="3">
        <v>500</v>
      </c>
      <c r="G514" s="13">
        <v>721</v>
      </c>
      <c r="H514" s="3">
        <v>360500</v>
      </c>
      <c r="I514" s="3">
        <v>180250</v>
      </c>
      <c r="J514" s="1" t="s">
        <v>28</v>
      </c>
      <c r="K514" s="1" t="s">
        <v>29</v>
      </c>
      <c r="L514" s="1" t="s">
        <v>53</v>
      </c>
      <c r="M514" s="1">
        <v>2018</v>
      </c>
      <c r="N514" s="1" t="str">
        <f t="shared" ref="N514:N577" si="8">IF(ISNUMBER(MATCH(J514,$S$7:$S$8,0)), "Anglophone","Francophone")</f>
        <v>Francophone</v>
      </c>
      <c r="O514" s="3" t="str">
        <f>_xlfn.XLOOKUP(D:D,MappingTable[Brand],MappingTable[Brand Type], "not found")</f>
        <v>Beer</v>
      </c>
      <c r="P514" t="str">
        <f>_xlfn.XLOOKUP(L:L,MappingTable2[Month],MappingTable2[Quarters],"NIL")</f>
        <v>Q3</v>
      </c>
      <c r="Q514" s="1"/>
    </row>
    <row r="515" spans="1:17" x14ac:dyDescent="0.2">
      <c r="A515" s="1">
        <v>10614</v>
      </c>
      <c r="B515" s="1" t="s">
        <v>25</v>
      </c>
      <c r="C515" s="1" t="s">
        <v>26</v>
      </c>
      <c r="D515" s="1" t="s">
        <v>27</v>
      </c>
      <c r="E515" s="3">
        <v>180</v>
      </c>
      <c r="F515" s="3">
        <v>450</v>
      </c>
      <c r="G515" s="13">
        <v>890</v>
      </c>
      <c r="H515" s="3">
        <v>400500</v>
      </c>
      <c r="I515" s="3">
        <v>240300</v>
      </c>
      <c r="J515" s="1" t="s">
        <v>34</v>
      </c>
      <c r="K515" s="1" t="s">
        <v>35</v>
      </c>
      <c r="L515" s="1" t="s">
        <v>56</v>
      </c>
      <c r="M515" s="1">
        <v>2017</v>
      </c>
      <c r="N515" s="1" t="str">
        <f t="shared" si="8"/>
        <v>Francophone</v>
      </c>
      <c r="O515" s="3" t="str">
        <f>_xlfn.XLOOKUP(D:D,MappingTable[Brand],MappingTable[Brand Type], "not found")</f>
        <v>Beer</v>
      </c>
      <c r="P515" t="str">
        <f>_xlfn.XLOOKUP(L:L,MappingTable2[Month],MappingTable2[Quarters],"NIL")</f>
        <v>Q4</v>
      </c>
      <c r="Q515" s="1"/>
    </row>
    <row r="516" spans="1:17" x14ac:dyDescent="0.2">
      <c r="A516" s="1">
        <v>10615</v>
      </c>
      <c r="B516" s="1" t="s">
        <v>19</v>
      </c>
      <c r="C516" s="1" t="s">
        <v>20</v>
      </c>
      <c r="D516" s="1" t="s">
        <v>33</v>
      </c>
      <c r="E516" s="3">
        <v>170</v>
      </c>
      <c r="F516" s="3">
        <v>250</v>
      </c>
      <c r="G516" s="13">
        <v>860</v>
      </c>
      <c r="H516" s="3">
        <v>215000</v>
      </c>
      <c r="I516" s="3">
        <v>68800</v>
      </c>
      <c r="J516" s="1" t="s">
        <v>40</v>
      </c>
      <c r="K516" s="1" t="s">
        <v>41</v>
      </c>
      <c r="L516" s="1" t="s">
        <v>59</v>
      </c>
      <c r="M516" s="1">
        <v>2019</v>
      </c>
      <c r="N516" s="1" t="str">
        <f t="shared" si="8"/>
        <v>Francophone</v>
      </c>
      <c r="O516" s="3" t="str">
        <f>_xlfn.XLOOKUP(D:D,MappingTable[Brand],MappingTable[Brand Type], "not found")</f>
        <v>Beer</v>
      </c>
      <c r="P516" t="str">
        <f>_xlfn.XLOOKUP(L:L,MappingTable2[Month],MappingTable2[Quarters],"NIL")</f>
        <v>Q4</v>
      </c>
      <c r="Q516" s="1"/>
    </row>
    <row r="517" spans="1:17" x14ac:dyDescent="0.2">
      <c r="A517" s="1">
        <v>10616</v>
      </c>
      <c r="B517" s="1" t="s">
        <v>25</v>
      </c>
      <c r="C517" s="1" t="s">
        <v>26</v>
      </c>
      <c r="D517" s="1" t="s">
        <v>39</v>
      </c>
      <c r="E517" s="3">
        <v>150</v>
      </c>
      <c r="F517" s="3">
        <v>200</v>
      </c>
      <c r="G517" s="13">
        <v>824</v>
      </c>
      <c r="H517" s="3">
        <v>164800</v>
      </c>
      <c r="I517" s="3">
        <v>41200</v>
      </c>
      <c r="J517" s="1" t="s">
        <v>16</v>
      </c>
      <c r="K517" s="1" t="s">
        <v>44</v>
      </c>
      <c r="L517" s="1" t="s">
        <v>60</v>
      </c>
      <c r="M517" s="1">
        <v>2017</v>
      </c>
      <c r="N517" s="1" t="str">
        <f t="shared" si="8"/>
        <v>Anglophone</v>
      </c>
      <c r="O517" s="3" t="str">
        <f>_xlfn.XLOOKUP(D:D,MappingTable[Brand],MappingTable[Brand Type], "not found")</f>
        <v>Beer</v>
      </c>
      <c r="P517" t="str">
        <f>_xlfn.XLOOKUP(L:L,MappingTable2[Month],MappingTable2[Quarters],"NIL")</f>
        <v>Q4</v>
      </c>
      <c r="Q517" s="1"/>
    </row>
    <row r="518" spans="1:17" x14ac:dyDescent="0.2">
      <c r="A518" s="1">
        <v>10617</v>
      </c>
      <c r="B518" s="1" t="s">
        <v>46</v>
      </c>
      <c r="C518" s="1" t="s">
        <v>47</v>
      </c>
      <c r="D518" s="1" t="s">
        <v>43</v>
      </c>
      <c r="E518" s="3">
        <v>80</v>
      </c>
      <c r="F518" s="3">
        <v>150</v>
      </c>
      <c r="G518" s="13">
        <v>916</v>
      </c>
      <c r="H518" s="3">
        <v>137400</v>
      </c>
      <c r="I518" s="3">
        <v>64120</v>
      </c>
      <c r="J518" s="1" t="s">
        <v>22</v>
      </c>
      <c r="K518" s="1" t="s">
        <v>17</v>
      </c>
      <c r="L518" s="1" t="s">
        <v>18</v>
      </c>
      <c r="M518" s="1">
        <v>2017</v>
      </c>
      <c r="N518" s="1" t="str">
        <f t="shared" si="8"/>
        <v>Anglophone</v>
      </c>
      <c r="O518" s="3" t="str">
        <f>_xlfn.XLOOKUP(D:D,MappingTable[Brand],MappingTable[Brand Type], "not found")</f>
        <v>Malt</v>
      </c>
      <c r="P518" t="str">
        <f>_xlfn.XLOOKUP(L:L,MappingTable2[Month],MappingTable2[Quarters],"NIL")</f>
        <v>Q1</v>
      </c>
      <c r="Q518" s="1"/>
    </row>
    <row r="519" spans="1:17" x14ac:dyDescent="0.2">
      <c r="A519" s="1">
        <v>10618</v>
      </c>
      <c r="B519" s="1" t="s">
        <v>37</v>
      </c>
      <c r="C519" s="1" t="s">
        <v>38</v>
      </c>
      <c r="D519" s="1" t="s">
        <v>48</v>
      </c>
      <c r="E519" s="3">
        <v>90</v>
      </c>
      <c r="F519" s="3">
        <v>150</v>
      </c>
      <c r="G519" s="13">
        <v>855</v>
      </c>
      <c r="H519" s="3">
        <v>128250</v>
      </c>
      <c r="I519" s="3">
        <v>51300</v>
      </c>
      <c r="J519" s="1" t="s">
        <v>28</v>
      </c>
      <c r="K519" s="1" t="s">
        <v>23</v>
      </c>
      <c r="L519" s="1" t="s">
        <v>24</v>
      </c>
      <c r="M519" s="1">
        <v>2019</v>
      </c>
      <c r="N519" s="1" t="str">
        <f t="shared" si="8"/>
        <v>Francophone</v>
      </c>
      <c r="O519" s="3" t="str">
        <f>_xlfn.XLOOKUP(D:D,MappingTable[Brand],MappingTable[Brand Type], "not found")</f>
        <v>Malt</v>
      </c>
      <c r="P519" t="str">
        <f>_xlfn.XLOOKUP(L:L,MappingTable2[Month],MappingTable2[Quarters],"NIL")</f>
        <v>Q1</v>
      </c>
      <c r="Q519" s="1"/>
    </row>
    <row r="520" spans="1:17" x14ac:dyDescent="0.2">
      <c r="A520" s="1">
        <v>10619</v>
      </c>
      <c r="B520" s="1" t="s">
        <v>13</v>
      </c>
      <c r="C520" s="1" t="s">
        <v>14</v>
      </c>
      <c r="D520" s="1" t="s">
        <v>15</v>
      </c>
      <c r="E520" s="3">
        <v>150</v>
      </c>
      <c r="F520" s="3">
        <v>200</v>
      </c>
      <c r="G520" s="13">
        <v>715</v>
      </c>
      <c r="H520" s="3">
        <v>143000</v>
      </c>
      <c r="I520" s="3">
        <v>35750</v>
      </c>
      <c r="J520" s="1" t="s">
        <v>34</v>
      </c>
      <c r="K520" s="1" t="s">
        <v>29</v>
      </c>
      <c r="L520" s="1" t="s">
        <v>30</v>
      </c>
      <c r="M520" s="1">
        <v>2018</v>
      </c>
      <c r="N520" s="1" t="str">
        <f t="shared" si="8"/>
        <v>Francophone</v>
      </c>
      <c r="O520" s="3" t="str">
        <f>_xlfn.XLOOKUP(D:D,MappingTable[Brand],MappingTable[Brand Type], "not found")</f>
        <v>Beer</v>
      </c>
      <c r="P520" t="str">
        <f>_xlfn.XLOOKUP(L:L,MappingTable2[Month],MappingTable2[Quarters],"NIL")</f>
        <v>Q1</v>
      </c>
      <c r="Q520" s="1"/>
    </row>
    <row r="521" spans="1:17" x14ac:dyDescent="0.2">
      <c r="A521" s="1">
        <v>10620</v>
      </c>
      <c r="B521" s="1" t="s">
        <v>13</v>
      </c>
      <c r="C521" s="1" t="s">
        <v>14</v>
      </c>
      <c r="D521" s="1" t="s">
        <v>21</v>
      </c>
      <c r="E521" s="3">
        <v>250</v>
      </c>
      <c r="F521" s="3">
        <v>500</v>
      </c>
      <c r="G521" s="13">
        <v>940</v>
      </c>
      <c r="H521" s="3">
        <v>470000</v>
      </c>
      <c r="I521" s="3">
        <v>235000</v>
      </c>
      <c r="J521" s="1" t="s">
        <v>40</v>
      </c>
      <c r="K521" s="1" t="s">
        <v>35</v>
      </c>
      <c r="L521" s="1" t="s">
        <v>36</v>
      </c>
      <c r="M521" s="1">
        <v>2019</v>
      </c>
      <c r="N521" s="1" t="str">
        <f t="shared" si="8"/>
        <v>Francophone</v>
      </c>
      <c r="O521" s="3" t="str">
        <f>_xlfn.XLOOKUP(D:D,MappingTable[Brand],MappingTable[Brand Type], "not found")</f>
        <v>Beer</v>
      </c>
      <c r="P521" t="str">
        <f>_xlfn.XLOOKUP(L:L,MappingTable2[Month],MappingTable2[Quarters],"NIL")</f>
        <v>Q2</v>
      </c>
      <c r="Q521" s="1"/>
    </row>
    <row r="522" spans="1:17" x14ac:dyDescent="0.2">
      <c r="A522" s="1">
        <v>10621</v>
      </c>
      <c r="B522" s="1" t="s">
        <v>37</v>
      </c>
      <c r="C522" s="1" t="s">
        <v>38</v>
      </c>
      <c r="D522" s="1" t="s">
        <v>27</v>
      </c>
      <c r="E522" s="3">
        <v>180</v>
      </c>
      <c r="F522" s="3">
        <v>450</v>
      </c>
      <c r="G522" s="13">
        <v>847</v>
      </c>
      <c r="H522" s="3">
        <v>381150</v>
      </c>
      <c r="I522" s="3">
        <v>228690</v>
      </c>
      <c r="J522" s="1" t="s">
        <v>16</v>
      </c>
      <c r="K522" s="1" t="s">
        <v>41</v>
      </c>
      <c r="L522" s="1" t="s">
        <v>42</v>
      </c>
      <c r="M522" s="1">
        <v>2019</v>
      </c>
      <c r="N522" s="1" t="str">
        <f t="shared" si="8"/>
        <v>Anglophone</v>
      </c>
      <c r="O522" s="3" t="str">
        <f>_xlfn.XLOOKUP(D:D,MappingTable[Brand],MappingTable[Brand Type], "not found")</f>
        <v>Beer</v>
      </c>
      <c r="P522" t="str">
        <f>_xlfn.XLOOKUP(L:L,MappingTable2[Month],MappingTable2[Quarters],"NIL")</f>
        <v>Q2</v>
      </c>
      <c r="Q522" s="1"/>
    </row>
    <row r="523" spans="1:17" x14ac:dyDescent="0.2">
      <c r="A523" s="1">
        <v>10622</v>
      </c>
      <c r="B523" s="1" t="s">
        <v>13</v>
      </c>
      <c r="C523" s="1" t="s">
        <v>14</v>
      </c>
      <c r="D523" s="1" t="s">
        <v>33</v>
      </c>
      <c r="E523" s="3">
        <v>170</v>
      </c>
      <c r="F523" s="3">
        <v>250</v>
      </c>
      <c r="G523" s="13">
        <v>889</v>
      </c>
      <c r="H523" s="3">
        <v>222250</v>
      </c>
      <c r="I523" s="3">
        <v>71120</v>
      </c>
      <c r="J523" s="1" t="s">
        <v>22</v>
      </c>
      <c r="K523" s="1" t="s">
        <v>44</v>
      </c>
      <c r="L523" s="1" t="s">
        <v>45</v>
      </c>
      <c r="M523" s="1">
        <v>2017</v>
      </c>
      <c r="N523" s="1" t="str">
        <f t="shared" si="8"/>
        <v>Anglophone</v>
      </c>
      <c r="O523" s="3" t="str">
        <f>_xlfn.XLOOKUP(D:D,MappingTable[Brand],MappingTable[Brand Type], "not found")</f>
        <v>Beer</v>
      </c>
      <c r="P523" t="str">
        <f>_xlfn.XLOOKUP(L:L,MappingTable2[Month],MappingTable2[Quarters],"NIL")</f>
        <v>Q2</v>
      </c>
      <c r="Q523" s="1"/>
    </row>
    <row r="524" spans="1:17" x14ac:dyDescent="0.2">
      <c r="A524" s="1">
        <v>10623</v>
      </c>
      <c r="B524" s="1" t="s">
        <v>19</v>
      </c>
      <c r="C524" s="1" t="s">
        <v>20</v>
      </c>
      <c r="D524" s="1" t="s">
        <v>39</v>
      </c>
      <c r="E524" s="3">
        <v>150</v>
      </c>
      <c r="F524" s="3">
        <v>200</v>
      </c>
      <c r="G524" s="13">
        <v>928</v>
      </c>
      <c r="H524" s="3">
        <v>185600</v>
      </c>
      <c r="I524" s="3">
        <v>46400</v>
      </c>
      <c r="J524" s="1" t="s">
        <v>28</v>
      </c>
      <c r="K524" s="1" t="s">
        <v>17</v>
      </c>
      <c r="L524" s="1" t="s">
        <v>49</v>
      </c>
      <c r="M524" s="1">
        <v>2019</v>
      </c>
      <c r="N524" s="1" t="str">
        <f t="shared" si="8"/>
        <v>Francophone</v>
      </c>
      <c r="O524" s="3" t="str">
        <f>_xlfn.XLOOKUP(D:D,MappingTable[Brand],MappingTable[Brand Type], "not found")</f>
        <v>Beer</v>
      </c>
      <c r="P524" t="str">
        <f>_xlfn.XLOOKUP(L:L,MappingTable2[Month],MappingTable2[Quarters],"NIL")</f>
        <v>Q3</v>
      </c>
      <c r="Q524" s="1"/>
    </row>
    <row r="525" spans="1:17" x14ac:dyDescent="0.2">
      <c r="A525" s="1">
        <v>10624</v>
      </c>
      <c r="B525" s="1" t="s">
        <v>25</v>
      </c>
      <c r="C525" s="1" t="s">
        <v>26</v>
      </c>
      <c r="D525" s="1" t="s">
        <v>43</v>
      </c>
      <c r="E525" s="3">
        <v>80</v>
      </c>
      <c r="F525" s="3">
        <v>150</v>
      </c>
      <c r="G525" s="13">
        <v>943</v>
      </c>
      <c r="H525" s="3">
        <v>141450</v>
      </c>
      <c r="I525" s="3">
        <v>66010</v>
      </c>
      <c r="J525" s="1" t="s">
        <v>34</v>
      </c>
      <c r="K525" s="1" t="s">
        <v>23</v>
      </c>
      <c r="L525" s="1" t="s">
        <v>50</v>
      </c>
      <c r="M525" s="1">
        <v>2019</v>
      </c>
      <c r="N525" s="1" t="str">
        <f t="shared" si="8"/>
        <v>Francophone</v>
      </c>
      <c r="O525" s="3" t="str">
        <f>_xlfn.XLOOKUP(D:D,MappingTable[Brand],MappingTable[Brand Type], "not found")</f>
        <v>Malt</v>
      </c>
      <c r="P525" t="str">
        <f>_xlfn.XLOOKUP(L:L,MappingTable2[Month],MappingTable2[Quarters],"NIL")</f>
        <v>Q3</v>
      </c>
      <c r="Q525" s="1"/>
    </row>
    <row r="526" spans="1:17" x14ac:dyDescent="0.2">
      <c r="A526" s="1">
        <v>10625</v>
      </c>
      <c r="B526" s="1" t="s">
        <v>31</v>
      </c>
      <c r="C526" s="1" t="s">
        <v>32</v>
      </c>
      <c r="D526" s="1" t="s">
        <v>48</v>
      </c>
      <c r="E526" s="3">
        <v>90</v>
      </c>
      <c r="F526" s="3">
        <v>150</v>
      </c>
      <c r="G526" s="13">
        <v>716</v>
      </c>
      <c r="H526" s="3">
        <v>107400</v>
      </c>
      <c r="I526" s="3">
        <v>42960</v>
      </c>
      <c r="J526" s="1" t="s">
        <v>40</v>
      </c>
      <c r="K526" s="1" t="s">
        <v>29</v>
      </c>
      <c r="L526" s="1" t="s">
        <v>53</v>
      </c>
      <c r="M526" s="1">
        <v>2018</v>
      </c>
      <c r="N526" s="1" t="str">
        <f t="shared" si="8"/>
        <v>Francophone</v>
      </c>
      <c r="O526" s="3" t="str">
        <f>_xlfn.XLOOKUP(D:D,MappingTable[Brand],MappingTable[Brand Type], "not found")</f>
        <v>Malt</v>
      </c>
      <c r="P526" t="str">
        <f>_xlfn.XLOOKUP(L:L,MappingTable2[Month],MappingTable2[Quarters],"NIL")</f>
        <v>Q3</v>
      </c>
      <c r="Q526" s="1"/>
    </row>
    <row r="527" spans="1:17" x14ac:dyDescent="0.2">
      <c r="A527" s="1">
        <v>10626</v>
      </c>
      <c r="B527" s="1" t="s">
        <v>37</v>
      </c>
      <c r="C527" s="1" t="s">
        <v>38</v>
      </c>
      <c r="D527" s="1" t="s">
        <v>15</v>
      </c>
      <c r="E527" s="3">
        <v>150</v>
      </c>
      <c r="F527" s="3">
        <v>200</v>
      </c>
      <c r="G527" s="13">
        <v>757</v>
      </c>
      <c r="H527" s="3">
        <v>151400</v>
      </c>
      <c r="I527" s="3">
        <v>37850</v>
      </c>
      <c r="J527" s="1" t="s">
        <v>16</v>
      </c>
      <c r="K527" s="1" t="s">
        <v>35</v>
      </c>
      <c r="L527" s="1" t="s">
        <v>56</v>
      </c>
      <c r="M527" s="1">
        <v>2018</v>
      </c>
      <c r="N527" s="1" t="str">
        <f t="shared" si="8"/>
        <v>Anglophone</v>
      </c>
      <c r="O527" s="3" t="str">
        <f>_xlfn.XLOOKUP(D:D,MappingTable[Brand],MappingTable[Brand Type], "not found")</f>
        <v>Beer</v>
      </c>
      <c r="P527" t="str">
        <f>_xlfn.XLOOKUP(L:L,MappingTable2[Month],MappingTable2[Quarters],"NIL")</f>
        <v>Q4</v>
      </c>
      <c r="Q527" s="1"/>
    </row>
    <row r="528" spans="1:17" x14ac:dyDescent="0.2">
      <c r="A528" s="1">
        <v>10627</v>
      </c>
      <c r="B528" s="1" t="s">
        <v>13</v>
      </c>
      <c r="C528" s="1" t="s">
        <v>14</v>
      </c>
      <c r="D528" s="1" t="s">
        <v>21</v>
      </c>
      <c r="E528" s="3">
        <v>250</v>
      </c>
      <c r="F528" s="3">
        <v>500</v>
      </c>
      <c r="G528" s="13">
        <v>795</v>
      </c>
      <c r="H528" s="3">
        <v>397500</v>
      </c>
      <c r="I528" s="3">
        <v>198750</v>
      </c>
      <c r="J528" s="1" t="s">
        <v>22</v>
      </c>
      <c r="K528" s="1" t="s">
        <v>41</v>
      </c>
      <c r="L528" s="1" t="s">
        <v>59</v>
      </c>
      <c r="M528" s="1">
        <v>2017</v>
      </c>
      <c r="N528" s="1" t="str">
        <f t="shared" si="8"/>
        <v>Anglophone</v>
      </c>
      <c r="O528" s="3" t="str">
        <f>_xlfn.XLOOKUP(D:D,MappingTable[Brand],MappingTable[Brand Type], "not found")</f>
        <v>Beer</v>
      </c>
      <c r="P528" t="str">
        <f>_xlfn.XLOOKUP(L:L,MappingTable2[Month],MappingTable2[Quarters],"NIL")</f>
        <v>Q4</v>
      </c>
      <c r="Q528" s="1"/>
    </row>
    <row r="529" spans="1:17" x14ac:dyDescent="0.2">
      <c r="A529" s="1">
        <v>10628</v>
      </c>
      <c r="B529" s="1" t="s">
        <v>46</v>
      </c>
      <c r="C529" s="1" t="s">
        <v>47</v>
      </c>
      <c r="D529" s="1" t="s">
        <v>27</v>
      </c>
      <c r="E529" s="3">
        <v>180</v>
      </c>
      <c r="F529" s="3">
        <v>450</v>
      </c>
      <c r="G529" s="13">
        <v>940</v>
      </c>
      <c r="H529" s="3">
        <v>423000</v>
      </c>
      <c r="I529" s="3">
        <v>253800</v>
      </c>
      <c r="J529" s="1" t="s">
        <v>28</v>
      </c>
      <c r="K529" s="1" t="s">
        <v>44</v>
      </c>
      <c r="L529" s="1" t="s">
        <v>60</v>
      </c>
      <c r="M529" s="1">
        <v>2019</v>
      </c>
      <c r="N529" s="1" t="str">
        <f t="shared" si="8"/>
        <v>Francophone</v>
      </c>
      <c r="O529" s="3" t="str">
        <f>_xlfn.XLOOKUP(D:D,MappingTable[Brand],MappingTable[Brand Type], "not found")</f>
        <v>Beer</v>
      </c>
      <c r="P529" t="str">
        <f>_xlfn.XLOOKUP(L:L,MappingTable2[Month],MappingTable2[Quarters],"NIL")</f>
        <v>Q4</v>
      </c>
      <c r="Q529" s="1"/>
    </row>
    <row r="530" spans="1:17" x14ac:dyDescent="0.2">
      <c r="A530" s="1">
        <v>10629</v>
      </c>
      <c r="B530" s="1" t="s">
        <v>31</v>
      </c>
      <c r="C530" s="1" t="s">
        <v>32</v>
      </c>
      <c r="D530" s="1" t="s">
        <v>33</v>
      </c>
      <c r="E530" s="3">
        <v>170</v>
      </c>
      <c r="F530" s="3">
        <v>250</v>
      </c>
      <c r="G530" s="13">
        <v>899</v>
      </c>
      <c r="H530" s="3">
        <v>224750</v>
      </c>
      <c r="I530" s="3">
        <v>71920</v>
      </c>
      <c r="J530" s="1" t="s">
        <v>34</v>
      </c>
      <c r="K530" s="1" t="s">
        <v>17</v>
      </c>
      <c r="L530" s="1" t="s">
        <v>18</v>
      </c>
      <c r="M530" s="1">
        <v>2019</v>
      </c>
      <c r="N530" s="1" t="str">
        <f t="shared" si="8"/>
        <v>Francophone</v>
      </c>
      <c r="O530" s="3" t="str">
        <f>_xlfn.XLOOKUP(D:D,MappingTable[Brand],MappingTable[Brand Type], "not found")</f>
        <v>Beer</v>
      </c>
      <c r="P530" t="str">
        <f>_xlfn.XLOOKUP(L:L,MappingTable2[Month],MappingTable2[Quarters],"NIL")</f>
        <v>Q1</v>
      </c>
      <c r="Q530" s="1"/>
    </row>
    <row r="531" spans="1:17" x14ac:dyDescent="0.2">
      <c r="A531" s="1">
        <v>10630</v>
      </c>
      <c r="B531" s="1" t="s">
        <v>51</v>
      </c>
      <c r="C531" s="1" t="s">
        <v>52</v>
      </c>
      <c r="D531" s="1" t="s">
        <v>39</v>
      </c>
      <c r="E531" s="3">
        <v>150</v>
      </c>
      <c r="F531" s="3">
        <v>200</v>
      </c>
      <c r="G531" s="13">
        <v>907</v>
      </c>
      <c r="H531" s="3">
        <v>181400</v>
      </c>
      <c r="I531" s="3">
        <v>45350</v>
      </c>
      <c r="J531" s="1" t="s">
        <v>40</v>
      </c>
      <c r="K531" s="1" t="s">
        <v>23</v>
      </c>
      <c r="L531" s="1" t="s">
        <v>24</v>
      </c>
      <c r="M531" s="1">
        <v>2018</v>
      </c>
      <c r="N531" s="1" t="str">
        <f t="shared" si="8"/>
        <v>Francophone</v>
      </c>
      <c r="O531" s="3" t="str">
        <f>_xlfn.XLOOKUP(D:D,MappingTable[Brand],MappingTable[Brand Type], "not found")</f>
        <v>Beer</v>
      </c>
      <c r="P531" t="str">
        <f>_xlfn.XLOOKUP(L:L,MappingTable2[Month],MappingTable2[Quarters],"NIL")</f>
        <v>Q1</v>
      </c>
      <c r="Q531" s="1"/>
    </row>
    <row r="532" spans="1:17" x14ac:dyDescent="0.2">
      <c r="A532" s="1">
        <v>10631</v>
      </c>
      <c r="B532" s="1" t="s">
        <v>54</v>
      </c>
      <c r="C532" s="1" t="s">
        <v>55</v>
      </c>
      <c r="D532" s="1" t="s">
        <v>43</v>
      </c>
      <c r="E532" s="3">
        <v>80</v>
      </c>
      <c r="F532" s="3">
        <v>150</v>
      </c>
      <c r="G532" s="13">
        <v>929</v>
      </c>
      <c r="H532" s="3">
        <v>139350</v>
      </c>
      <c r="I532" s="3">
        <v>65030</v>
      </c>
      <c r="J532" s="1" t="s">
        <v>16</v>
      </c>
      <c r="K532" s="1" t="s">
        <v>29</v>
      </c>
      <c r="L532" s="1" t="s">
        <v>30</v>
      </c>
      <c r="M532" s="1">
        <v>2019</v>
      </c>
      <c r="N532" s="1" t="str">
        <f t="shared" si="8"/>
        <v>Anglophone</v>
      </c>
      <c r="O532" s="3" t="str">
        <f>_xlfn.XLOOKUP(D:D,MappingTable[Brand],MappingTable[Brand Type], "not found")</f>
        <v>Malt</v>
      </c>
      <c r="P532" t="str">
        <f>_xlfn.XLOOKUP(L:L,MappingTable2[Month],MappingTable2[Quarters],"NIL")</f>
        <v>Q1</v>
      </c>
      <c r="Q532" s="1"/>
    </row>
    <row r="533" spans="1:17" x14ac:dyDescent="0.2">
      <c r="A533" s="1">
        <v>10632</v>
      </c>
      <c r="B533" s="1" t="s">
        <v>57</v>
      </c>
      <c r="C533" s="1" t="s">
        <v>58</v>
      </c>
      <c r="D533" s="1" t="s">
        <v>48</v>
      </c>
      <c r="E533" s="3">
        <v>90</v>
      </c>
      <c r="F533" s="3">
        <v>150</v>
      </c>
      <c r="G533" s="13">
        <v>790</v>
      </c>
      <c r="H533" s="3">
        <v>118500</v>
      </c>
      <c r="I533" s="3">
        <v>47400</v>
      </c>
      <c r="J533" s="1" t="s">
        <v>22</v>
      </c>
      <c r="K533" s="1" t="s">
        <v>35</v>
      </c>
      <c r="L533" s="1" t="s">
        <v>36</v>
      </c>
      <c r="M533" s="1">
        <v>2018</v>
      </c>
      <c r="N533" s="1" t="str">
        <f t="shared" si="8"/>
        <v>Anglophone</v>
      </c>
      <c r="O533" s="3" t="str">
        <f>_xlfn.XLOOKUP(D:D,MappingTable[Brand],MappingTable[Brand Type], "not found")</f>
        <v>Malt</v>
      </c>
      <c r="P533" t="str">
        <f>_xlfn.XLOOKUP(L:L,MappingTable2[Month],MappingTable2[Quarters],"NIL")</f>
        <v>Q2</v>
      </c>
      <c r="Q533" s="1"/>
    </row>
    <row r="534" spans="1:17" x14ac:dyDescent="0.2">
      <c r="A534" s="1">
        <v>10633</v>
      </c>
      <c r="B534" s="1" t="s">
        <v>31</v>
      </c>
      <c r="C534" s="1" t="s">
        <v>32</v>
      </c>
      <c r="D534" s="1" t="s">
        <v>15</v>
      </c>
      <c r="E534" s="3">
        <v>150</v>
      </c>
      <c r="F534" s="3">
        <v>200</v>
      </c>
      <c r="G534" s="13">
        <v>939</v>
      </c>
      <c r="H534" s="3">
        <v>187800</v>
      </c>
      <c r="I534" s="3">
        <v>46950</v>
      </c>
      <c r="J534" s="1" t="s">
        <v>28</v>
      </c>
      <c r="K534" s="1" t="s">
        <v>41</v>
      </c>
      <c r="L534" s="1" t="s">
        <v>42</v>
      </c>
      <c r="M534" s="1">
        <v>2018</v>
      </c>
      <c r="N534" s="1" t="str">
        <f t="shared" si="8"/>
        <v>Francophone</v>
      </c>
      <c r="O534" s="3" t="str">
        <f>_xlfn.XLOOKUP(D:D,MappingTable[Brand],MappingTable[Brand Type], "not found")</f>
        <v>Beer</v>
      </c>
      <c r="P534" t="str">
        <f>_xlfn.XLOOKUP(L:L,MappingTable2[Month],MappingTable2[Quarters],"NIL")</f>
        <v>Q2</v>
      </c>
      <c r="Q534" s="1"/>
    </row>
    <row r="535" spans="1:17" x14ac:dyDescent="0.2">
      <c r="A535" s="1">
        <v>10634</v>
      </c>
      <c r="B535" s="1" t="s">
        <v>61</v>
      </c>
      <c r="C535" s="1" t="s">
        <v>62</v>
      </c>
      <c r="D535" s="1" t="s">
        <v>21</v>
      </c>
      <c r="E535" s="3">
        <v>250</v>
      </c>
      <c r="F535" s="3">
        <v>500</v>
      </c>
      <c r="G535" s="13">
        <v>720</v>
      </c>
      <c r="H535" s="3">
        <v>360000</v>
      </c>
      <c r="I535" s="3">
        <v>180000</v>
      </c>
      <c r="J535" s="1" t="s">
        <v>34</v>
      </c>
      <c r="K535" s="1" t="s">
        <v>44</v>
      </c>
      <c r="L535" s="1" t="s">
        <v>45</v>
      </c>
      <c r="M535" s="1">
        <v>2019</v>
      </c>
      <c r="N535" s="1" t="str">
        <f t="shared" si="8"/>
        <v>Francophone</v>
      </c>
      <c r="O535" s="3" t="str">
        <f>_xlfn.XLOOKUP(D:D,MappingTable[Brand],MappingTable[Brand Type], "not found")</f>
        <v>Beer</v>
      </c>
      <c r="P535" t="str">
        <f>_xlfn.XLOOKUP(L:L,MappingTable2[Month],MappingTable2[Quarters],"NIL")</f>
        <v>Q2</v>
      </c>
      <c r="Q535" s="1"/>
    </row>
    <row r="536" spans="1:17" x14ac:dyDescent="0.2">
      <c r="A536" s="1">
        <v>10635</v>
      </c>
      <c r="B536" s="1" t="s">
        <v>31</v>
      </c>
      <c r="C536" s="1" t="s">
        <v>32</v>
      </c>
      <c r="D536" s="1" t="s">
        <v>27</v>
      </c>
      <c r="E536" s="3">
        <v>180</v>
      </c>
      <c r="F536" s="3">
        <v>450</v>
      </c>
      <c r="G536" s="13">
        <v>745</v>
      </c>
      <c r="H536" s="3">
        <v>335250</v>
      </c>
      <c r="I536" s="3">
        <v>201150</v>
      </c>
      <c r="J536" s="1" t="s">
        <v>40</v>
      </c>
      <c r="K536" s="1" t="s">
        <v>17</v>
      </c>
      <c r="L536" s="1" t="s">
        <v>49</v>
      </c>
      <c r="M536" s="1">
        <v>2018</v>
      </c>
      <c r="N536" s="1" t="str">
        <f t="shared" si="8"/>
        <v>Francophone</v>
      </c>
      <c r="O536" s="3" t="str">
        <f>_xlfn.XLOOKUP(D:D,MappingTable[Brand],MappingTable[Brand Type], "not found")</f>
        <v>Beer</v>
      </c>
      <c r="P536" t="str">
        <f>_xlfn.XLOOKUP(L:L,MappingTable2[Month],MappingTable2[Quarters],"NIL")</f>
        <v>Q3</v>
      </c>
      <c r="Q536" s="1"/>
    </row>
    <row r="537" spans="1:17" x14ac:dyDescent="0.2">
      <c r="A537" s="1">
        <v>10636</v>
      </c>
      <c r="B537" s="1" t="s">
        <v>13</v>
      </c>
      <c r="C537" s="1" t="s">
        <v>14</v>
      </c>
      <c r="D537" s="1" t="s">
        <v>33</v>
      </c>
      <c r="E537" s="3">
        <v>170</v>
      </c>
      <c r="F537" s="3">
        <v>250</v>
      </c>
      <c r="G537" s="13">
        <v>846</v>
      </c>
      <c r="H537" s="3">
        <v>211500</v>
      </c>
      <c r="I537" s="3">
        <v>67680</v>
      </c>
      <c r="J537" s="1" t="s">
        <v>16</v>
      </c>
      <c r="K537" s="1" t="s">
        <v>23</v>
      </c>
      <c r="L537" s="1" t="s">
        <v>50</v>
      </c>
      <c r="M537" s="1">
        <v>2017</v>
      </c>
      <c r="N537" s="1" t="str">
        <f t="shared" si="8"/>
        <v>Anglophone</v>
      </c>
      <c r="O537" s="3" t="str">
        <f>_xlfn.XLOOKUP(D:D,MappingTable[Brand],MappingTable[Brand Type], "not found")</f>
        <v>Beer</v>
      </c>
      <c r="P537" t="str">
        <f>_xlfn.XLOOKUP(L:L,MappingTable2[Month],MappingTable2[Quarters],"NIL")</f>
        <v>Q3</v>
      </c>
      <c r="Q537" s="1"/>
    </row>
    <row r="538" spans="1:17" x14ac:dyDescent="0.2">
      <c r="A538" s="1">
        <v>10637</v>
      </c>
      <c r="B538" s="1" t="s">
        <v>19</v>
      </c>
      <c r="C538" s="1" t="s">
        <v>20</v>
      </c>
      <c r="D538" s="1" t="s">
        <v>39</v>
      </c>
      <c r="E538" s="3">
        <v>150</v>
      </c>
      <c r="F538" s="3">
        <v>200</v>
      </c>
      <c r="G538" s="13">
        <v>937</v>
      </c>
      <c r="H538" s="3">
        <v>187400</v>
      </c>
      <c r="I538" s="3">
        <v>46850</v>
      </c>
      <c r="J538" s="1" t="s">
        <v>22</v>
      </c>
      <c r="K538" s="1" t="s">
        <v>29</v>
      </c>
      <c r="L538" s="1" t="s">
        <v>53</v>
      </c>
      <c r="M538" s="1">
        <v>2018</v>
      </c>
      <c r="N538" s="1" t="str">
        <f t="shared" si="8"/>
        <v>Anglophone</v>
      </c>
      <c r="O538" s="3" t="str">
        <f>_xlfn.XLOOKUP(D:D,MappingTable[Brand],MappingTable[Brand Type], "not found")</f>
        <v>Beer</v>
      </c>
      <c r="P538" t="str">
        <f>_xlfn.XLOOKUP(L:L,MappingTable2[Month],MappingTable2[Quarters],"NIL")</f>
        <v>Q3</v>
      </c>
      <c r="Q538" s="1"/>
    </row>
    <row r="539" spans="1:17" x14ac:dyDescent="0.2">
      <c r="A539" s="1">
        <v>10638</v>
      </c>
      <c r="B539" s="1" t="s">
        <v>25</v>
      </c>
      <c r="C539" s="1" t="s">
        <v>26</v>
      </c>
      <c r="D539" s="1" t="s">
        <v>43</v>
      </c>
      <c r="E539" s="3">
        <v>80</v>
      </c>
      <c r="F539" s="3">
        <v>150</v>
      </c>
      <c r="G539" s="13">
        <v>874</v>
      </c>
      <c r="H539" s="3">
        <v>131100</v>
      </c>
      <c r="I539" s="3">
        <v>61180</v>
      </c>
      <c r="J539" s="1" t="s">
        <v>28</v>
      </c>
      <c r="K539" s="1" t="s">
        <v>35</v>
      </c>
      <c r="L539" s="1" t="s">
        <v>56</v>
      </c>
      <c r="M539" s="1">
        <v>2018</v>
      </c>
      <c r="N539" s="1" t="str">
        <f t="shared" si="8"/>
        <v>Francophone</v>
      </c>
      <c r="O539" s="3" t="str">
        <f>_xlfn.XLOOKUP(D:D,MappingTable[Brand],MappingTable[Brand Type], "not found")</f>
        <v>Malt</v>
      </c>
      <c r="P539" t="str">
        <f>_xlfn.XLOOKUP(L:L,MappingTable2[Month],MappingTable2[Quarters],"NIL")</f>
        <v>Q4</v>
      </c>
      <c r="Q539" s="1"/>
    </row>
    <row r="540" spans="1:17" x14ac:dyDescent="0.2">
      <c r="A540" s="1">
        <v>10639</v>
      </c>
      <c r="B540" s="1" t="s">
        <v>31</v>
      </c>
      <c r="C540" s="1" t="s">
        <v>32</v>
      </c>
      <c r="D540" s="1" t="s">
        <v>48</v>
      </c>
      <c r="E540" s="3">
        <v>90</v>
      </c>
      <c r="F540" s="3">
        <v>150</v>
      </c>
      <c r="G540" s="13">
        <v>822</v>
      </c>
      <c r="H540" s="3">
        <v>123300</v>
      </c>
      <c r="I540" s="3">
        <v>49320</v>
      </c>
      <c r="J540" s="1" t="s">
        <v>34</v>
      </c>
      <c r="K540" s="1" t="s">
        <v>41</v>
      </c>
      <c r="L540" s="1" t="s">
        <v>59</v>
      </c>
      <c r="M540" s="1">
        <v>2018</v>
      </c>
      <c r="N540" s="1" t="str">
        <f t="shared" si="8"/>
        <v>Francophone</v>
      </c>
      <c r="O540" s="3" t="str">
        <f>_xlfn.XLOOKUP(D:D,MappingTable[Brand],MappingTable[Brand Type], "not found")</f>
        <v>Malt</v>
      </c>
      <c r="P540" t="str">
        <f>_xlfn.XLOOKUP(L:L,MappingTable2[Month],MappingTable2[Quarters],"NIL")</f>
        <v>Q4</v>
      </c>
      <c r="Q540" s="1"/>
    </row>
    <row r="541" spans="1:17" x14ac:dyDescent="0.2">
      <c r="A541" s="1">
        <v>10640</v>
      </c>
      <c r="B541" s="1" t="s">
        <v>37</v>
      </c>
      <c r="C541" s="1" t="s">
        <v>38</v>
      </c>
      <c r="D541" s="1" t="s">
        <v>15</v>
      </c>
      <c r="E541" s="3">
        <v>150</v>
      </c>
      <c r="F541" s="3">
        <v>200</v>
      </c>
      <c r="G541" s="13">
        <v>737</v>
      </c>
      <c r="H541" s="3">
        <v>147400</v>
      </c>
      <c r="I541" s="3">
        <v>36850</v>
      </c>
      <c r="J541" s="1" t="s">
        <v>40</v>
      </c>
      <c r="K541" s="1" t="s">
        <v>44</v>
      </c>
      <c r="L541" s="1" t="s">
        <v>60</v>
      </c>
      <c r="M541" s="1">
        <v>2017</v>
      </c>
      <c r="N541" s="1" t="str">
        <f t="shared" si="8"/>
        <v>Francophone</v>
      </c>
      <c r="O541" s="3" t="str">
        <f>_xlfn.XLOOKUP(D:D,MappingTable[Brand],MappingTable[Brand Type], "not found")</f>
        <v>Beer</v>
      </c>
      <c r="P541" t="str">
        <f>_xlfn.XLOOKUP(L:L,MappingTable2[Month],MappingTable2[Quarters],"NIL")</f>
        <v>Q4</v>
      </c>
      <c r="Q541" s="1"/>
    </row>
    <row r="542" spans="1:17" x14ac:dyDescent="0.2">
      <c r="A542" s="1">
        <v>10641</v>
      </c>
      <c r="B542" s="1" t="s">
        <v>13</v>
      </c>
      <c r="C542" s="1" t="s">
        <v>14</v>
      </c>
      <c r="D542" s="1" t="s">
        <v>21</v>
      </c>
      <c r="E542" s="3">
        <v>250</v>
      </c>
      <c r="F542" s="3">
        <v>500</v>
      </c>
      <c r="G542" s="13">
        <v>759</v>
      </c>
      <c r="H542" s="3">
        <v>379500</v>
      </c>
      <c r="I542" s="3">
        <v>189750</v>
      </c>
      <c r="J542" s="1" t="s">
        <v>16</v>
      </c>
      <c r="K542" s="1" t="s">
        <v>17</v>
      </c>
      <c r="L542" s="1" t="s">
        <v>18</v>
      </c>
      <c r="M542" s="1">
        <v>2018</v>
      </c>
      <c r="N542" s="1" t="str">
        <f t="shared" si="8"/>
        <v>Anglophone</v>
      </c>
      <c r="O542" s="3" t="str">
        <f>_xlfn.XLOOKUP(D:D,MappingTable[Brand],MappingTable[Brand Type], "not found")</f>
        <v>Beer</v>
      </c>
      <c r="P542" t="str">
        <f>_xlfn.XLOOKUP(L:L,MappingTable2[Month],MappingTable2[Quarters],"NIL")</f>
        <v>Q1</v>
      </c>
      <c r="Q542" s="1"/>
    </row>
    <row r="543" spans="1:17" x14ac:dyDescent="0.2">
      <c r="A543" s="1">
        <v>10642</v>
      </c>
      <c r="B543" s="1" t="s">
        <v>46</v>
      </c>
      <c r="C543" s="1" t="s">
        <v>47</v>
      </c>
      <c r="D543" s="1" t="s">
        <v>27</v>
      </c>
      <c r="E543" s="3">
        <v>180</v>
      </c>
      <c r="F543" s="3">
        <v>450</v>
      </c>
      <c r="G543" s="13">
        <v>877</v>
      </c>
      <c r="H543" s="3">
        <v>394650</v>
      </c>
      <c r="I543" s="3">
        <v>236790</v>
      </c>
      <c r="J543" s="1" t="s">
        <v>22</v>
      </c>
      <c r="K543" s="1" t="s">
        <v>23</v>
      </c>
      <c r="L543" s="1" t="s">
        <v>24</v>
      </c>
      <c r="M543" s="1">
        <v>2018</v>
      </c>
      <c r="N543" s="1" t="str">
        <f t="shared" si="8"/>
        <v>Anglophone</v>
      </c>
      <c r="O543" s="3" t="str">
        <f>_xlfn.XLOOKUP(D:D,MappingTable[Brand],MappingTable[Brand Type], "not found")</f>
        <v>Beer</v>
      </c>
      <c r="P543" t="str">
        <f>_xlfn.XLOOKUP(L:L,MappingTable2[Month],MappingTable2[Quarters],"NIL")</f>
        <v>Q1</v>
      </c>
      <c r="Q543" s="1"/>
    </row>
    <row r="544" spans="1:17" x14ac:dyDescent="0.2">
      <c r="A544" s="1">
        <v>10643</v>
      </c>
      <c r="B544" s="1" t="s">
        <v>31</v>
      </c>
      <c r="C544" s="1" t="s">
        <v>32</v>
      </c>
      <c r="D544" s="1" t="s">
        <v>33</v>
      </c>
      <c r="E544" s="3">
        <v>170</v>
      </c>
      <c r="F544" s="3">
        <v>250</v>
      </c>
      <c r="G544" s="13">
        <v>874</v>
      </c>
      <c r="H544" s="3">
        <v>218500</v>
      </c>
      <c r="I544" s="3">
        <v>69920</v>
      </c>
      <c r="J544" s="1" t="s">
        <v>28</v>
      </c>
      <c r="K544" s="1" t="s">
        <v>29</v>
      </c>
      <c r="L544" s="1" t="s">
        <v>30</v>
      </c>
      <c r="M544" s="1">
        <v>2017</v>
      </c>
      <c r="N544" s="1" t="str">
        <f t="shared" si="8"/>
        <v>Francophone</v>
      </c>
      <c r="O544" s="3" t="str">
        <f>_xlfn.XLOOKUP(D:D,MappingTable[Brand],MappingTable[Brand Type], "not found")</f>
        <v>Beer</v>
      </c>
      <c r="P544" t="str">
        <f>_xlfn.XLOOKUP(L:L,MappingTable2[Month],MappingTable2[Quarters],"NIL")</f>
        <v>Q1</v>
      </c>
      <c r="Q544" s="1"/>
    </row>
    <row r="545" spans="1:17" x14ac:dyDescent="0.2">
      <c r="A545" s="1">
        <v>10644</v>
      </c>
      <c r="B545" s="1" t="s">
        <v>51</v>
      </c>
      <c r="C545" s="1" t="s">
        <v>52</v>
      </c>
      <c r="D545" s="1" t="s">
        <v>39</v>
      </c>
      <c r="E545" s="3">
        <v>150</v>
      </c>
      <c r="F545" s="3">
        <v>200</v>
      </c>
      <c r="G545" s="13">
        <v>763</v>
      </c>
      <c r="H545" s="3">
        <v>152600</v>
      </c>
      <c r="I545" s="3">
        <v>38150</v>
      </c>
      <c r="J545" s="1" t="s">
        <v>34</v>
      </c>
      <c r="K545" s="1" t="s">
        <v>35</v>
      </c>
      <c r="L545" s="1" t="s">
        <v>36</v>
      </c>
      <c r="M545" s="1">
        <v>2018</v>
      </c>
      <c r="N545" s="1" t="str">
        <f t="shared" si="8"/>
        <v>Francophone</v>
      </c>
      <c r="O545" s="3" t="str">
        <f>_xlfn.XLOOKUP(D:D,MappingTable[Brand],MappingTable[Brand Type], "not found")</f>
        <v>Beer</v>
      </c>
      <c r="P545" t="str">
        <f>_xlfn.XLOOKUP(L:L,MappingTable2[Month],MappingTable2[Quarters],"NIL")</f>
        <v>Q2</v>
      </c>
      <c r="Q545" s="1"/>
    </row>
    <row r="546" spans="1:17" x14ac:dyDescent="0.2">
      <c r="A546" s="1">
        <v>10645</v>
      </c>
      <c r="B546" s="1" t="s">
        <v>54</v>
      </c>
      <c r="C546" s="1" t="s">
        <v>55</v>
      </c>
      <c r="D546" s="1" t="s">
        <v>43</v>
      </c>
      <c r="E546" s="3">
        <v>80</v>
      </c>
      <c r="F546" s="3">
        <v>150</v>
      </c>
      <c r="G546" s="13">
        <v>793</v>
      </c>
      <c r="H546" s="3">
        <v>118950</v>
      </c>
      <c r="I546" s="3">
        <v>55510</v>
      </c>
      <c r="J546" s="1" t="s">
        <v>40</v>
      </c>
      <c r="K546" s="1" t="s">
        <v>41</v>
      </c>
      <c r="L546" s="1" t="s">
        <v>42</v>
      </c>
      <c r="M546" s="1">
        <v>2018</v>
      </c>
      <c r="N546" s="1" t="str">
        <f t="shared" si="8"/>
        <v>Francophone</v>
      </c>
      <c r="O546" s="3" t="str">
        <f>_xlfn.XLOOKUP(D:D,MappingTable[Brand],MappingTable[Brand Type], "not found")</f>
        <v>Malt</v>
      </c>
      <c r="P546" t="str">
        <f>_xlfn.XLOOKUP(L:L,MappingTable2[Month],MappingTable2[Quarters],"NIL")</f>
        <v>Q2</v>
      </c>
      <c r="Q546" s="1"/>
    </row>
    <row r="547" spans="1:17" x14ac:dyDescent="0.2">
      <c r="A547" s="1">
        <v>10646</v>
      </c>
      <c r="B547" s="1" t="s">
        <v>57</v>
      </c>
      <c r="C547" s="1" t="s">
        <v>58</v>
      </c>
      <c r="D547" s="1" t="s">
        <v>48</v>
      </c>
      <c r="E547" s="3">
        <v>90</v>
      </c>
      <c r="F547" s="3">
        <v>150</v>
      </c>
      <c r="G547" s="13">
        <v>937</v>
      </c>
      <c r="H547" s="3">
        <v>140550</v>
      </c>
      <c r="I547" s="3">
        <v>56220</v>
      </c>
      <c r="J547" s="1" t="s">
        <v>16</v>
      </c>
      <c r="K547" s="1" t="s">
        <v>44</v>
      </c>
      <c r="L547" s="1" t="s">
        <v>45</v>
      </c>
      <c r="M547" s="1">
        <v>2019</v>
      </c>
      <c r="N547" s="1" t="str">
        <f t="shared" si="8"/>
        <v>Anglophone</v>
      </c>
      <c r="O547" s="3" t="str">
        <f>_xlfn.XLOOKUP(D:D,MappingTable[Brand],MappingTable[Brand Type], "not found")</f>
        <v>Malt</v>
      </c>
      <c r="P547" t="str">
        <f>_xlfn.XLOOKUP(L:L,MappingTable2[Month],MappingTable2[Quarters],"NIL")</f>
        <v>Q2</v>
      </c>
      <c r="Q547" s="1"/>
    </row>
    <row r="548" spans="1:17" x14ac:dyDescent="0.2">
      <c r="A548" s="1">
        <v>10647</v>
      </c>
      <c r="B548" s="1" t="s">
        <v>31</v>
      </c>
      <c r="C548" s="1" t="s">
        <v>32</v>
      </c>
      <c r="D548" s="1" t="s">
        <v>15</v>
      </c>
      <c r="E548" s="3">
        <v>150</v>
      </c>
      <c r="F548" s="3">
        <v>200</v>
      </c>
      <c r="G548" s="13">
        <v>865</v>
      </c>
      <c r="H548" s="3">
        <v>173000</v>
      </c>
      <c r="I548" s="3">
        <v>43250</v>
      </c>
      <c r="J548" s="1" t="s">
        <v>22</v>
      </c>
      <c r="K548" s="1" t="s">
        <v>17</v>
      </c>
      <c r="L548" s="1" t="s">
        <v>49</v>
      </c>
      <c r="M548" s="1">
        <v>2018</v>
      </c>
      <c r="N548" s="1" t="str">
        <f t="shared" si="8"/>
        <v>Anglophone</v>
      </c>
      <c r="O548" s="3" t="str">
        <f>_xlfn.XLOOKUP(D:D,MappingTable[Brand],MappingTable[Brand Type], "not found")</f>
        <v>Beer</v>
      </c>
      <c r="P548" t="str">
        <f>_xlfn.XLOOKUP(L:L,MappingTable2[Month],MappingTable2[Quarters],"NIL")</f>
        <v>Q3</v>
      </c>
      <c r="Q548" s="1"/>
    </row>
    <row r="549" spans="1:17" x14ac:dyDescent="0.2">
      <c r="A549" s="1">
        <v>10648</v>
      </c>
      <c r="B549" s="1" t="s">
        <v>61</v>
      </c>
      <c r="C549" s="1" t="s">
        <v>62</v>
      </c>
      <c r="D549" s="1" t="s">
        <v>21</v>
      </c>
      <c r="E549" s="3">
        <v>250</v>
      </c>
      <c r="F549" s="3">
        <v>500</v>
      </c>
      <c r="G549" s="13">
        <v>942</v>
      </c>
      <c r="H549" s="3">
        <v>471000</v>
      </c>
      <c r="I549" s="3">
        <v>235500</v>
      </c>
      <c r="J549" s="1" t="s">
        <v>28</v>
      </c>
      <c r="K549" s="1" t="s">
        <v>23</v>
      </c>
      <c r="L549" s="1" t="s">
        <v>50</v>
      </c>
      <c r="M549" s="1">
        <v>2019</v>
      </c>
      <c r="N549" s="1" t="str">
        <f t="shared" si="8"/>
        <v>Francophone</v>
      </c>
      <c r="O549" s="3" t="str">
        <f>_xlfn.XLOOKUP(D:D,MappingTable[Brand],MappingTable[Brand Type], "not found")</f>
        <v>Beer</v>
      </c>
      <c r="P549" t="str">
        <f>_xlfn.XLOOKUP(L:L,MappingTable2[Month],MappingTable2[Quarters],"NIL")</f>
        <v>Q3</v>
      </c>
      <c r="Q549" s="1"/>
    </row>
    <row r="550" spans="1:17" x14ac:dyDescent="0.2">
      <c r="A550" s="1">
        <v>10649</v>
      </c>
      <c r="B550" s="1" t="s">
        <v>31</v>
      </c>
      <c r="C550" s="1" t="s">
        <v>32</v>
      </c>
      <c r="D550" s="1" t="s">
        <v>27</v>
      </c>
      <c r="E550" s="3">
        <v>180</v>
      </c>
      <c r="F550" s="3">
        <v>450</v>
      </c>
      <c r="G550" s="13">
        <v>815</v>
      </c>
      <c r="H550" s="3">
        <v>366750</v>
      </c>
      <c r="I550" s="3">
        <v>220050</v>
      </c>
      <c r="J550" s="1" t="s">
        <v>34</v>
      </c>
      <c r="K550" s="1" t="s">
        <v>29</v>
      </c>
      <c r="L550" s="1" t="s">
        <v>53</v>
      </c>
      <c r="M550" s="1">
        <v>2017</v>
      </c>
      <c r="N550" s="1" t="str">
        <f t="shared" si="8"/>
        <v>Francophone</v>
      </c>
      <c r="O550" s="3" t="str">
        <f>_xlfn.XLOOKUP(D:D,MappingTable[Brand],MappingTable[Brand Type], "not found")</f>
        <v>Beer</v>
      </c>
      <c r="P550" t="str">
        <f>_xlfn.XLOOKUP(L:L,MappingTable2[Month],MappingTable2[Quarters],"NIL")</f>
        <v>Q3</v>
      </c>
      <c r="Q550" s="1"/>
    </row>
    <row r="551" spans="1:17" x14ac:dyDescent="0.2">
      <c r="A551" s="1">
        <v>10650</v>
      </c>
      <c r="B551" s="1" t="s">
        <v>51</v>
      </c>
      <c r="C551" s="1" t="s">
        <v>52</v>
      </c>
      <c r="D551" s="1" t="s">
        <v>33</v>
      </c>
      <c r="E551" s="3">
        <v>170</v>
      </c>
      <c r="F551" s="3">
        <v>250</v>
      </c>
      <c r="G551" s="13">
        <v>958</v>
      </c>
      <c r="H551" s="3">
        <v>239500</v>
      </c>
      <c r="I551" s="3">
        <v>76640</v>
      </c>
      <c r="J551" s="1" t="s">
        <v>40</v>
      </c>
      <c r="K551" s="1" t="s">
        <v>35</v>
      </c>
      <c r="L551" s="1" t="s">
        <v>56</v>
      </c>
      <c r="M551" s="1">
        <v>2019</v>
      </c>
      <c r="N551" s="1" t="str">
        <f t="shared" si="8"/>
        <v>Francophone</v>
      </c>
      <c r="O551" s="3" t="str">
        <f>_xlfn.XLOOKUP(D:D,MappingTable[Brand],MappingTable[Brand Type], "not found")</f>
        <v>Beer</v>
      </c>
      <c r="P551" t="str">
        <f>_xlfn.XLOOKUP(L:L,MappingTable2[Month],MappingTable2[Quarters],"NIL")</f>
        <v>Q4</v>
      </c>
      <c r="Q551" s="1"/>
    </row>
    <row r="552" spans="1:17" x14ac:dyDescent="0.2">
      <c r="A552" s="1">
        <v>10651</v>
      </c>
      <c r="B552" s="1" t="s">
        <v>31</v>
      </c>
      <c r="C552" s="1" t="s">
        <v>32</v>
      </c>
      <c r="D552" s="1" t="s">
        <v>39</v>
      </c>
      <c r="E552" s="3">
        <v>150</v>
      </c>
      <c r="F552" s="3">
        <v>200</v>
      </c>
      <c r="G552" s="13">
        <v>869</v>
      </c>
      <c r="H552" s="3">
        <v>173800</v>
      </c>
      <c r="I552" s="3">
        <v>43450</v>
      </c>
      <c r="J552" s="1" t="s">
        <v>16</v>
      </c>
      <c r="K552" s="1" t="s">
        <v>41</v>
      </c>
      <c r="L552" s="1" t="s">
        <v>59</v>
      </c>
      <c r="M552" s="1">
        <v>2018</v>
      </c>
      <c r="N552" s="1" t="str">
        <f t="shared" si="8"/>
        <v>Anglophone</v>
      </c>
      <c r="O552" s="3" t="str">
        <f>_xlfn.XLOOKUP(D:D,MappingTable[Brand],MappingTable[Brand Type], "not found")</f>
        <v>Beer</v>
      </c>
      <c r="P552" t="str">
        <f>_xlfn.XLOOKUP(L:L,MappingTable2[Month],MappingTable2[Quarters],"NIL")</f>
        <v>Q4</v>
      </c>
      <c r="Q552" s="1"/>
    </row>
    <row r="553" spans="1:17" x14ac:dyDescent="0.2">
      <c r="A553" s="1">
        <v>10652</v>
      </c>
      <c r="B553" s="1" t="s">
        <v>57</v>
      </c>
      <c r="C553" s="1" t="s">
        <v>58</v>
      </c>
      <c r="D553" s="1" t="s">
        <v>43</v>
      </c>
      <c r="E553" s="3">
        <v>80</v>
      </c>
      <c r="F553" s="3">
        <v>150</v>
      </c>
      <c r="G553" s="13">
        <v>750</v>
      </c>
      <c r="H553" s="3">
        <v>112500</v>
      </c>
      <c r="I553" s="3">
        <v>52500</v>
      </c>
      <c r="J553" s="1" t="s">
        <v>22</v>
      </c>
      <c r="K553" s="1" t="s">
        <v>44</v>
      </c>
      <c r="L553" s="1" t="s">
        <v>60</v>
      </c>
      <c r="M553" s="1">
        <v>2018</v>
      </c>
      <c r="N553" s="1" t="str">
        <f t="shared" si="8"/>
        <v>Anglophone</v>
      </c>
      <c r="O553" s="3" t="str">
        <f>_xlfn.XLOOKUP(D:D,MappingTable[Brand],MappingTable[Brand Type], "not found")</f>
        <v>Malt</v>
      </c>
      <c r="P553" t="str">
        <f>_xlfn.XLOOKUP(L:L,MappingTable2[Month],MappingTable2[Quarters],"NIL")</f>
        <v>Q4</v>
      </c>
      <c r="Q553" s="1"/>
    </row>
    <row r="554" spans="1:17" x14ac:dyDescent="0.2">
      <c r="A554" s="1">
        <v>10653</v>
      </c>
      <c r="B554" s="1" t="s">
        <v>63</v>
      </c>
      <c r="C554" s="1" t="s">
        <v>64</v>
      </c>
      <c r="D554" s="1" t="s">
        <v>48</v>
      </c>
      <c r="E554" s="3">
        <v>90</v>
      </c>
      <c r="F554" s="3">
        <v>150</v>
      </c>
      <c r="G554" s="13">
        <v>702</v>
      </c>
      <c r="H554" s="3">
        <v>105300</v>
      </c>
      <c r="I554" s="3">
        <v>42120</v>
      </c>
      <c r="J554" s="1" t="s">
        <v>28</v>
      </c>
      <c r="K554" s="1" t="s">
        <v>17</v>
      </c>
      <c r="L554" s="1" t="s">
        <v>18</v>
      </c>
      <c r="M554" s="1">
        <v>2017</v>
      </c>
      <c r="N554" s="1" t="str">
        <f t="shared" si="8"/>
        <v>Francophone</v>
      </c>
      <c r="O554" s="3" t="str">
        <f>_xlfn.XLOOKUP(D:D,MappingTable[Brand],MappingTable[Brand Type], "not found")</f>
        <v>Malt</v>
      </c>
      <c r="P554" t="str">
        <f>_xlfn.XLOOKUP(L:L,MappingTable2[Month],MappingTable2[Quarters],"NIL")</f>
        <v>Q1</v>
      </c>
      <c r="Q554" s="1"/>
    </row>
    <row r="555" spans="1:17" x14ac:dyDescent="0.2">
      <c r="A555" s="1">
        <v>10654</v>
      </c>
      <c r="B555" s="1" t="s">
        <v>61</v>
      </c>
      <c r="C555" s="1" t="s">
        <v>62</v>
      </c>
      <c r="D555" s="1" t="s">
        <v>15</v>
      </c>
      <c r="E555" s="3">
        <v>150</v>
      </c>
      <c r="F555" s="3">
        <v>200</v>
      </c>
      <c r="G555" s="13">
        <v>917</v>
      </c>
      <c r="H555" s="3">
        <v>183400</v>
      </c>
      <c r="I555" s="3">
        <v>45850</v>
      </c>
      <c r="J555" s="1" t="s">
        <v>34</v>
      </c>
      <c r="K555" s="1" t="s">
        <v>23</v>
      </c>
      <c r="L555" s="1" t="s">
        <v>24</v>
      </c>
      <c r="M555" s="1">
        <v>2019</v>
      </c>
      <c r="N555" s="1" t="str">
        <f t="shared" si="8"/>
        <v>Francophone</v>
      </c>
      <c r="O555" s="3" t="str">
        <f>_xlfn.XLOOKUP(D:D,MappingTable[Brand],MappingTable[Brand Type], "not found")</f>
        <v>Beer</v>
      </c>
      <c r="P555" t="str">
        <f>_xlfn.XLOOKUP(L:L,MappingTable2[Month],MappingTable2[Quarters],"NIL")</f>
        <v>Q1</v>
      </c>
      <c r="Q555" s="1"/>
    </row>
    <row r="556" spans="1:17" x14ac:dyDescent="0.2">
      <c r="A556" s="1">
        <v>10655</v>
      </c>
      <c r="B556" s="1" t="s">
        <v>57</v>
      </c>
      <c r="C556" s="1" t="s">
        <v>58</v>
      </c>
      <c r="D556" s="1" t="s">
        <v>21</v>
      </c>
      <c r="E556" s="3">
        <v>250</v>
      </c>
      <c r="F556" s="3">
        <v>500</v>
      </c>
      <c r="G556" s="13">
        <v>914</v>
      </c>
      <c r="H556" s="3">
        <v>457000</v>
      </c>
      <c r="I556" s="3">
        <v>228500</v>
      </c>
      <c r="J556" s="1" t="s">
        <v>40</v>
      </c>
      <c r="K556" s="1" t="s">
        <v>29</v>
      </c>
      <c r="L556" s="1" t="s">
        <v>30</v>
      </c>
      <c r="M556" s="1">
        <v>2019</v>
      </c>
      <c r="N556" s="1" t="str">
        <f t="shared" si="8"/>
        <v>Francophone</v>
      </c>
      <c r="O556" s="3" t="str">
        <f>_xlfn.XLOOKUP(D:D,MappingTable[Brand],MappingTable[Brand Type], "not found")</f>
        <v>Beer</v>
      </c>
      <c r="P556" t="str">
        <f>_xlfn.XLOOKUP(L:L,MappingTable2[Month],MappingTable2[Quarters],"NIL")</f>
        <v>Q1</v>
      </c>
      <c r="Q556" s="1"/>
    </row>
    <row r="557" spans="1:17" x14ac:dyDescent="0.2">
      <c r="A557" s="1">
        <v>10656</v>
      </c>
      <c r="B557" s="1" t="s">
        <v>19</v>
      </c>
      <c r="C557" s="1" t="s">
        <v>20</v>
      </c>
      <c r="D557" s="1" t="s">
        <v>27</v>
      </c>
      <c r="E557" s="3">
        <v>180</v>
      </c>
      <c r="F557" s="3">
        <v>450</v>
      </c>
      <c r="G557" s="13">
        <v>817</v>
      </c>
      <c r="H557" s="3">
        <v>367650</v>
      </c>
      <c r="I557" s="3">
        <v>220590</v>
      </c>
      <c r="J557" s="1" t="s">
        <v>16</v>
      </c>
      <c r="K557" s="1" t="s">
        <v>35</v>
      </c>
      <c r="L557" s="1" t="s">
        <v>36</v>
      </c>
      <c r="M557" s="1">
        <v>2018</v>
      </c>
      <c r="N557" s="1" t="str">
        <f t="shared" si="8"/>
        <v>Anglophone</v>
      </c>
      <c r="O557" s="3" t="str">
        <f>_xlfn.XLOOKUP(D:D,MappingTable[Brand],MappingTable[Brand Type], "not found")</f>
        <v>Beer</v>
      </c>
      <c r="P557" t="str">
        <f>_xlfn.XLOOKUP(L:L,MappingTable2[Month],MappingTable2[Quarters],"NIL")</f>
        <v>Q2</v>
      </c>
      <c r="Q557" s="1"/>
    </row>
    <row r="558" spans="1:17" x14ac:dyDescent="0.2">
      <c r="A558" s="1">
        <v>10657</v>
      </c>
      <c r="B558" s="1" t="s">
        <v>61</v>
      </c>
      <c r="C558" s="1" t="s">
        <v>62</v>
      </c>
      <c r="D558" s="1" t="s">
        <v>33</v>
      </c>
      <c r="E558" s="3">
        <v>170</v>
      </c>
      <c r="F558" s="3">
        <v>250</v>
      </c>
      <c r="G558" s="13">
        <v>913</v>
      </c>
      <c r="H558" s="3">
        <v>228250</v>
      </c>
      <c r="I558" s="3">
        <v>73040</v>
      </c>
      <c r="J558" s="1" t="s">
        <v>22</v>
      </c>
      <c r="K558" s="1" t="s">
        <v>41</v>
      </c>
      <c r="L558" s="1" t="s">
        <v>42</v>
      </c>
      <c r="M558" s="1">
        <v>2018</v>
      </c>
      <c r="N558" s="1" t="str">
        <f t="shared" si="8"/>
        <v>Anglophone</v>
      </c>
      <c r="O558" s="3" t="str">
        <f>_xlfn.XLOOKUP(D:D,MappingTable[Brand],MappingTable[Brand Type], "not found")</f>
        <v>Beer</v>
      </c>
      <c r="P558" t="str">
        <f>_xlfn.XLOOKUP(L:L,MappingTable2[Month],MappingTable2[Quarters],"NIL")</f>
        <v>Q2</v>
      </c>
      <c r="Q558" s="1"/>
    </row>
    <row r="559" spans="1:17" x14ac:dyDescent="0.2">
      <c r="A559" s="1">
        <v>10658</v>
      </c>
      <c r="B559" s="1" t="s">
        <v>31</v>
      </c>
      <c r="C559" s="1" t="s">
        <v>32</v>
      </c>
      <c r="D559" s="1" t="s">
        <v>39</v>
      </c>
      <c r="E559" s="3">
        <v>150</v>
      </c>
      <c r="F559" s="3">
        <v>200</v>
      </c>
      <c r="G559" s="13">
        <v>705</v>
      </c>
      <c r="H559" s="3">
        <v>141000</v>
      </c>
      <c r="I559" s="3">
        <v>35250</v>
      </c>
      <c r="J559" s="1" t="s">
        <v>28</v>
      </c>
      <c r="K559" s="1" t="s">
        <v>44</v>
      </c>
      <c r="L559" s="1" t="s">
        <v>45</v>
      </c>
      <c r="M559" s="1">
        <v>2018</v>
      </c>
      <c r="N559" s="1" t="str">
        <f t="shared" si="8"/>
        <v>Francophone</v>
      </c>
      <c r="O559" s="3" t="str">
        <f>_xlfn.XLOOKUP(D:D,MappingTable[Brand],MappingTable[Brand Type], "not found")</f>
        <v>Beer</v>
      </c>
      <c r="P559" t="str">
        <f>_xlfn.XLOOKUP(L:L,MappingTable2[Month],MappingTable2[Quarters],"NIL")</f>
        <v>Q2</v>
      </c>
      <c r="Q559" s="1"/>
    </row>
    <row r="560" spans="1:17" x14ac:dyDescent="0.2">
      <c r="A560" s="1">
        <v>10659</v>
      </c>
      <c r="B560" s="1" t="s">
        <v>25</v>
      </c>
      <c r="C560" s="1" t="s">
        <v>26</v>
      </c>
      <c r="D560" s="1" t="s">
        <v>43</v>
      </c>
      <c r="E560" s="3">
        <v>80</v>
      </c>
      <c r="F560" s="3">
        <v>150</v>
      </c>
      <c r="G560" s="13">
        <v>964</v>
      </c>
      <c r="H560" s="3">
        <v>144600</v>
      </c>
      <c r="I560" s="3">
        <v>67480</v>
      </c>
      <c r="J560" s="1" t="s">
        <v>34</v>
      </c>
      <c r="K560" s="1" t="s">
        <v>17</v>
      </c>
      <c r="L560" s="1" t="s">
        <v>49</v>
      </c>
      <c r="M560" s="1">
        <v>2017</v>
      </c>
      <c r="N560" s="1" t="str">
        <f t="shared" si="8"/>
        <v>Francophone</v>
      </c>
      <c r="O560" s="3" t="str">
        <f>_xlfn.XLOOKUP(D:D,MappingTable[Brand],MappingTable[Brand Type], "not found")</f>
        <v>Malt</v>
      </c>
      <c r="P560" t="str">
        <f>_xlfn.XLOOKUP(L:L,MappingTable2[Month],MappingTable2[Quarters],"NIL")</f>
        <v>Q3</v>
      </c>
      <c r="Q560" s="1"/>
    </row>
    <row r="561" spans="1:17" x14ac:dyDescent="0.2">
      <c r="A561" s="1">
        <v>10660</v>
      </c>
      <c r="B561" s="1" t="s">
        <v>13</v>
      </c>
      <c r="C561" s="1" t="s">
        <v>14</v>
      </c>
      <c r="D561" s="1" t="s">
        <v>48</v>
      </c>
      <c r="E561" s="3">
        <v>90</v>
      </c>
      <c r="F561" s="3">
        <v>150</v>
      </c>
      <c r="G561" s="13">
        <v>891</v>
      </c>
      <c r="H561" s="3">
        <v>133650</v>
      </c>
      <c r="I561" s="3">
        <v>53460</v>
      </c>
      <c r="J561" s="1" t="s">
        <v>40</v>
      </c>
      <c r="K561" s="1" t="s">
        <v>23</v>
      </c>
      <c r="L561" s="1" t="s">
        <v>50</v>
      </c>
      <c r="M561" s="1">
        <v>2017</v>
      </c>
      <c r="N561" s="1" t="str">
        <f t="shared" si="8"/>
        <v>Francophone</v>
      </c>
      <c r="O561" s="3" t="str">
        <f>_xlfn.XLOOKUP(D:D,MappingTable[Brand],MappingTable[Brand Type], "not found")</f>
        <v>Malt</v>
      </c>
      <c r="P561" t="str">
        <f>_xlfn.XLOOKUP(L:L,MappingTable2[Month],MappingTable2[Quarters],"NIL")</f>
        <v>Q3</v>
      </c>
      <c r="Q561" s="1"/>
    </row>
    <row r="562" spans="1:17" x14ac:dyDescent="0.2">
      <c r="A562" s="1">
        <v>10661</v>
      </c>
      <c r="B562" s="1" t="s">
        <v>37</v>
      </c>
      <c r="C562" s="1" t="s">
        <v>38</v>
      </c>
      <c r="D562" s="1" t="s">
        <v>15</v>
      </c>
      <c r="E562" s="3">
        <v>150</v>
      </c>
      <c r="F562" s="3">
        <v>200</v>
      </c>
      <c r="G562" s="13">
        <v>977</v>
      </c>
      <c r="H562" s="3">
        <v>195400</v>
      </c>
      <c r="I562" s="3">
        <v>48850</v>
      </c>
      <c r="J562" s="1" t="s">
        <v>16</v>
      </c>
      <c r="K562" s="1" t="s">
        <v>29</v>
      </c>
      <c r="L562" s="1" t="s">
        <v>53</v>
      </c>
      <c r="M562" s="1">
        <v>2019</v>
      </c>
      <c r="N562" s="1" t="str">
        <f t="shared" si="8"/>
        <v>Anglophone</v>
      </c>
      <c r="O562" s="3" t="str">
        <f>_xlfn.XLOOKUP(D:D,MappingTable[Brand],MappingTable[Brand Type], "not found")</f>
        <v>Beer</v>
      </c>
      <c r="P562" t="str">
        <f>_xlfn.XLOOKUP(L:L,MappingTable2[Month],MappingTable2[Quarters],"NIL")</f>
        <v>Q3</v>
      </c>
      <c r="Q562" s="1"/>
    </row>
    <row r="563" spans="1:17" x14ac:dyDescent="0.2">
      <c r="A563" s="1">
        <v>10662</v>
      </c>
      <c r="B563" s="1" t="s">
        <v>54</v>
      </c>
      <c r="C563" s="1" t="s">
        <v>55</v>
      </c>
      <c r="D563" s="1" t="s">
        <v>21</v>
      </c>
      <c r="E563" s="3">
        <v>250</v>
      </c>
      <c r="F563" s="3">
        <v>500</v>
      </c>
      <c r="G563" s="13">
        <v>948</v>
      </c>
      <c r="H563" s="3">
        <v>474000</v>
      </c>
      <c r="I563" s="3">
        <v>237000</v>
      </c>
      <c r="J563" s="1" t="s">
        <v>22</v>
      </c>
      <c r="K563" s="1" t="s">
        <v>35</v>
      </c>
      <c r="L563" s="1" t="s">
        <v>56</v>
      </c>
      <c r="M563" s="1">
        <v>2019</v>
      </c>
      <c r="N563" s="1" t="str">
        <f t="shared" si="8"/>
        <v>Anglophone</v>
      </c>
      <c r="O563" s="3" t="str">
        <f>_xlfn.XLOOKUP(D:D,MappingTable[Brand],MappingTable[Brand Type], "not found")</f>
        <v>Beer</v>
      </c>
      <c r="P563" t="str">
        <f>_xlfn.XLOOKUP(L:L,MappingTable2[Month],MappingTable2[Quarters],"NIL")</f>
        <v>Q4</v>
      </c>
      <c r="Q563" s="1"/>
    </row>
    <row r="564" spans="1:17" x14ac:dyDescent="0.2">
      <c r="A564" s="1">
        <v>10663</v>
      </c>
      <c r="B564" s="1" t="s">
        <v>19</v>
      </c>
      <c r="C564" s="1" t="s">
        <v>20</v>
      </c>
      <c r="D564" s="1" t="s">
        <v>27</v>
      </c>
      <c r="E564" s="3">
        <v>180</v>
      </c>
      <c r="F564" s="3">
        <v>450</v>
      </c>
      <c r="G564" s="13">
        <v>751</v>
      </c>
      <c r="H564" s="3">
        <v>337950</v>
      </c>
      <c r="I564" s="3">
        <v>202770</v>
      </c>
      <c r="J564" s="1" t="s">
        <v>28</v>
      </c>
      <c r="K564" s="1" t="s">
        <v>41</v>
      </c>
      <c r="L564" s="1" t="s">
        <v>59</v>
      </c>
      <c r="M564" s="1">
        <v>2017</v>
      </c>
      <c r="N564" s="1" t="str">
        <f t="shared" si="8"/>
        <v>Francophone</v>
      </c>
      <c r="O564" s="3" t="str">
        <f>_xlfn.XLOOKUP(D:D,MappingTable[Brand],MappingTable[Brand Type], "not found")</f>
        <v>Beer</v>
      </c>
      <c r="P564" t="str">
        <f>_xlfn.XLOOKUP(L:L,MappingTable2[Month],MappingTable2[Quarters],"NIL")</f>
        <v>Q4</v>
      </c>
      <c r="Q564" s="1"/>
    </row>
    <row r="565" spans="1:17" x14ac:dyDescent="0.2">
      <c r="A565" s="1">
        <v>10664</v>
      </c>
      <c r="B565" s="1" t="s">
        <v>19</v>
      </c>
      <c r="C565" s="1" t="s">
        <v>20</v>
      </c>
      <c r="D565" s="1" t="s">
        <v>33</v>
      </c>
      <c r="E565" s="3">
        <v>170</v>
      </c>
      <c r="F565" s="3">
        <v>250</v>
      </c>
      <c r="G565" s="13">
        <v>827</v>
      </c>
      <c r="H565" s="3">
        <v>206750</v>
      </c>
      <c r="I565" s="3">
        <v>66160</v>
      </c>
      <c r="J565" s="1" t="s">
        <v>34</v>
      </c>
      <c r="K565" s="1" t="s">
        <v>44</v>
      </c>
      <c r="L565" s="1" t="s">
        <v>60</v>
      </c>
      <c r="M565" s="1">
        <v>2017</v>
      </c>
      <c r="N565" s="1" t="str">
        <f t="shared" si="8"/>
        <v>Francophone</v>
      </c>
      <c r="O565" s="3" t="str">
        <f>_xlfn.XLOOKUP(D:D,MappingTable[Brand],MappingTable[Brand Type], "not found")</f>
        <v>Beer</v>
      </c>
      <c r="P565" t="str">
        <f>_xlfn.XLOOKUP(L:L,MappingTable2[Month],MappingTable2[Quarters],"NIL")</f>
        <v>Q4</v>
      </c>
      <c r="Q565" s="1"/>
    </row>
    <row r="566" spans="1:17" x14ac:dyDescent="0.2">
      <c r="A566" s="1">
        <v>10665</v>
      </c>
      <c r="B566" s="1" t="s">
        <v>63</v>
      </c>
      <c r="C566" s="1" t="s">
        <v>64</v>
      </c>
      <c r="D566" s="1" t="s">
        <v>39</v>
      </c>
      <c r="E566" s="3">
        <v>150</v>
      </c>
      <c r="F566" s="3">
        <v>200</v>
      </c>
      <c r="G566" s="13">
        <v>943</v>
      </c>
      <c r="H566" s="3">
        <v>188600</v>
      </c>
      <c r="I566" s="3">
        <v>47150</v>
      </c>
      <c r="J566" s="1" t="s">
        <v>40</v>
      </c>
      <c r="K566" s="1" t="s">
        <v>17</v>
      </c>
      <c r="L566" s="1" t="s">
        <v>18</v>
      </c>
      <c r="M566" s="1">
        <v>2019</v>
      </c>
      <c r="N566" s="1" t="str">
        <f t="shared" si="8"/>
        <v>Francophone</v>
      </c>
      <c r="O566" s="3" t="str">
        <f>_xlfn.XLOOKUP(D:D,MappingTable[Brand],MappingTable[Brand Type], "not found")</f>
        <v>Beer</v>
      </c>
      <c r="P566" t="str">
        <f>_xlfn.XLOOKUP(L:L,MappingTable2[Month],MappingTable2[Quarters],"NIL")</f>
        <v>Q1</v>
      </c>
      <c r="Q566" s="1"/>
    </row>
    <row r="567" spans="1:17" x14ac:dyDescent="0.2">
      <c r="A567" s="1">
        <v>10666</v>
      </c>
      <c r="B567" s="1" t="s">
        <v>31</v>
      </c>
      <c r="C567" s="1" t="s">
        <v>32</v>
      </c>
      <c r="D567" s="1" t="s">
        <v>43</v>
      </c>
      <c r="E567" s="3">
        <v>80</v>
      </c>
      <c r="F567" s="3">
        <v>150</v>
      </c>
      <c r="G567" s="13">
        <v>901</v>
      </c>
      <c r="H567" s="3">
        <v>135150</v>
      </c>
      <c r="I567" s="3">
        <v>63070</v>
      </c>
      <c r="J567" s="1" t="s">
        <v>16</v>
      </c>
      <c r="K567" s="1" t="s">
        <v>23</v>
      </c>
      <c r="L567" s="1" t="s">
        <v>24</v>
      </c>
      <c r="M567" s="1">
        <v>2019</v>
      </c>
      <c r="N567" s="1" t="str">
        <f t="shared" si="8"/>
        <v>Anglophone</v>
      </c>
      <c r="O567" s="3" t="str">
        <f>_xlfn.XLOOKUP(D:D,MappingTable[Brand],MappingTable[Brand Type], "not found")</f>
        <v>Malt</v>
      </c>
      <c r="P567" t="str">
        <f>_xlfn.XLOOKUP(L:L,MappingTable2[Month],MappingTable2[Quarters],"NIL")</f>
        <v>Q1</v>
      </c>
      <c r="Q567" s="1"/>
    </row>
    <row r="568" spans="1:17" x14ac:dyDescent="0.2">
      <c r="A568" s="1">
        <v>10667</v>
      </c>
      <c r="B568" s="1" t="s">
        <v>51</v>
      </c>
      <c r="C568" s="1" t="s">
        <v>52</v>
      </c>
      <c r="D568" s="1" t="s">
        <v>48</v>
      </c>
      <c r="E568" s="3">
        <v>90</v>
      </c>
      <c r="F568" s="3">
        <v>150</v>
      </c>
      <c r="G568" s="13">
        <v>907</v>
      </c>
      <c r="H568" s="3">
        <v>136050</v>
      </c>
      <c r="I568" s="3">
        <v>54420</v>
      </c>
      <c r="J568" s="1" t="s">
        <v>22</v>
      </c>
      <c r="K568" s="1" t="s">
        <v>29</v>
      </c>
      <c r="L568" s="1" t="s">
        <v>30</v>
      </c>
      <c r="M568" s="1">
        <v>2019</v>
      </c>
      <c r="N568" s="1" t="str">
        <f t="shared" si="8"/>
        <v>Anglophone</v>
      </c>
      <c r="O568" s="3" t="str">
        <f>_xlfn.XLOOKUP(D:D,MappingTable[Brand],MappingTable[Brand Type], "not found")</f>
        <v>Malt</v>
      </c>
      <c r="P568" t="str">
        <f>_xlfn.XLOOKUP(L:L,MappingTable2[Month],MappingTable2[Quarters],"NIL")</f>
        <v>Q1</v>
      </c>
      <c r="Q568" s="1"/>
    </row>
    <row r="569" spans="1:17" x14ac:dyDescent="0.2">
      <c r="A569" s="1">
        <v>10668</v>
      </c>
      <c r="B569" s="1" t="s">
        <v>63</v>
      </c>
      <c r="C569" s="1" t="s">
        <v>64</v>
      </c>
      <c r="D569" s="1" t="s">
        <v>15</v>
      </c>
      <c r="E569" s="3">
        <v>150</v>
      </c>
      <c r="F569" s="3">
        <v>200</v>
      </c>
      <c r="G569" s="13">
        <v>755</v>
      </c>
      <c r="H569" s="3">
        <v>151000</v>
      </c>
      <c r="I569" s="3">
        <v>37750</v>
      </c>
      <c r="J569" s="1" t="s">
        <v>28</v>
      </c>
      <c r="K569" s="1" t="s">
        <v>35</v>
      </c>
      <c r="L569" s="1" t="s">
        <v>36</v>
      </c>
      <c r="M569" s="1">
        <v>2018</v>
      </c>
      <c r="N569" s="1" t="str">
        <f t="shared" si="8"/>
        <v>Francophone</v>
      </c>
      <c r="O569" s="3" t="str">
        <f>_xlfn.XLOOKUP(D:D,MappingTable[Brand],MappingTable[Brand Type], "not found")</f>
        <v>Beer</v>
      </c>
      <c r="P569" t="str">
        <f>_xlfn.XLOOKUP(L:L,MappingTable2[Month],MappingTable2[Quarters],"NIL")</f>
        <v>Q2</v>
      </c>
      <c r="Q569" s="1"/>
    </row>
    <row r="570" spans="1:17" x14ac:dyDescent="0.2">
      <c r="A570" s="1">
        <v>10669</v>
      </c>
      <c r="B570" s="1" t="s">
        <v>25</v>
      </c>
      <c r="C570" s="1" t="s">
        <v>26</v>
      </c>
      <c r="D570" s="1" t="s">
        <v>21</v>
      </c>
      <c r="E570" s="3">
        <v>250</v>
      </c>
      <c r="F570" s="3">
        <v>500</v>
      </c>
      <c r="G570" s="13">
        <v>802</v>
      </c>
      <c r="H570" s="3">
        <v>401000</v>
      </c>
      <c r="I570" s="3">
        <v>200500</v>
      </c>
      <c r="J570" s="1" t="s">
        <v>34</v>
      </c>
      <c r="K570" s="1" t="s">
        <v>41</v>
      </c>
      <c r="L570" s="1" t="s">
        <v>42</v>
      </c>
      <c r="M570" s="1">
        <v>2017</v>
      </c>
      <c r="N570" s="1" t="str">
        <f t="shared" si="8"/>
        <v>Francophone</v>
      </c>
      <c r="O570" s="3" t="str">
        <f>_xlfn.XLOOKUP(D:D,MappingTable[Brand],MappingTable[Brand Type], "not found")</f>
        <v>Beer</v>
      </c>
      <c r="P570" t="str">
        <f>_xlfn.XLOOKUP(L:L,MappingTable2[Month],MappingTable2[Quarters],"NIL")</f>
        <v>Q2</v>
      </c>
      <c r="Q570" s="1"/>
    </row>
    <row r="571" spans="1:17" x14ac:dyDescent="0.2">
      <c r="A571" s="1">
        <v>10670</v>
      </c>
      <c r="B571" s="1" t="s">
        <v>19</v>
      </c>
      <c r="C571" s="1" t="s">
        <v>20</v>
      </c>
      <c r="D571" s="1" t="s">
        <v>27</v>
      </c>
      <c r="E571" s="3">
        <v>180</v>
      </c>
      <c r="F571" s="3">
        <v>450</v>
      </c>
      <c r="G571" s="13">
        <v>919</v>
      </c>
      <c r="H571" s="3">
        <v>413550</v>
      </c>
      <c r="I571" s="3">
        <v>248130</v>
      </c>
      <c r="J571" s="1" t="s">
        <v>40</v>
      </c>
      <c r="K571" s="1" t="s">
        <v>44</v>
      </c>
      <c r="L571" s="1" t="s">
        <v>45</v>
      </c>
      <c r="M571" s="1">
        <v>2019</v>
      </c>
      <c r="N571" s="1" t="str">
        <f t="shared" si="8"/>
        <v>Francophone</v>
      </c>
      <c r="O571" s="3" t="str">
        <f>_xlfn.XLOOKUP(D:D,MappingTable[Brand],MappingTable[Brand Type], "not found")</f>
        <v>Beer</v>
      </c>
      <c r="P571" t="str">
        <f>_xlfn.XLOOKUP(L:L,MappingTable2[Month],MappingTable2[Quarters],"NIL")</f>
        <v>Q2</v>
      </c>
      <c r="Q571" s="1"/>
    </row>
    <row r="572" spans="1:17" x14ac:dyDescent="0.2">
      <c r="A572" s="1">
        <v>10671</v>
      </c>
      <c r="B572" s="1" t="s">
        <v>25</v>
      </c>
      <c r="C572" s="1" t="s">
        <v>26</v>
      </c>
      <c r="D572" s="1" t="s">
        <v>33</v>
      </c>
      <c r="E572" s="3">
        <v>170</v>
      </c>
      <c r="F572" s="3">
        <v>250</v>
      </c>
      <c r="G572" s="13">
        <v>824</v>
      </c>
      <c r="H572" s="3">
        <v>206000</v>
      </c>
      <c r="I572" s="3">
        <v>65920</v>
      </c>
      <c r="J572" s="1" t="s">
        <v>16</v>
      </c>
      <c r="K572" s="1" t="s">
        <v>17</v>
      </c>
      <c r="L572" s="1" t="s">
        <v>49</v>
      </c>
      <c r="M572" s="1">
        <v>2017</v>
      </c>
      <c r="N572" s="1" t="str">
        <f t="shared" si="8"/>
        <v>Anglophone</v>
      </c>
      <c r="O572" s="3" t="str">
        <f>_xlfn.XLOOKUP(D:D,MappingTable[Brand],MappingTable[Brand Type], "not found")</f>
        <v>Beer</v>
      </c>
      <c r="P572" t="str">
        <f>_xlfn.XLOOKUP(L:L,MappingTable2[Month],MappingTable2[Quarters],"NIL")</f>
        <v>Q3</v>
      </c>
      <c r="Q572" s="1"/>
    </row>
    <row r="573" spans="1:17" x14ac:dyDescent="0.2">
      <c r="A573" s="1">
        <v>10672</v>
      </c>
      <c r="B573" s="1" t="s">
        <v>46</v>
      </c>
      <c r="C573" s="1" t="s">
        <v>47</v>
      </c>
      <c r="D573" s="1" t="s">
        <v>39</v>
      </c>
      <c r="E573" s="3">
        <v>150</v>
      </c>
      <c r="F573" s="3">
        <v>200</v>
      </c>
      <c r="G573" s="13">
        <v>730</v>
      </c>
      <c r="H573" s="3">
        <v>146000</v>
      </c>
      <c r="I573" s="3">
        <v>36500</v>
      </c>
      <c r="J573" s="1" t="s">
        <v>22</v>
      </c>
      <c r="K573" s="1" t="s">
        <v>23</v>
      </c>
      <c r="L573" s="1" t="s">
        <v>50</v>
      </c>
      <c r="M573" s="1">
        <v>2017</v>
      </c>
      <c r="N573" s="1" t="str">
        <f t="shared" si="8"/>
        <v>Anglophone</v>
      </c>
      <c r="O573" s="3" t="str">
        <f>_xlfn.XLOOKUP(D:D,MappingTable[Brand],MappingTable[Brand Type], "not found")</f>
        <v>Beer</v>
      </c>
      <c r="P573" t="str">
        <f>_xlfn.XLOOKUP(L:L,MappingTable2[Month],MappingTable2[Quarters],"NIL")</f>
        <v>Q3</v>
      </c>
      <c r="Q573" s="1"/>
    </row>
    <row r="574" spans="1:17" x14ac:dyDescent="0.2">
      <c r="A574" s="1">
        <v>10673</v>
      </c>
      <c r="B574" s="1" t="s">
        <v>37</v>
      </c>
      <c r="C574" s="1" t="s">
        <v>38</v>
      </c>
      <c r="D574" s="1" t="s">
        <v>43</v>
      </c>
      <c r="E574" s="3">
        <v>80</v>
      </c>
      <c r="F574" s="3">
        <v>150</v>
      </c>
      <c r="G574" s="13">
        <v>798</v>
      </c>
      <c r="H574" s="3">
        <v>119700</v>
      </c>
      <c r="I574" s="3">
        <v>55860</v>
      </c>
      <c r="J574" s="1" t="s">
        <v>28</v>
      </c>
      <c r="K574" s="1" t="s">
        <v>29</v>
      </c>
      <c r="L574" s="1" t="s">
        <v>53</v>
      </c>
      <c r="M574" s="1">
        <v>2018</v>
      </c>
      <c r="N574" s="1" t="str">
        <f t="shared" si="8"/>
        <v>Francophone</v>
      </c>
      <c r="O574" s="3" t="str">
        <f>_xlfn.XLOOKUP(D:D,MappingTable[Brand],MappingTable[Brand Type], "not found")</f>
        <v>Malt</v>
      </c>
      <c r="P574" t="str">
        <f>_xlfn.XLOOKUP(L:L,MappingTable2[Month],MappingTable2[Quarters],"NIL")</f>
        <v>Q3</v>
      </c>
      <c r="Q574" s="1"/>
    </row>
    <row r="575" spans="1:17" x14ac:dyDescent="0.2">
      <c r="A575" s="1">
        <v>10674</v>
      </c>
      <c r="B575" s="1" t="s">
        <v>13</v>
      </c>
      <c r="C575" s="1" t="s">
        <v>14</v>
      </c>
      <c r="D575" s="1" t="s">
        <v>48</v>
      </c>
      <c r="E575" s="3">
        <v>90</v>
      </c>
      <c r="F575" s="3">
        <v>150</v>
      </c>
      <c r="G575" s="13">
        <v>811</v>
      </c>
      <c r="H575" s="3">
        <v>121650</v>
      </c>
      <c r="I575" s="3">
        <v>48660</v>
      </c>
      <c r="J575" s="1" t="s">
        <v>34</v>
      </c>
      <c r="K575" s="1" t="s">
        <v>35</v>
      </c>
      <c r="L575" s="1" t="s">
        <v>56</v>
      </c>
      <c r="M575" s="1">
        <v>2018</v>
      </c>
      <c r="N575" s="1" t="str">
        <f t="shared" si="8"/>
        <v>Francophone</v>
      </c>
      <c r="O575" s="3" t="str">
        <f>_xlfn.XLOOKUP(D:D,MappingTable[Brand],MappingTable[Brand Type], "not found")</f>
        <v>Malt</v>
      </c>
      <c r="P575" t="str">
        <f>_xlfn.XLOOKUP(L:L,MappingTable2[Month],MappingTable2[Quarters],"NIL")</f>
        <v>Q4</v>
      </c>
      <c r="Q575" s="1"/>
    </row>
    <row r="576" spans="1:17" x14ac:dyDescent="0.2">
      <c r="A576" s="1">
        <v>10675</v>
      </c>
      <c r="B576" s="1" t="s">
        <v>13</v>
      </c>
      <c r="C576" s="1" t="s">
        <v>14</v>
      </c>
      <c r="D576" s="1" t="s">
        <v>15</v>
      </c>
      <c r="E576" s="3">
        <v>150</v>
      </c>
      <c r="F576" s="3">
        <v>200</v>
      </c>
      <c r="G576" s="13">
        <v>912</v>
      </c>
      <c r="H576" s="3">
        <v>182400</v>
      </c>
      <c r="I576" s="3">
        <v>45600</v>
      </c>
      <c r="J576" s="1" t="s">
        <v>40</v>
      </c>
      <c r="K576" s="1" t="s">
        <v>41</v>
      </c>
      <c r="L576" s="1" t="s">
        <v>59</v>
      </c>
      <c r="M576" s="1">
        <v>2018</v>
      </c>
      <c r="N576" s="1" t="str">
        <f t="shared" si="8"/>
        <v>Francophone</v>
      </c>
      <c r="O576" s="3" t="str">
        <f>_xlfn.XLOOKUP(D:D,MappingTable[Brand],MappingTable[Brand Type], "not found")</f>
        <v>Beer</v>
      </c>
      <c r="P576" t="str">
        <f>_xlfn.XLOOKUP(L:L,MappingTable2[Month],MappingTable2[Quarters],"NIL")</f>
        <v>Q4</v>
      </c>
      <c r="Q576" s="1"/>
    </row>
    <row r="577" spans="1:17" x14ac:dyDescent="0.2">
      <c r="A577" s="1">
        <v>10676</v>
      </c>
      <c r="B577" s="1" t="s">
        <v>37</v>
      </c>
      <c r="C577" s="1" t="s">
        <v>38</v>
      </c>
      <c r="D577" s="1" t="s">
        <v>21</v>
      </c>
      <c r="E577" s="3">
        <v>250</v>
      </c>
      <c r="F577" s="3">
        <v>500</v>
      </c>
      <c r="G577" s="13">
        <v>836</v>
      </c>
      <c r="H577" s="3">
        <v>418000</v>
      </c>
      <c r="I577" s="3">
        <v>209000</v>
      </c>
      <c r="J577" s="1" t="s">
        <v>16</v>
      </c>
      <c r="K577" s="1" t="s">
        <v>44</v>
      </c>
      <c r="L577" s="1" t="s">
        <v>60</v>
      </c>
      <c r="M577" s="1">
        <v>2017</v>
      </c>
      <c r="N577" s="1" t="str">
        <f t="shared" si="8"/>
        <v>Anglophone</v>
      </c>
      <c r="O577" s="3" t="str">
        <f>_xlfn.XLOOKUP(D:D,MappingTable[Brand],MappingTable[Brand Type], "not found")</f>
        <v>Beer</v>
      </c>
      <c r="P577" t="str">
        <f>_xlfn.XLOOKUP(L:L,MappingTable2[Month],MappingTable2[Quarters],"NIL")</f>
        <v>Q4</v>
      </c>
      <c r="Q577" s="1"/>
    </row>
    <row r="578" spans="1:17" x14ac:dyDescent="0.2">
      <c r="A578" s="1">
        <v>10677</v>
      </c>
      <c r="B578" s="1" t="s">
        <v>13</v>
      </c>
      <c r="C578" s="1" t="s">
        <v>14</v>
      </c>
      <c r="D578" s="1" t="s">
        <v>27</v>
      </c>
      <c r="E578" s="3">
        <v>180</v>
      </c>
      <c r="F578" s="3">
        <v>450</v>
      </c>
      <c r="G578" s="13">
        <v>953</v>
      </c>
      <c r="H578" s="3">
        <v>428850</v>
      </c>
      <c r="I578" s="3">
        <v>257310</v>
      </c>
      <c r="J578" s="1" t="s">
        <v>22</v>
      </c>
      <c r="K578" s="1" t="s">
        <v>17</v>
      </c>
      <c r="L578" s="1" t="s">
        <v>18</v>
      </c>
      <c r="M578" s="1">
        <v>2018</v>
      </c>
      <c r="N578" s="1" t="str">
        <f t="shared" ref="N578:N641" si="9">IF(ISNUMBER(MATCH(J578,$S$7:$S$8,0)), "Anglophone","Francophone")</f>
        <v>Anglophone</v>
      </c>
      <c r="O578" s="3" t="str">
        <f>_xlfn.XLOOKUP(D:D,MappingTable[Brand],MappingTable[Brand Type], "not found")</f>
        <v>Beer</v>
      </c>
      <c r="P578" t="str">
        <f>_xlfn.XLOOKUP(L:L,MappingTable2[Month],MappingTable2[Quarters],"NIL")</f>
        <v>Q1</v>
      </c>
      <c r="Q578" s="1"/>
    </row>
    <row r="579" spans="1:17" x14ac:dyDescent="0.2">
      <c r="A579" s="1">
        <v>10678</v>
      </c>
      <c r="B579" s="1" t="s">
        <v>19</v>
      </c>
      <c r="C579" s="1" t="s">
        <v>20</v>
      </c>
      <c r="D579" s="1" t="s">
        <v>33</v>
      </c>
      <c r="E579" s="3">
        <v>170</v>
      </c>
      <c r="F579" s="3">
        <v>250</v>
      </c>
      <c r="G579" s="13">
        <v>908</v>
      </c>
      <c r="H579" s="3">
        <v>227000</v>
      </c>
      <c r="I579" s="3">
        <v>72640</v>
      </c>
      <c r="J579" s="1" t="s">
        <v>28</v>
      </c>
      <c r="K579" s="1" t="s">
        <v>23</v>
      </c>
      <c r="L579" s="1" t="s">
        <v>24</v>
      </c>
      <c r="M579" s="1">
        <v>2018</v>
      </c>
      <c r="N579" s="1" t="str">
        <f t="shared" si="9"/>
        <v>Francophone</v>
      </c>
      <c r="O579" s="3" t="str">
        <f>_xlfn.XLOOKUP(D:D,MappingTable[Brand],MappingTable[Brand Type], "not found")</f>
        <v>Beer</v>
      </c>
      <c r="P579" t="str">
        <f>_xlfn.XLOOKUP(L:L,MappingTable2[Month],MappingTable2[Quarters],"NIL")</f>
        <v>Q1</v>
      </c>
      <c r="Q579" s="1"/>
    </row>
    <row r="580" spans="1:17" x14ac:dyDescent="0.2">
      <c r="A580" s="1">
        <v>10679</v>
      </c>
      <c r="B580" s="1" t="s">
        <v>25</v>
      </c>
      <c r="C580" s="1" t="s">
        <v>26</v>
      </c>
      <c r="D580" s="1" t="s">
        <v>39</v>
      </c>
      <c r="E580" s="3">
        <v>150</v>
      </c>
      <c r="F580" s="3">
        <v>200</v>
      </c>
      <c r="G580" s="13">
        <v>859</v>
      </c>
      <c r="H580" s="3">
        <v>171800</v>
      </c>
      <c r="I580" s="3">
        <v>42950</v>
      </c>
      <c r="J580" s="1" t="s">
        <v>34</v>
      </c>
      <c r="K580" s="1" t="s">
        <v>29</v>
      </c>
      <c r="L580" s="1" t="s">
        <v>30</v>
      </c>
      <c r="M580" s="1">
        <v>2019</v>
      </c>
      <c r="N580" s="1" t="str">
        <f t="shared" si="9"/>
        <v>Francophone</v>
      </c>
      <c r="O580" s="3" t="str">
        <f>_xlfn.XLOOKUP(D:D,MappingTable[Brand],MappingTable[Brand Type], "not found")</f>
        <v>Beer</v>
      </c>
      <c r="P580" t="str">
        <f>_xlfn.XLOOKUP(L:L,MappingTable2[Month],MappingTable2[Quarters],"NIL")</f>
        <v>Q1</v>
      </c>
      <c r="Q580" s="1"/>
    </row>
    <row r="581" spans="1:17" x14ac:dyDescent="0.2">
      <c r="A581" s="1">
        <v>10680</v>
      </c>
      <c r="B581" s="1" t="s">
        <v>31</v>
      </c>
      <c r="C581" s="1" t="s">
        <v>32</v>
      </c>
      <c r="D581" s="1" t="s">
        <v>43</v>
      </c>
      <c r="E581" s="3">
        <v>80</v>
      </c>
      <c r="F581" s="3">
        <v>150</v>
      </c>
      <c r="G581" s="13">
        <v>928</v>
      </c>
      <c r="H581" s="3">
        <v>139200</v>
      </c>
      <c r="I581" s="3">
        <v>64960</v>
      </c>
      <c r="J581" s="1" t="s">
        <v>40</v>
      </c>
      <c r="K581" s="1" t="s">
        <v>35</v>
      </c>
      <c r="L581" s="1" t="s">
        <v>36</v>
      </c>
      <c r="M581" s="1">
        <v>2017</v>
      </c>
      <c r="N581" s="1" t="str">
        <f t="shared" si="9"/>
        <v>Francophone</v>
      </c>
      <c r="O581" s="3" t="str">
        <f>_xlfn.XLOOKUP(D:D,MappingTable[Brand],MappingTable[Brand Type], "not found")</f>
        <v>Malt</v>
      </c>
      <c r="P581" t="str">
        <f>_xlfn.XLOOKUP(L:L,MappingTable2[Month],MappingTable2[Quarters],"NIL")</f>
        <v>Q2</v>
      </c>
      <c r="Q581" s="1"/>
    </row>
    <row r="582" spans="1:17" x14ac:dyDescent="0.2">
      <c r="A582" s="1">
        <v>10681</v>
      </c>
      <c r="B582" s="1" t="s">
        <v>37</v>
      </c>
      <c r="C582" s="1" t="s">
        <v>38</v>
      </c>
      <c r="D582" s="1" t="s">
        <v>48</v>
      </c>
      <c r="E582" s="3">
        <v>90</v>
      </c>
      <c r="F582" s="3">
        <v>150</v>
      </c>
      <c r="G582" s="13">
        <v>716</v>
      </c>
      <c r="H582" s="3">
        <v>107400</v>
      </c>
      <c r="I582" s="3">
        <v>42960</v>
      </c>
      <c r="J582" s="1" t="s">
        <v>16</v>
      </c>
      <c r="K582" s="1" t="s">
        <v>41</v>
      </c>
      <c r="L582" s="1" t="s">
        <v>42</v>
      </c>
      <c r="M582" s="1">
        <v>2019</v>
      </c>
      <c r="N582" s="1" t="str">
        <f t="shared" si="9"/>
        <v>Anglophone</v>
      </c>
      <c r="O582" s="3" t="str">
        <f>_xlfn.XLOOKUP(D:D,MappingTable[Brand],MappingTable[Brand Type], "not found")</f>
        <v>Malt</v>
      </c>
      <c r="P582" t="str">
        <f>_xlfn.XLOOKUP(L:L,MappingTable2[Month],MappingTable2[Quarters],"NIL")</f>
        <v>Q2</v>
      </c>
      <c r="Q582" s="1"/>
    </row>
    <row r="583" spans="1:17" x14ac:dyDescent="0.2">
      <c r="A583" s="1">
        <v>10682</v>
      </c>
      <c r="B583" s="1" t="s">
        <v>13</v>
      </c>
      <c r="C583" s="1" t="s">
        <v>14</v>
      </c>
      <c r="D583" s="1" t="s">
        <v>15</v>
      </c>
      <c r="E583" s="3">
        <v>150</v>
      </c>
      <c r="F583" s="3">
        <v>200</v>
      </c>
      <c r="G583" s="13">
        <v>946</v>
      </c>
      <c r="H583" s="3">
        <v>189200</v>
      </c>
      <c r="I583" s="3">
        <v>47300</v>
      </c>
      <c r="J583" s="1" t="s">
        <v>22</v>
      </c>
      <c r="K583" s="1" t="s">
        <v>44</v>
      </c>
      <c r="L583" s="1" t="s">
        <v>45</v>
      </c>
      <c r="M583" s="1">
        <v>2017</v>
      </c>
      <c r="N583" s="1" t="str">
        <f t="shared" si="9"/>
        <v>Anglophone</v>
      </c>
      <c r="O583" s="3" t="str">
        <f>_xlfn.XLOOKUP(D:D,MappingTable[Brand],MappingTable[Brand Type], "not found")</f>
        <v>Beer</v>
      </c>
      <c r="P583" t="str">
        <f>_xlfn.XLOOKUP(L:L,MappingTable2[Month],MappingTable2[Quarters],"NIL")</f>
        <v>Q2</v>
      </c>
      <c r="Q583" s="1"/>
    </row>
    <row r="584" spans="1:17" x14ac:dyDescent="0.2">
      <c r="A584" s="1">
        <v>10683</v>
      </c>
      <c r="B584" s="1" t="s">
        <v>46</v>
      </c>
      <c r="C584" s="1" t="s">
        <v>47</v>
      </c>
      <c r="D584" s="1" t="s">
        <v>21</v>
      </c>
      <c r="E584" s="3">
        <v>250</v>
      </c>
      <c r="F584" s="3">
        <v>500</v>
      </c>
      <c r="G584" s="13">
        <v>913</v>
      </c>
      <c r="H584" s="3">
        <v>456500</v>
      </c>
      <c r="I584" s="3">
        <v>228250</v>
      </c>
      <c r="J584" s="1" t="s">
        <v>28</v>
      </c>
      <c r="K584" s="1" t="s">
        <v>17</v>
      </c>
      <c r="L584" s="1" t="s">
        <v>49</v>
      </c>
      <c r="M584" s="1">
        <v>2018</v>
      </c>
      <c r="N584" s="1" t="str">
        <f t="shared" si="9"/>
        <v>Francophone</v>
      </c>
      <c r="O584" s="3" t="str">
        <f>_xlfn.XLOOKUP(D:D,MappingTable[Brand],MappingTable[Brand Type], "not found")</f>
        <v>Beer</v>
      </c>
      <c r="P584" t="str">
        <f>_xlfn.XLOOKUP(L:L,MappingTable2[Month],MappingTable2[Quarters],"NIL")</f>
        <v>Q3</v>
      </c>
      <c r="Q584" s="1"/>
    </row>
    <row r="585" spans="1:17" x14ac:dyDescent="0.2">
      <c r="A585" s="1">
        <v>10684</v>
      </c>
      <c r="B585" s="1" t="s">
        <v>31</v>
      </c>
      <c r="C585" s="1" t="s">
        <v>32</v>
      </c>
      <c r="D585" s="1" t="s">
        <v>27</v>
      </c>
      <c r="E585" s="3">
        <v>180</v>
      </c>
      <c r="F585" s="3">
        <v>450</v>
      </c>
      <c r="G585" s="13">
        <v>947</v>
      </c>
      <c r="H585" s="3">
        <v>426150</v>
      </c>
      <c r="I585" s="3">
        <v>255690</v>
      </c>
      <c r="J585" s="1" t="s">
        <v>34</v>
      </c>
      <c r="K585" s="1" t="s">
        <v>23</v>
      </c>
      <c r="L585" s="1" t="s">
        <v>50</v>
      </c>
      <c r="M585" s="1">
        <v>2019</v>
      </c>
      <c r="N585" s="1" t="str">
        <f t="shared" si="9"/>
        <v>Francophone</v>
      </c>
      <c r="O585" s="3" t="str">
        <f>_xlfn.XLOOKUP(D:D,MappingTable[Brand],MappingTable[Brand Type], "not found")</f>
        <v>Beer</v>
      </c>
      <c r="P585" t="str">
        <f>_xlfn.XLOOKUP(L:L,MappingTable2[Month],MappingTable2[Quarters],"NIL")</f>
        <v>Q3</v>
      </c>
      <c r="Q585" s="1"/>
    </row>
    <row r="586" spans="1:17" x14ac:dyDescent="0.2">
      <c r="A586" s="1">
        <v>10685</v>
      </c>
      <c r="B586" s="1" t="s">
        <v>51</v>
      </c>
      <c r="C586" s="1" t="s">
        <v>52</v>
      </c>
      <c r="D586" s="1" t="s">
        <v>33</v>
      </c>
      <c r="E586" s="3">
        <v>170</v>
      </c>
      <c r="F586" s="3">
        <v>250</v>
      </c>
      <c r="G586" s="13">
        <v>743</v>
      </c>
      <c r="H586" s="3">
        <v>185750</v>
      </c>
      <c r="I586" s="3">
        <v>59440</v>
      </c>
      <c r="J586" s="1" t="s">
        <v>40</v>
      </c>
      <c r="K586" s="1" t="s">
        <v>29</v>
      </c>
      <c r="L586" s="1" t="s">
        <v>53</v>
      </c>
      <c r="M586" s="1">
        <v>2018</v>
      </c>
      <c r="N586" s="1" t="str">
        <f t="shared" si="9"/>
        <v>Francophone</v>
      </c>
      <c r="O586" s="3" t="str">
        <f>_xlfn.XLOOKUP(D:D,MappingTable[Brand],MappingTable[Brand Type], "not found")</f>
        <v>Beer</v>
      </c>
      <c r="P586" t="str">
        <f>_xlfn.XLOOKUP(L:L,MappingTable2[Month],MappingTable2[Quarters],"NIL")</f>
        <v>Q3</v>
      </c>
      <c r="Q586" s="1"/>
    </row>
    <row r="587" spans="1:17" x14ac:dyDescent="0.2">
      <c r="A587" s="1">
        <v>10686</v>
      </c>
      <c r="B587" s="1" t="s">
        <v>54</v>
      </c>
      <c r="C587" s="1" t="s">
        <v>55</v>
      </c>
      <c r="D587" s="1" t="s">
        <v>39</v>
      </c>
      <c r="E587" s="3">
        <v>150</v>
      </c>
      <c r="F587" s="3">
        <v>200</v>
      </c>
      <c r="G587" s="13">
        <v>788</v>
      </c>
      <c r="H587" s="3">
        <v>157600</v>
      </c>
      <c r="I587" s="3">
        <v>39400</v>
      </c>
      <c r="J587" s="1" t="s">
        <v>16</v>
      </c>
      <c r="K587" s="1" t="s">
        <v>35</v>
      </c>
      <c r="L587" s="1" t="s">
        <v>56</v>
      </c>
      <c r="M587" s="1">
        <v>2018</v>
      </c>
      <c r="N587" s="1" t="str">
        <f t="shared" si="9"/>
        <v>Anglophone</v>
      </c>
      <c r="O587" s="3" t="str">
        <f>_xlfn.XLOOKUP(D:D,MappingTable[Brand],MappingTable[Brand Type], "not found")</f>
        <v>Beer</v>
      </c>
      <c r="P587" t="str">
        <f>_xlfn.XLOOKUP(L:L,MappingTable2[Month],MappingTable2[Quarters],"NIL")</f>
        <v>Q4</v>
      </c>
      <c r="Q587" s="1"/>
    </row>
    <row r="588" spans="1:17" x14ac:dyDescent="0.2">
      <c r="A588" s="1">
        <v>10687</v>
      </c>
      <c r="B588" s="1" t="s">
        <v>57</v>
      </c>
      <c r="C588" s="1" t="s">
        <v>58</v>
      </c>
      <c r="D588" s="1" t="s">
        <v>43</v>
      </c>
      <c r="E588" s="3">
        <v>80</v>
      </c>
      <c r="F588" s="3">
        <v>150</v>
      </c>
      <c r="G588" s="13">
        <v>810</v>
      </c>
      <c r="H588" s="3">
        <v>121500</v>
      </c>
      <c r="I588" s="3">
        <v>56700</v>
      </c>
      <c r="J588" s="1" t="s">
        <v>22</v>
      </c>
      <c r="K588" s="1" t="s">
        <v>41</v>
      </c>
      <c r="L588" s="1" t="s">
        <v>59</v>
      </c>
      <c r="M588" s="1">
        <v>2017</v>
      </c>
      <c r="N588" s="1" t="str">
        <f t="shared" si="9"/>
        <v>Anglophone</v>
      </c>
      <c r="O588" s="3" t="str">
        <f>_xlfn.XLOOKUP(D:D,MappingTable[Brand],MappingTable[Brand Type], "not found")</f>
        <v>Malt</v>
      </c>
      <c r="P588" t="str">
        <f>_xlfn.XLOOKUP(L:L,MappingTable2[Month],MappingTable2[Quarters],"NIL")</f>
        <v>Q4</v>
      </c>
      <c r="Q588" s="1"/>
    </row>
    <row r="589" spans="1:17" x14ac:dyDescent="0.2">
      <c r="A589" s="1">
        <v>10688</v>
      </c>
      <c r="B589" s="1" t="s">
        <v>31</v>
      </c>
      <c r="C589" s="1" t="s">
        <v>32</v>
      </c>
      <c r="D589" s="1" t="s">
        <v>48</v>
      </c>
      <c r="E589" s="3">
        <v>90</v>
      </c>
      <c r="F589" s="3">
        <v>150</v>
      </c>
      <c r="G589" s="13">
        <v>784</v>
      </c>
      <c r="H589" s="3">
        <v>117600</v>
      </c>
      <c r="I589" s="3">
        <v>47040</v>
      </c>
      <c r="J589" s="1" t="s">
        <v>28</v>
      </c>
      <c r="K589" s="1" t="s">
        <v>44</v>
      </c>
      <c r="L589" s="1" t="s">
        <v>60</v>
      </c>
      <c r="M589" s="1">
        <v>2018</v>
      </c>
      <c r="N589" s="1" t="str">
        <f t="shared" si="9"/>
        <v>Francophone</v>
      </c>
      <c r="O589" s="3" t="str">
        <f>_xlfn.XLOOKUP(D:D,MappingTable[Brand],MappingTable[Brand Type], "not found")</f>
        <v>Malt</v>
      </c>
      <c r="P589" t="str">
        <f>_xlfn.XLOOKUP(L:L,MappingTable2[Month],MappingTable2[Quarters],"NIL")</f>
        <v>Q4</v>
      </c>
      <c r="Q589" s="1"/>
    </row>
    <row r="590" spans="1:17" x14ac:dyDescent="0.2">
      <c r="A590" s="1">
        <v>10689</v>
      </c>
      <c r="B590" s="1" t="s">
        <v>61</v>
      </c>
      <c r="C590" s="1" t="s">
        <v>62</v>
      </c>
      <c r="D590" s="1" t="s">
        <v>15</v>
      </c>
      <c r="E590" s="3">
        <v>150</v>
      </c>
      <c r="F590" s="3">
        <v>200</v>
      </c>
      <c r="G590" s="13">
        <v>813</v>
      </c>
      <c r="H590" s="3">
        <v>162600</v>
      </c>
      <c r="I590" s="3">
        <v>40650</v>
      </c>
      <c r="J590" s="1" t="s">
        <v>34</v>
      </c>
      <c r="K590" s="1" t="s">
        <v>17</v>
      </c>
      <c r="L590" s="1" t="s">
        <v>18</v>
      </c>
      <c r="M590" s="1">
        <v>2017</v>
      </c>
      <c r="N590" s="1" t="str">
        <f t="shared" si="9"/>
        <v>Francophone</v>
      </c>
      <c r="O590" s="3" t="str">
        <f>_xlfn.XLOOKUP(D:D,MappingTable[Brand],MappingTable[Brand Type], "not found")</f>
        <v>Beer</v>
      </c>
      <c r="P590" t="str">
        <f>_xlfn.XLOOKUP(L:L,MappingTable2[Month],MappingTable2[Quarters],"NIL")</f>
        <v>Q1</v>
      </c>
      <c r="Q590" s="1"/>
    </row>
    <row r="591" spans="1:17" x14ac:dyDescent="0.2">
      <c r="A591" s="1">
        <v>10690</v>
      </c>
      <c r="B591" s="1" t="s">
        <v>31</v>
      </c>
      <c r="C591" s="1" t="s">
        <v>32</v>
      </c>
      <c r="D591" s="1" t="s">
        <v>21</v>
      </c>
      <c r="E591" s="3">
        <v>250</v>
      </c>
      <c r="F591" s="3">
        <v>500</v>
      </c>
      <c r="G591" s="13">
        <v>998</v>
      </c>
      <c r="H591" s="3">
        <v>499000</v>
      </c>
      <c r="I591" s="3">
        <v>249500</v>
      </c>
      <c r="J591" s="1" t="s">
        <v>40</v>
      </c>
      <c r="K591" s="1" t="s">
        <v>23</v>
      </c>
      <c r="L591" s="1" t="s">
        <v>24</v>
      </c>
      <c r="M591" s="1">
        <v>2017</v>
      </c>
      <c r="N591" s="1" t="str">
        <f t="shared" si="9"/>
        <v>Francophone</v>
      </c>
      <c r="O591" s="3" t="str">
        <f>_xlfn.XLOOKUP(D:D,MappingTable[Brand],MappingTable[Brand Type], "not found")</f>
        <v>Beer</v>
      </c>
      <c r="P591" t="str">
        <f>_xlfn.XLOOKUP(L:L,MappingTable2[Month],MappingTable2[Quarters],"NIL")</f>
        <v>Q1</v>
      </c>
      <c r="Q591" s="1"/>
    </row>
    <row r="592" spans="1:17" x14ac:dyDescent="0.2">
      <c r="A592" s="1">
        <v>10691</v>
      </c>
      <c r="B592" s="1" t="s">
        <v>51</v>
      </c>
      <c r="C592" s="1" t="s">
        <v>52</v>
      </c>
      <c r="D592" s="1" t="s">
        <v>27</v>
      </c>
      <c r="E592" s="3">
        <v>180</v>
      </c>
      <c r="F592" s="3">
        <v>450</v>
      </c>
      <c r="G592" s="13">
        <v>889</v>
      </c>
      <c r="H592" s="3">
        <v>400050</v>
      </c>
      <c r="I592" s="3">
        <v>240030</v>
      </c>
      <c r="J592" s="1" t="s">
        <v>16</v>
      </c>
      <c r="K592" s="1" t="s">
        <v>29</v>
      </c>
      <c r="L592" s="1" t="s">
        <v>30</v>
      </c>
      <c r="M592" s="1">
        <v>2018</v>
      </c>
      <c r="N592" s="1" t="str">
        <f t="shared" si="9"/>
        <v>Anglophone</v>
      </c>
      <c r="O592" s="3" t="str">
        <f>_xlfn.XLOOKUP(D:D,MappingTable[Brand],MappingTable[Brand Type], "not found")</f>
        <v>Beer</v>
      </c>
      <c r="P592" t="str">
        <f>_xlfn.XLOOKUP(L:L,MappingTable2[Month],MappingTable2[Quarters],"NIL")</f>
        <v>Q1</v>
      </c>
      <c r="Q592" s="1"/>
    </row>
    <row r="593" spans="1:17" x14ac:dyDescent="0.2">
      <c r="A593" s="1">
        <v>10692</v>
      </c>
      <c r="B593" s="1" t="s">
        <v>31</v>
      </c>
      <c r="C593" s="1" t="s">
        <v>32</v>
      </c>
      <c r="D593" s="1" t="s">
        <v>33</v>
      </c>
      <c r="E593" s="3">
        <v>170</v>
      </c>
      <c r="F593" s="3">
        <v>250</v>
      </c>
      <c r="G593" s="13">
        <v>783</v>
      </c>
      <c r="H593" s="3">
        <v>195750</v>
      </c>
      <c r="I593" s="3">
        <v>62640</v>
      </c>
      <c r="J593" s="1" t="s">
        <v>22</v>
      </c>
      <c r="K593" s="1" t="s">
        <v>35</v>
      </c>
      <c r="L593" s="1" t="s">
        <v>36</v>
      </c>
      <c r="M593" s="1">
        <v>2019</v>
      </c>
      <c r="N593" s="1" t="str">
        <f t="shared" si="9"/>
        <v>Anglophone</v>
      </c>
      <c r="O593" s="3" t="str">
        <f>_xlfn.XLOOKUP(D:D,MappingTable[Brand],MappingTable[Brand Type], "not found")</f>
        <v>Beer</v>
      </c>
      <c r="P593" t="str">
        <f>_xlfn.XLOOKUP(L:L,MappingTable2[Month],MappingTable2[Quarters],"NIL")</f>
        <v>Q2</v>
      </c>
      <c r="Q593" s="1"/>
    </row>
    <row r="594" spans="1:17" x14ac:dyDescent="0.2">
      <c r="A594" s="1">
        <v>10693</v>
      </c>
      <c r="B594" s="1" t="s">
        <v>57</v>
      </c>
      <c r="C594" s="1" t="s">
        <v>58</v>
      </c>
      <c r="D594" s="1" t="s">
        <v>39</v>
      </c>
      <c r="E594" s="3">
        <v>150</v>
      </c>
      <c r="F594" s="3">
        <v>200</v>
      </c>
      <c r="G594" s="13">
        <v>866</v>
      </c>
      <c r="H594" s="3">
        <v>173200</v>
      </c>
      <c r="I594" s="3">
        <v>43300</v>
      </c>
      <c r="J594" s="1" t="s">
        <v>28</v>
      </c>
      <c r="K594" s="1" t="s">
        <v>41</v>
      </c>
      <c r="L594" s="1" t="s">
        <v>42</v>
      </c>
      <c r="M594" s="1">
        <v>2017</v>
      </c>
      <c r="N594" s="1" t="str">
        <f t="shared" si="9"/>
        <v>Francophone</v>
      </c>
      <c r="O594" s="3" t="str">
        <f>_xlfn.XLOOKUP(D:D,MappingTable[Brand],MappingTable[Brand Type], "not found")</f>
        <v>Beer</v>
      </c>
      <c r="P594" t="str">
        <f>_xlfn.XLOOKUP(L:L,MappingTable2[Month],MappingTable2[Quarters],"NIL")</f>
        <v>Q2</v>
      </c>
      <c r="Q594" s="1"/>
    </row>
    <row r="595" spans="1:17" x14ac:dyDescent="0.2">
      <c r="A595" s="1">
        <v>10694</v>
      </c>
      <c r="B595" s="1" t="s">
        <v>63</v>
      </c>
      <c r="C595" s="1" t="s">
        <v>64</v>
      </c>
      <c r="D595" s="1" t="s">
        <v>43</v>
      </c>
      <c r="E595" s="3">
        <v>80</v>
      </c>
      <c r="F595" s="3">
        <v>150</v>
      </c>
      <c r="G595" s="13">
        <v>840</v>
      </c>
      <c r="H595" s="3">
        <v>126000</v>
      </c>
      <c r="I595" s="3">
        <v>58800</v>
      </c>
      <c r="J595" s="1" t="s">
        <v>34</v>
      </c>
      <c r="K595" s="1" t="s">
        <v>44</v>
      </c>
      <c r="L595" s="1" t="s">
        <v>45</v>
      </c>
      <c r="M595" s="1">
        <v>2018</v>
      </c>
      <c r="N595" s="1" t="str">
        <f t="shared" si="9"/>
        <v>Francophone</v>
      </c>
      <c r="O595" s="3" t="str">
        <f>_xlfn.XLOOKUP(D:D,MappingTable[Brand],MappingTable[Brand Type], "not found")</f>
        <v>Malt</v>
      </c>
      <c r="P595" t="str">
        <f>_xlfn.XLOOKUP(L:L,MappingTable2[Month],MappingTable2[Quarters],"NIL")</f>
        <v>Q2</v>
      </c>
      <c r="Q595" s="1"/>
    </row>
    <row r="596" spans="1:17" x14ac:dyDescent="0.2">
      <c r="A596" s="1">
        <v>10695</v>
      </c>
      <c r="B596" s="1" t="s">
        <v>61</v>
      </c>
      <c r="C596" s="1" t="s">
        <v>62</v>
      </c>
      <c r="D596" s="1" t="s">
        <v>48</v>
      </c>
      <c r="E596" s="3">
        <v>90</v>
      </c>
      <c r="F596" s="3">
        <v>150</v>
      </c>
      <c r="G596" s="13">
        <v>905</v>
      </c>
      <c r="H596" s="3">
        <v>135750</v>
      </c>
      <c r="I596" s="3">
        <v>54300</v>
      </c>
      <c r="J596" s="1" t="s">
        <v>40</v>
      </c>
      <c r="K596" s="1" t="s">
        <v>17</v>
      </c>
      <c r="L596" s="1" t="s">
        <v>49</v>
      </c>
      <c r="M596" s="1">
        <v>2017</v>
      </c>
      <c r="N596" s="1" t="str">
        <f t="shared" si="9"/>
        <v>Francophone</v>
      </c>
      <c r="O596" s="3" t="str">
        <f>_xlfn.XLOOKUP(D:D,MappingTable[Brand],MappingTable[Brand Type], "not found")</f>
        <v>Malt</v>
      </c>
      <c r="P596" t="str">
        <f>_xlfn.XLOOKUP(L:L,MappingTable2[Month],MappingTable2[Quarters],"NIL")</f>
        <v>Q3</v>
      </c>
      <c r="Q596" s="1"/>
    </row>
    <row r="597" spans="1:17" x14ac:dyDescent="0.2">
      <c r="A597" s="1">
        <v>10696</v>
      </c>
      <c r="B597" s="1" t="s">
        <v>57</v>
      </c>
      <c r="C597" s="1" t="s">
        <v>58</v>
      </c>
      <c r="D597" s="1" t="s">
        <v>15</v>
      </c>
      <c r="E597" s="3">
        <v>150</v>
      </c>
      <c r="F597" s="3">
        <v>200</v>
      </c>
      <c r="G597" s="13">
        <v>814</v>
      </c>
      <c r="H597" s="3">
        <v>162800</v>
      </c>
      <c r="I597" s="3">
        <v>40700</v>
      </c>
      <c r="J597" s="1" t="s">
        <v>16</v>
      </c>
      <c r="K597" s="1" t="s">
        <v>23</v>
      </c>
      <c r="L597" s="1" t="s">
        <v>50</v>
      </c>
      <c r="M597" s="1">
        <v>2019</v>
      </c>
      <c r="N597" s="1" t="str">
        <f t="shared" si="9"/>
        <v>Anglophone</v>
      </c>
      <c r="O597" s="3" t="str">
        <f>_xlfn.XLOOKUP(D:D,MappingTable[Brand],MappingTable[Brand Type], "not found")</f>
        <v>Beer</v>
      </c>
      <c r="P597" t="str">
        <f>_xlfn.XLOOKUP(L:L,MappingTable2[Month],MappingTable2[Quarters],"NIL")</f>
        <v>Q3</v>
      </c>
      <c r="Q597" s="1"/>
    </row>
    <row r="598" spans="1:17" x14ac:dyDescent="0.2">
      <c r="A598" s="1">
        <v>10697</v>
      </c>
      <c r="B598" s="1" t="s">
        <v>19</v>
      </c>
      <c r="C598" s="1" t="s">
        <v>20</v>
      </c>
      <c r="D598" s="1" t="s">
        <v>21</v>
      </c>
      <c r="E598" s="3">
        <v>250</v>
      </c>
      <c r="F598" s="3">
        <v>500</v>
      </c>
      <c r="G598" s="13">
        <v>878</v>
      </c>
      <c r="H598" s="3">
        <v>439000</v>
      </c>
      <c r="I598" s="3">
        <v>219500</v>
      </c>
      <c r="J598" s="1" t="s">
        <v>22</v>
      </c>
      <c r="K598" s="1" t="s">
        <v>29</v>
      </c>
      <c r="L598" s="1" t="s">
        <v>53</v>
      </c>
      <c r="M598" s="1">
        <v>2018</v>
      </c>
      <c r="N598" s="1" t="str">
        <f t="shared" si="9"/>
        <v>Anglophone</v>
      </c>
      <c r="O598" s="3" t="str">
        <f>_xlfn.XLOOKUP(D:D,MappingTable[Brand],MappingTable[Brand Type], "not found")</f>
        <v>Beer</v>
      </c>
      <c r="P598" t="str">
        <f>_xlfn.XLOOKUP(L:L,MappingTable2[Month],MappingTable2[Quarters],"NIL")</f>
        <v>Q3</v>
      </c>
      <c r="Q598" s="1"/>
    </row>
    <row r="599" spans="1:17" x14ac:dyDescent="0.2">
      <c r="A599" s="1">
        <v>10698</v>
      </c>
      <c r="B599" s="1" t="s">
        <v>61</v>
      </c>
      <c r="C599" s="1" t="s">
        <v>62</v>
      </c>
      <c r="D599" s="1" t="s">
        <v>27</v>
      </c>
      <c r="E599" s="3">
        <v>180</v>
      </c>
      <c r="F599" s="3">
        <v>450</v>
      </c>
      <c r="G599" s="13">
        <v>819</v>
      </c>
      <c r="H599" s="3">
        <v>368550</v>
      </c>
      <c r="I599" s="3">
        <v>221130</v>
      </c>
      <c r="J599" s="1" t="s">
        <v>28</v>
      </c>
      <c r="K599" s="1" t="s">
        <v>35</v>
      </c>
      <c r="L599" s="1" t="s">
        <v>56</v>
      </c>
      <c r="M599" s="1">
        <v>2018</v>
      </c>
      <c r="N599" s="1" t="str">
        <f t="shared" si="9"/>
        <v>Francophone</v>
      </c>
      <c r="O599" s="3" t="str">
        <f>_xlfn.XLOOKUP(D:D,MappingTable[Brand],MappingTable[Brand Type], "not found")</f>
        <v>Beer</v>
      </c>
      <c r="P599" t="str">
        <f>_xlfn.XLOOKUP(L:L,MappingTable2[Month],MappingTable2[Quarters],"NIL")</f>
        <v>Q4</v>
      </c>
      <c r="Q599" s="1"/>
    </row>
    <row r="600" spans="1:17" x14ac:dyDescent="0.2">
      <c r="A600" s="1">
        <v>10699</v>
      </c>
      <c r="B600" s="1" t="s">
        <v>31</v>
      </c>
      <c r="C600" s="1" t="s">
        <v>32</v>
      </c>
      <c r="D600" s="1" t="s">
        <v>33</v>
      </c>
      <c r="E600" s="3">
        <v>170</v>
      </c>
      <c r="F600" s="3">
        <v>250</v>
      </c>
      <c r="G600" s="13">
        <v>899</v>
      </c>
      <c r="H600" s="3">
        <v>224750</v>
      </c>
      <c r="I600" s="3">
        <v>71920</v>
      </c>
      <c r="J600" s="1" t="s">
        <v>34</v>
      </c>
      <c r="K600" s="1" t="s">
        <v>41</v>
      </c>
      <c r="L600" s="1" t="s">
        <v>59</v>
      </c>
      <c r="M600" s="1">
        <v>2019</v>
      </c>
      <c r="N600" s="1" t="str">
        <f t="shared" si="9"/>
        <v>Francophone</v>
      </c>
      <c r="O600" s="3" t="str">
        <f>_xlfn.XLOOKUP(D:D,MappingTable[Brand],MappingTable[Brand Type], "not found")</f>
        <v>Beer</v>
      </c>
      <c r="P600" t="str">
        <f>_xlfn.XLOOKUP(L:L,MappingTable2[Month],MappingTable2[Quarters],"NIL")</f>
        <v>Q4</v>
      </c>
      <c r="Q600" s="1"/>
    </row>
    <row r="601" spans="1:17" x14ac:dyDescent="0.2">
      <c r="A601" s="1">
        <v>10700</v>
      </c>
      <c r="B601" s="1" t="s">
        <v>25</v>
      </c>
      <c r="C601" s="1" t="s">
        <v>26</v>
      </c>
      <c r="D601" s="1" t="s">
        <v>39</v>
      </c>
      <c r="E601" s="3">
        <v>150</v>
      </c>
      <c r="F601" s="3">
        <v>200</v>
      </c>
      <c r="G601" s="13">
        <v>897</v>
      </c>
      <c r="H601" s="3">
        <v>179400</v>
      </c>
      <c r="I601" s="3">
        <v>44850</v>
      </c>
      <c r="J601" s="1" t="s">
        <v>40</v>
      </c>
      <c r="K601" s="1" t="s">
        <v>44</v>
      </c>
      <c r="L601" s="1" t="s">
        <v>60</v>
      </c>
      <c r="M601" s="1">
        <v>2019</v>
      </c>
      <c r="N601" s="1" t="str">
        <f t="shared" si="9"/>
        <v>Francophone</v>
      </c>
      <c r="O601" s="3" t="str">
        <f>_xlfn.XLOOKUP(D:D,MappingTable[Brand],MappingTable[Brand Type], "not found")</f>
        <v>Beer</v>
      </c>
      <c r="P601" t="str">
        <f>_xlfn.XLOOKUP(L:L,MappingTable2[Month],MappingTable2[Quarters],"NIL")</f>
        <v>Q4</v>
      </c>
      <c r="Q601" s="1"/>
    </row>
    <row r="602" spans="1:17" x14ac:dyDescent="0.2">
      <c r="A602" s="1">
        <v>10701</v>
      </c>
      <c r="B602" s="1" t="s">
        <v>13</v>
      </c>
      <c r="C602" s="1" t="s">
        <v>14</v>
      </c>
      <c r="D602" s="1" t="s">
        <v>43</v>
      </c>
      <c r="E602" s="3">
        <v>80</v>
      </c>
      <c r="F602" s="3">
        <v>150</v>
      </c>
      <c r="G602" s="13">
        <v>753</v>
      </c>
      <c r="H602" s="3">
        <v>112950</v>
      </c>
      <c r="I602" s="3">
        <v>52710</v>
      </c>
      <c r="J602" s="1" t="s">
        <v>16</v>
      </c>
      <c r="K602" s="1" t="s">
        <v>17</v>
      </c>
      <c r="L602" s="1" t="s">
        <v>18</v>
      </c>
      <c r="M602" s="1">
        <v>2017</v>
      </c>
      <c r="N602" s="1" t="str">
        <f t="shared" si="9"/>
        <v>Anglophone</v>
      </c>
      <c r="O602" s="3" t="str">
        <f>_xlfn.XLOOKUP(D:D,MappingTable[Brand],MappingTable[Brand Type], "not found")</f>
        <v>Malt</v>
      </c>
      <c r="P602" t="str">
        <f>_xlfn.XLOOKUP(L:L,MappingTable2[Month],MappingTable2[Quarters],"NIL")</f>
        <v>Q1</v>
      </c>
      <c r="Q602" s="1"/>
    </row>
    <row r="603" spans="1:17" x14ac:dyDescent="0.2">
      <c r="A603" s="1">
        <v>10702</v>
      </c>
      <c r="B603" s="1" t="s">
        <v>37</v>
      </c>
      <c r="C603" s="1" t="s">
        <v>38</v>
      </c>
      <c r="D603" s="1" t="s">
        <v>48</v>
      </c>
      <c r="E603" s="3">
        <v>90</v>
      </c>
      <c r="F603" s="3">
        <v>150</v>
      </c>
      <c r="G603" s="13">
        <v>781</v>
      </c>
      <c r="H603" s="3">
        <v>117150</v>
      </c>
      <c r="I603" s="3">
        <v>46860</v>
      </c>
      <c r="J603" s="1" t="s">
        <v>22</v>
      </c>
      <c r="K603" s="1" t="s">
        <v>23</v>
      </c>
      <c r="L603" s="1" t="s">
        <v>24</v>
      </c>
      <c r="M603" s="1">
        <v>2018</v>
      </c>
      <c r="N603" s="1" t="str">
        <f t="shared" si="9"/>
        <v>Anglophone</v>
      </c>
      <c r="O603" s="3" t="str">
        <f>_xlfn.XLOOKUP(D:D,MappingTable[Brand],MappingTable[Brand Type], "not found")</f>
        <v>Malt</v>
      </c>
      <c r="P603" t="str">
        <f>_xlfn.XLOOKUP(L:L,MappingTable2[Month],MappingTable2[Quarters],"NIL")</f>
        <v>Q1</v>
      </c>
      <c r="Q603" s="1"/>
    </row>
    <row r="604" spans="1:17" x14ac:dyDescent="0.2">
      <c r="A604" s="1">
        <v>10703</v>
      </c>
      <c r="B604" s="1" t="s">
        <v>54</v>
      </c>
      <c r="C604" s="1" t="s">
        <v>55</v>
      </c>
      <c r="D604" s="1" t="s">
        <v>15</v>
      </c>
      <c r="E604" s="3">
        <v>150</v>
      </c>
      <c r="F604" s="3">
        <v>200</v>
      </c>
      <c r="G604" s="13">
        <v>911</v>
      </c>
      <c r="H604" s="3">
        <v>182200</v>
      </c>
      <c r="I604" s="3">
        <v>45550</v>
      </c>
      <c r="J604" s="1" t="s">
        <v>28</v>
      </c>
      <c r="K604" s="1" t="s">
        <v>29</v>
      </c>
      <c r="L604" s="1" t="s">
        <v>30</v>
      </c>
      <c r="M604" s="1">
        <v>2018</v>
      </c>
      <c r="N604" s="1" t="str">
        <f t="shared" si="9"/>
        <v>Francophone</v>
      </c>
      <c r="O604" s="3" t="str">
        <f>_xlfn.XLOOKUP(D:D,MappingTable[Brand],MappingTable[Brand Type], "not found")</f>
        <v>Beer</v>
      </c>
      <c r="P604" t="str">
        <f>_xlfn.XLOOKUP(L:L,MappingTable2[Month],MappingTable2[Quarters],"NIL")</f>
        <v>Q1</v>
      </c>
      <c r="Q604" s="1"/>
    </row>
    <row r="605" spans="1:17" x14ac:dyDescent="0.2">
      <c r="A605" s="1">
        <v>10704</v>
      </c>
      <c r="B605" s="1" t="s">
        <v>19</v>
      </c>
      <c r="C605" s="1" t="s">
        <v>20</v>
      </c>
      <c r="D605" s="1" t="s">
        <v>21</v>
      </c>
      <c r="E605" s="3">
        <v>250</v>
      </c>
      <c r="F605" s="3">
        <v>500</v>
      </c>
      <c r="G605" s="13">
        <v>730</v>
      </c>
      <c r="H605" s="3">
        <v>365000</v>
      </c>
      <c r="I605" s="3">
        <v>182500</v>
      </c>
      <c r="J605" s="1" t="s">
        <v>34</v>
      </c>
      <c r="K605" s="1" t="s">
        <v>35</v>
      </c>
      <c r="L605" s="1" t="s">
        <v>36</v>
      </c>
      <c r="M605" s="1">
        <v>2018</v>
      </c>
      <c r="N605" s="1" t="str">
        <f t="shared" si="9"/>
        <v>Francophone</v>
      </c>
      <c r="O605" s="3" t="str">
        <f>_xlfn.XLOOKUP(D:D,MappingTable[Brand],MappingTable[Brand Type], "not found")</f>
        <v>Beer</v>
      </c>
      <c r="P605" t="str">
        <f>_xlfn.XLOOKUP(L:L,MappingTable2[Month],MappingTable2[Quarters],"NIL")</f>
        <v>Q2</v>
      </c>
      <c r="Q605" s="1"/>
    </row>
    <row r="606" spans="1:17" x14ac:dyDescent="0.2">
      <c r="A606" s="1">
        <v>10705</v>
      </c>
      <c r="B606" s="1" t="s">
        <v>19</v>
      </c>
      <c r="C606" s="1" t="s">
        <v>20</v>
      </c>
      <c r="D606" s="1" t="s">
        <v>27</v>
      </c>
      <c r="E606" s="3">
        <v>180</v>
      </c>
      <c r="F606" s="3">
        <v>450</v>
      </c>
      <c r="G606" s="13">
        <v>912</v>
      </c>
      <c r="H606" s="3">
        <v>410400</v>
      </c>
      <c r="I606" s="3">
        <v>246240</v>
      </c>
      <c r="J606" s="1" t="s">
        <v>40</v>
      </c>
      <c r="K606" s="1" t="s">
        <v>41</v>
      </c>
      <c r="L606" s="1" t="s">
        <v>42</v>
      </c>
      <c r="M606" s="1">
        <v>2017</v>
      </c>
      <c r="N606" s="1" t="str">
        <f t="shared" si="9"/>
        <v>Francophone</v>
      </c>
      <c r="O606" s="3" t="str">
        <f>_xlfn.XLOOKUP(D:D,MappingTable[Brand],MappingTable[Brand Type], "not found")</f>
        <v>Beer</v>
      </c>
      <c r="P606" t="str">
        <f>_xlfn.XLOOKUP(L:L,MappingTable2[Month],MappingTable2[Quarters],"NIL")</f>
        <v>Q2</v>
      </c>
      <c r="Q606" s="1"/>
    </row>
    <row r="607" spans="1:17" x14ac:dyDescent="0.2">
      <c r="A607" s="1">
        <v>10706</v>
      </c>
      <c r="B607" s="1" t="s">
        <v>63</v>
      </c>
      <c r="C607" s="1" t="s">
        <v>64</v>
      </c>
      <c r="D607" s="1" t="s">
        <v>33</v>
      </c>
      <c r="E607" s="3">
        <v>170</v>
      </c>
      <c r="F607" s="3">
        <v>250</v>
      </c>
      <c r="G607" s="13">
        <v>755</v>
      </c>
      <c r="H607" s="3">
        <v>188750</v>
      </c>
      <c r="I607" s="3">
        <v>60400</v>
      </c>
      <c r="J607" s="1" t="s">
        <v>16</v>
      </c>
      <c r="K607" s="1" t="s">
        <v>44</v>
      </c>
      <c r="L607" s="1" t="s">
        <v>45</v>
      </c>
      <c r="M607" s="1">
        <v>2019</v>
      </c>
      <c r="N607" s="1" t="str">
        <f t="shared" si="9"/>
        <v>Anglophone</v>
      </c>
      <c r="O607" s="3" t="str">
        <f>_xlfn.XLOOKUP(D:D,MappingTable[Brand],MappingTable[Brand Type], "not found")</f>
        <v>Beer</v>
      </c>
      <c r="P607" t="str">
        <f>_xlfn.XLOOKUP(L:L,MappingTable2[Month],MappingTable2[Quarters],"NIL")</f>
        <v>Q2</v>
      </c>
      <c r="Q607" s="1"/>
    </row>
    <row r="608" spans="1:17" x14ac:dyDescent="0.2">
      <c r="A608" s="1">
        <v>10707</v>
      </c>
      <c r="B608" s="1" t="s">
        <v>31</v>
      </c>
      <c r="C608" s="1" t="s">
        <v>32</v>
      </c>
      <c r="D608" s="1" t="s">
        <v>39</v>
      </c>
      <c r="E608" s="3">
        <v>150</v>
      </c>
      <c r="F608" s="3">
        <v>200</v>
      </c>
      <c r="G608" s="13">
        <v>981</v>
      </c>
      <c r="H608" s="3">
        <v>196200</v>
      </c>
      <c r="I608" s="3">
        <v>49050</v>
      </c>
      <c r="J608" s="1" t="s">
        <v>22</v>
      </c>
      <c r="K608" s="1" t="s">
        <v>17</v>
      </c>
      <c r="L608" s="1" t="s">
        <v>49</v>
      </c>
      <c r="M608" s="1">
        <v>2018</v>
      </c>
      <c r="N608" s="1" t="str">
        <f t="shared" si="9"/>
        <v>Anglophone</v>
      </c>
      <c r="O608" s="3" t="str">
        <f>_xlfn.XLOOKUP(D:D,MappingTable[Brand],MappingTable[Brand Type], "not found")</f>
        <v>Beer</v>
      </c>
      <c r="P608" t="str">
        <f>_xlfn.XLOOKUP(L:L,MappingTable2[Month],MappingTable2[Quarters],"NIL")</f>
        <v>Q3</v>
      </c>
      <c r="Q608" s="1"/>
    </row>
    <row r="609" spans="1:17" x14ac:dyDescent="0.2">
      <c r="A609" s="1">
        <v>10708</v>
      </c>
      <c r="B609" s="1" t="s">
        <v>51</v>
      </c>
      <c r="C609" s="1" t="s">
        <v>52</v>
      </c>
      <c r="D609" s="1" t="s">
        <v>43</v>
      </c>
      <c r="E609" s="3">
        <v>80</v>
      </c>
      <c r="F609" s="3">
        <v>150</v>
      </c>
      <c r="G609" s="13">
        <v>914</v>
      </c>
      <c r="H609" s="3">
        <v>137100</v>
      </c>
      <c r="I609" s="3">
        <v>63980</v>
      </c>
      <c r="J609" s="1" t="s">
        <v>28</v>
      </c>
      <c r="K609" s="1" t="s">
        <v>23</v>
      </c>
      <c r="L609" s="1" t="s">
        <v>50</v>
      </c>
      <c r="M609" s="1">
        <v>2018</v>
      </c>
      <c r="N609" s="1" t="str">
        <f t="shared" si="9"/>
        <v>Francophone</v>
      </c>
      <c r="O609" s="3" t="str">
        <f>_xlfn.XLOOKUP(D:D,MappingTable[Brand],MappingTable[Brand Type], "not found")</f>
        <v>Malt</v>
      </c>
      <c r="P609" t="str">
        <f>_xlfn.XLOOKUP(L:L,MappingTable2[Month],MappingTable2[Quarters],"NIL")</f>
        <v>Q3</v>
      </c>
      <c r="Q609" s="1"/>
    </row>
    <row r="610" spans="1:17" x14ac:dyDescent="0.2">
      <c r="A610" s="1">
        <v>10709</v>
      </c>
      <c r="B610" s="1" t="s">
        <v>63</v>
      </c>
      <c r="C610" s="1" t="s">
        <v>64</v>
      </c>
      <c r="D610" s="1" t="s">
        <v>48</v>
      </c>
      <c r="E610" s="3">
        <v>90</v>
      </c>
      <c r="F610" s="3">
        <v>150</v>
      </c>
      <c r="G610" s="13">
        <v>705</v>
      </c>
      <c r="H610" s="3">
        <v>105750</v>
      </c>
      <c r="I610" s="3">
        <v>42300</v>
      </c>
      <c r="J610" s="1" t="s">
        <v>34</v>
      </c>
      <c r="K610" s="1" t="s">
        <v>29</v>
      </c>
      <c r="L610" s="1" t="s">
        <v>53</v>
      </c>
      <c r="M610" s="1">
        <v>2019</v>
      </c>
      <c r="N610" s="1" t="str">
        <f t="shared" si="9"/>
        <v>Francophone</v>
      </c>
      <c r="O610" s="3" t="str">
        <f>_xlfn.XLOOKUP(D:D,MappingTable[Brand],MappingTable[Brand Type], "not found")</f>
        <v>Malt</v>
      </c>
      <c r="P610" t="str">
        <f>_xlfn.XLOOKUP(L:L,MappingTable2[Month],MappingTable2[Quarters],"NIL")</f>
        <v>Q3</v>
      </c>
      <c r="Q610" s="1"/>
    </row>
    <row r="611" spans="1:17" x14ac:dyDescent="0.2">
      <c r="A611" s="1">
        <v>10710</v>
      </c>
      <c r="B611" s="1" t="s">
        <v>25</v>
      </c>
      <c r="C611" s="1" t="s">
        <v>26</v>
      </c>
      <c r="D611" s="1" t="s">
        <v>15</v>
      </c>
      <c r="E611" s="3">
        <v>150</v>
      </c>
      <c r="F611" s="3">
        <v>200</v>
      </c>
      <c r="G611" s="13">
        <v>774</v>
      </c>
      <c r="H611" s="3">
        <v>154800</v>
      </c>
      <c r="I611" s="3">
        <v>38700</v>
      </c>
      <c r="J611" s="1" t="s">
        <v>40</v>
      </c>
      <c r="K611" s="1" t="s">
        <v>35</v>
      </c>
      <c r="L611" s="1" t="s">
        <v>56</v>
      </c>
      <c r="M611" s="1">
        <v>2018</v>
      </c>
      <c r="N611" s="1" t="str">
        <f t="shared" si="9"/>
        <v>Francophone</v>
      </c>
      <c r="O611" s="3" t="str">
        <f>_xlfn.XLOOKUP(D:D,MappingTable[Brand],MappingTable[Brand Type], "not found")</f>
        <v>Beer</v>
      </c>
      <c r="P611" t="str">
        <f>_xlfn.XLOOKUP(L:L,MappingTable2[Month],MappingTable2[Quarters],"NIL")</f>
        <v>Q4</v>
      </c>
      <c r="Q611" s="1"/>
    </row>
    <row r="612" spans="1:17" x14ac:dyDescent="0.2">
      <c r="A612" s="1">
        <v>10711</v>
      </c>
      <c r="B612" s="1" t="s">
        <v>19</v>
      </c>
      <c r="C612" s="1" t="s">
        <v>20</v>
      </c>
      <c r="D612" s="1" t="s">
        <v>21</v>
      </c>
      <c r="E612" s="3">
        <v>250</v>
      </c>
      <c r="F612" s="3">
        <v>500</v>
      </c>
      <c r="G612" s="13">
        <v>748</v>
      </c>
      <c r="H612" s="3">
        <v>374000</v>
      </c>
      <c r="I612" s="3">
        <v>187000</v>
      </c>
      <c r="J612" s="1" t="s">
        <v>16</v>
      </c>
      <c r="K612" s="1" t="s">
        <v>41</v>
      </c>
      <c r="L612" s="1" t="s">
        <v>59</v>
      </c>
      <c r="M612" s="1">
        <v>2017</v>
      </c>
      <c r="N612" s="1" t="str">
        <f t="shared" si="9"/>
        <v>Anglophone</v>
      </c>
      <c r="O612" s="3" t="str">
        <f>_xlfn.XLOOKUP(D:D,MappingTable[Brand],MappingTable[Brand Type], "not found")</f>
        <v>Beer</v>
      </c>
      <c r="P612" t="str">
        <f>_xlfn.XLOOKUP(L:L,MappingTable2[Month],MappingTable2[Quarters],"NIL")</f>
        <v>Q4</v>
      </c>
      <c r="Q612" s="1"/>
    </row>
    <row r="613" spans="1:17" x14ac:dyDescent="0.2">
      <c r="A613" s="1">
        <v>10712</v>
      </c>
      <c r="B613" s="1" t="s">
        <v>25</v>
      </c>
      <c r="C613" s="1" t="s">
        <v>26</v>
      </c>
      <c r="D613" s="1" t="s">
        <v>27</v>
      </c>
      <c r="E613" s="3">
        <v>180</v>
      </c>
      <c r="F613" s="3">
        <v>450</v>
      </c>
      <c r="G613" s="13">
        <v>807</v>
      </c>
      <c r="H613" s="3">
        <v>363150</v>
      </c>
      <c r="I613" s="3">
        <v>217890</v>
      </c>
      <c r="J613" s="1" t="s">
        <v>22</v>
      </c>
      <c r="K613" s="1" t="s">
        <v>44</v>
      </c>
      <c r="L613" s="1" t="s">
        <v>60</v>
      </c>
      <c r="M613" s="1">
        <v>2018</v>
      </c>
      <c r="N613" s="1" t="str">
        <f t="shared" si="9"/>
        <v>Anglophone</v>
      </c>
      <c r="O613" s="3" t="str">
        <f>_xlfn.XLOOKUP(D:D,MappingTable[Brand],MappingTable[Brand Type], "not found")</f>
        <v>Beer</v>
      </c>
      <c r="P613" t="str">
        <f>_xlfn.XLOOKUP(L:L,MappingTable2[Month],MappingTable2[Quarters],"NIL")</f>
        <v>Q4</v>
      </c>
      <c r="Q613" s="1"/>
    </row>
    <row r="614" spans="1:17" x14ac:dyDescent="0.2">
      <c r="A614" s="1">
        <v>10713</v>
      </c>
      <c r="B614" s="1" t="s">
        <v>46</v>
      </c>
      <c r="C614" s="1" t="s">
        <v>47</v>
      </c>
      <c r="D614" s="1" t="s">
        <v>33</v>
      </c>
      <c r="E614" s="3">
        <v>170</v>
      </c>
      <c r="F614" s="3">
        <v>250</v>
      </c>
      <c r="G614" s="13">
        <v>877</v>
      </c>
      <c r="H614" s="3">
        <v>219250</v>
      </c>
      <c r="I614" s="3">
        <v>70160</v>
      </c>
      <c r="J614" s="1" t="s">
        <v>28</v>
      </c>
      <c r="K614" s="1" t="s">
        <v>17</v>
      </c>
      <c r="L614" s="1" t="s">
        <v>18</v>
      </c>
      <c r="M614" s="1">
        <v>2018</v>
      </c>
      <c r="N614" s="1" t="str">
        <f t="shared" si="9"/>
        <v>Francophone</v>
      </c>
      <c r="O614" s="3" t="str">
        <f>_xlfn.XLOOKUP(D:D,MappingTable[Brand],MappingTable[Brand Type], "not found")</f>
        <v>Beer</v>
      </c>
      <c r="P614" t="str">
        <f>_xlfn.XLOOKUP(L:L,MappingTable2[Month],MappingTable2[Quarters],"NIL")</f>
        <v>Q1</v>
      </c>
      <c r="Q614" s="1"/>
    </row>
    <row r="615" spans="1:17" x14ac:dyDescent="0.2">
      <c r="A615" s="1">
        <v>10714</v>
      </c>
      <c r="B615" s="1" t="s">
        <v>37</v>
      </c>
      <c r="C615" s="1" t="s">
        <v>38</v>
      </c>
      <c r="D615" s="1" t="s">
        <v>39</v>
      </c>
      <c r="E615" s="3">
        <v>150</v>
      </c>
      <c r="F615" s="3">
        <v>200</v>
      </c>
      <c r="G615" s="13">
        <v>965</v>
      </c>
      <c r="H615" s="3">
        <v>193000</v>
      </c>
      <c r="I615" s="3">
        <v>48250</v>
      </c>
      <c r="J615" s="1" t="s">
        <v>34</v>
      </c>
      <c r="K615" s="1" t="s">
        <v>23</v>
      </c>
      <c r="L615" s="1" t="s">
        <v>24</v>
      </c>
      <c r="M615" s="1">
        <v>2017</v>
      </c>
      <c r="N615" s="1" t="str">
        <f t="shared" si="9"/>
        <v>Francophone</v>
      </c>
      <c r="O615" s="3" t="str">
        <f>_xlfn.XLOOKUP(D:D,MappingTable[Brand],MappingTable[Brand Type], "not found")</f>
        <v>Beer</v>
      </c>
      <c r="P615" t="str">
        <f>_xlfn.XLOOKUP(L:L,MappingTable2[Month],MappingTable2[Quarters],"NIL")</f>
        <v>Q1</v>
      </c>
      <c r="Q615" s="1"/>
    </row>
    <row r="616" spans="1:17" x14ac:dyDescent="0.2">
      <c r="A616" s="1">
        <v>10715</v>
      </c>
      <c r="B616" s="1" t="s">
        <v>13</v>
      </c>
      <c r="C616" s="1" t="s">
        <v>14</v>
      </c>
      <c r="D616" s="1" t="s">
        <v>43</v>
      </c>
      <c r="E616" s="3">
        <v>80</v>
      </c>
      <c r="F616" s="3">
        <v>150</v>
      </c>
      <c r="G616" s="13">
        <v>728</v>
      </c>
      <c r="H616" s="3">
        <v>109200</v>
      </c>
      <c r="I616" s="3">
        <v>50960</v>
      </c>
      <c r="J616" s="1" t="s">
        <v>40</v>
      </c>
      <c r="K616" s="1" t="s">
        <v>29</v>
      </c>
      <c r="L616" s="1" t="s">
        <v>30</v>
      </c>
      <c r="M616" s="1">
        <v>2017</v>
      </c>
      <c r="N616" s="1" t="str">
        <f t="shared" si="9"/>
        <v>Francophone</v>
      </c>
      <c r="O616" s="3" t="str">
        <f>_xlfn.XLOOKUP(D:D,MappingTable[Brand],MappingTable[Brand Type], "not found")</f>
        <v>Malt</v>
      </c>
      <c r="P616" t="str">
        <f>_xlfn.XLOOKUP(L:L,MappingTable2[Month],MappingTable2[Quarters],"NIL")</f>
        <v>Q1</v>
      </c>
      <c r="Q616" s="1"/>
    </row>
    <row r="617" spans="1:17" x14ac:dyDescent="0.2">
      <c r="A617" s="1">
        <v>10716</v>
      </c>
      <c r="B617" s="1" t="s">
        <v>13</v>
      </c>
      <c r="C617" s="1" t="s">
        <v>14</v>
      </c>
      <c r="D617" s="1" t="s">
        <v>48</v>
      </c>
      <c r="E617" s="3">
        <v>90</v>
      </c>
      <c r="F617" s="3">
        <v>150</v>
      </c>
      <c r="G617" s="13">
        <v>792</v>
      </c>
      <c r="H617" s="3">
        <v>118800</v>
      </c>
      <c r="I617" s="3">
        <v>47520</v>
      </c>
      <c r="J617" s="1" t="s">
        <v>16</v>
      </c>
      <c r="K617" s="1" t="s">
        <v>35</v>
      </c>
      <c r="L617" s="1" t="s">
        <v>36</v>
      </c>
      <c r="M617" s="1">
        <v>2017</v>
      </c>
      <c r="N617" s="1" t="str">
        <f t="shared" si="9"/>
        <v>Anglophone</v>
      </c>
      <c r="O617" s="3" t="str">
        <f>_xlfn.XLOOKUP(D:D,MappingTable[Brand],MappingTable[Brand Type], "not found")</f>
        <v>Malt</v>
      </c>
      <c r="P617" t="str">
        <f>_xlfn.XLOOKUP(L:L,MappingTable2[Month],MappingTable2[Quarters],"NIL")</f>
        <v>Q2</v>
      </c>
      <c r="Q617" s="1"/>
    </row>
    <row r="618" spans="1:17" x14ac:dyDescent="0.2">
      <c r="A618" s="1">
        <v>10717</v>
      </c>
      <c r="B618" s="1" t="s">
        <v>37</v>
      </c>
      <c r="C618" s="1" t="s">
        <v>38</v>
      </c>
      <c r="D618" s="1" t="s">
        <v>15</v>
      </c>
      <c r="E618" s="3">
        <v>150</v>
      </c>
      <c r="F618" s="3">
        <v>200</v>
      </c>
      <c r="G618" s="13">
        <v>878</v>
      </c>
      <c r="H618" s="3">
        <v>175600</v>
      </c>
      <c r="I618" s="3">
        <v>43900</v>
      </c>
      <c r="J618" s="1" t="s">
        <v>22</v>
      </c>
      <c r="K618" s="1" t="s">
        <v>41</v>
      </c>
      <c r="L618" s="1" t="s">
        <v>42</v>
      </c>
      <c r="M618" s="1">
        <v>2017</v>
      </c>
      <c r="N618" s="1" t="str">
        <f t="shared" si="9"/>
        <v>Anglophone</v>
      </c>
      <c r="O618" s="3" t="str">
        <f>_xlfn.XLOOKUP(D:D,MappingTable[Brand],MappingTable[Brand Type], "not found")</f>
        <v>Beer</v>
      </c>
      <c r="P618" t="str">
        <f>_xlfn.XLOOKUP(L:L,MappingTable2[Month],MappingTable2[Quarters],"NIL")</f>
        <v>Q2</v>
      </c>
      <c r="Q618" s="1"/>
    </row>
    <row r="619" spans="1:17" x14ac:dyDescent="0.2">
      <c r="A619" s="1">
        <v>10718</v>
      </c>
      <c r="B619" s="1" t="s">
        <v>31</v>
      </c>
      <c r="C619" s="1" t="s">
        <v>32</v>
      </c>
      <c r="D619" s="1" t="s">
        <v>21</v>
      </c>
      <c r="E619" s="3">
        <v>250</v>
      </c>
      <c r="F619" s="3">
        <v>500</v>
      </c>
      <c r="G619" s="13">
        <v>886</v>
      </c>
      <c r="H619" s="3">
        <v>443000</v>
      </c>
      <c r="I619" s="3">
        <v>221500</v>
      </c>
      <c r="J619" s="1" t="s">
        <v>28</v>
      </c>
      <c r="K619" s="1" t="s">
        <v>44</v>
      </c>
      <c r="L619" s="1" t="s">
        <v>45</v>
      </c>
      <c r="M619" s="1">
        <v>2017</v>
      </c>
      <c r="N619" s="1" t="str">
        <f t="shared" si="9"/>
        <v>Francophone</v>
      </c>
      <c r="O619" s="3" t="str">
        <f>_xlfn.XLOOKUP(D:D,MappingTable[Brand],MappingTable[Brand Type], "not found")</f>
        <v>Beer</v>
      </c>
      <c r="P619" t="str">
        <f>_xlfn.XLOOKUP(L:L,MappingTable2[Month],MappingTable2[Quarters],"NIL")</f>
        <v>Q2</v>
      </c>
      <c r="Q619" s="1"/>
    </row>
    <row r="620" spans="1:17" x14ac:dyDescent="0.2">
      <c r="A620" s="1">
        <v>10719</v>
      </c>
      <c r="B620" s="1" t="s">
        <v>51</v>
      </c>
      <c r="C620" s="1" t="s">
        <v>52</v>
      </c>
      <c r="D620" s="1" t="s">
        <v>27</v>
      </c>
      <c r="E620" s="3">
        <v>180</v>
      </c>
      <c r="F620" s="3">
        <v>450</v>
      </c>
      <c r="G620" s="13">
        <v>995</v>
      </c>
      <c r="H620" s="3">
        <v>447750</v>
      </c>
      <c r="I620" s="3">
        <v>268650</v>
      </c>
      <c r="J620" s="1" t="s">
        <v>34</v>
      </c>
      <c r="K620" s="1" t="s">
        <v>17</v>
      </c>
      <c r="L620" s="1" t="s">
        <v>49</v>
      </c>
      <c r="M620" s="1">
        <v>2017</v>
      </c>
      <c r="N620" s="1" t="str">
        <f t="shared" si="9"/>
        <v>Francophone</v>
      </c>
      <c r="O620" s="3" t="str">
        <f>_xlfn.XLOOKUP(D:D,MappingTable[Brand],MappingTable[Brand Type], "not found")</f>
        <v>Beer</v>
      </c>
      <c r="P620" t="str">
        <f>_xlfn.XLOOKUP(L:L,MappingTable2[Month],MappingTable2[Quarters],"NIL")</f>
        <v>Q3</v>
      </c>
      <c r="Q620" s="1"/>
    </row>
    <row r="621" spans="1:17" x14ac:dyDescent="0.2">
      <c r="A621" s="1">
        <v>10720</v>
      </c>
      <c r="B621" s="1" t="s">
        <v>63</v>
      </c>
      <c r="C621" s="1" t="s">
        <v>64</v>
      </c>
      <c r="D621" s="1" t="s">
        <v>33</v>
      </c>
      <c r="E621" s="3">
        <v>170</v>
      </c>
      <c r="F621" s="3">
        <v>250</v>
      </c>
      <c r="G621" s="13">
        <v>851</v>
      </c>
      <c r="H621" s="3">
        <v>212750</v>
      </c>
      <c r="I621" s="3">
        <v>68080</v>
      </c>
      <c r="J621" s="1" t="s">
        <v>40</v>
      </c>
      <c r="K621" s="1" t="s">
        <v>23</v>
      </c>
      <c r="L621" s="1" t="s">
        <v>50</v>
      </c>
      <c r="M621" s="1">
        <v>2019</v>
      </c>
      <c r="N621" s="1" t="str">
        <f t="shared" si="9"/>
        <v>Francophone</v>
      </c>
      <c r="O621" s="3" t="str">
        <f>_xlfn.XLOOKUP(D:D,MappingTable[Brand],MappingTable[Brand Type], "not found")</f>
        <v>Beer</v>
      </c>
      <c r="P621" t="str">
        <f>_xlfn.XLOOKUP(L:L,MappingTable2[Month],MappingTable2[Quarters],"NIL")</f>
        <v>Q3</v>
      </c>
      <c r="Q621" s="1"/>
    </row>
    <row r="622" spans="1:17" x14ac:dyDescent="0.2">
      <c r="A622" s="1">
        <v>10721</v>
      </c>
      <c r="B622" s="1" t="s">
        <v>25</v>
      </c>
      <c r="C622" s="1" t="s">
        <v>26</v>
      </c>
      <c r="D622" s="1" t="s">
        <v>39</v>
      </c>
      <c r="E622" s="3">
        <v>150</v>
      </c>
      <c r="F622" s="3">
        <v>200</v>
      </c>
      <c r="G622" s="13">
        <v>866</v>
      </c>
      <c r="H622" s="3">
        <v>173200</v>
      </c>
      <c r="I622" s="3">
        <v>43300</v>
      </c>
      <c r="J622" s="1" t="s">
        <v>16</v>
      </c>
      <c r="K622" s="1" t="s">
        <v>29</v>
      </c>
      <c r="L622" s="1" t="s">
        <v>53</v>
      </c>
      <c r="M622" s="1">
        <v>2017</v>
      </c>
      <c r="N622" s="1" t="str">
        <f t="shared" si="9"/>
        <v>Anglophone</v>
      </c>
      <c r="O622" s="3" t="str">
        <f>_xlfn.XLOOKUP(D:D,MappingTable[Brand],MappingTable[Brand Type], "not found")</f>
        <v>Beer</v>
      </c>
      <c r="P622" t="str">
        <f>_xlfn.XLOOKUP(L:L,MappingTable2[Month],MappingTable2[Quarters],"NIL")</f>
        <v>Q3</v>
      </c>
      <c r="Q622" s="1"/>
    </row>
    <row r="623" spans="1:17" x14ac:dyDescent="0.2">
      <c r="A623" s="1">
        <v>10722</v>
      </c>
      <c r="B623" s="1" t="s">
        <v>19</v>
      </c>
      <c r="C623" s="1" t="s">
        <v>20</v>
      </c>
      <c r="D623" s="1" t="s">
        <v>43</v>
      </c>
      <c r="E623" s="3">
        <v>80</v>
      </c>
      <c r="F623" s="3">
        <v>150</v>
      </c>
      <c r="G623" s="13">
        <v>987</v>
      </c>
      <c r="H623" s="3">
        <v>148050</v>
      </c>
      <c r="I623" s="3">
        <v>69090</v>
      </c>
      <c r="J623" s="1" t="s">
        <v>22</v>
      </c>
      <c r="K623" s="1" t="s">
        <v>35</v>
      </c>
      <c r="L623" s="1" t="s">
        <v>56</v>
      </c>
      <c r="M623" s="1">
        <v>2017</v>
      </c>
      <c r="N623" s="1" t="str">
        <f t="shared" si="9"/>
        <v>Anglophone</v>
      </c>
      <c r="O623" s="3" t="str">
        <f>_xlfn.XLOOKUP(D:D,MappingTable[Brand],MappingTable[Brand Type], "not found")</f>
        <v>Malt</v>
      </c>
      <c r="P623" t="str">
        <f>_xlfn.XLOOKUP(L:L,MappingTable2[Month],MappingTable2[Quarters],"NIL")</f>
        <v>Q4</v>
      </c>
      <c r="Q623" s="1"/>
    </row>
    <row r="624" spans="1:17" x14ac:dyDescent="0.2">
      <c r="A624" s="1">
        <v>10723</v>
      </c>
      <c r="B624" s="1" t="s">
        <v>25</v>
      </c>
      <c r="C624" s="1" t="s">
        <v>26</v>
      </c>
      <c r="D624" s="1" t="s">
        <v>48</v>
      </c>
      <c r="E624" s="3">
        <v>90</v>
      </c>
      <c r="F624" s="3">
        <v>150</v>
      </c>
      <c r="G624" s="13">
        <v>776</v>
      </c>
      <c r="H624" s="3">
        <v>116400</v>
      </c>
      <c r="I624" s="3">
        <v>46560</v>
      </c>
      <c r="J624" s="1" t="s">
        <v>28</v>
      </c>
      <c r="K624" s="1" t="s">
        <v>41</v>
      </c>
      <c r="L624" s="1" t="s">
        <v>59</v>
      </c>
      <c r="M624" s="1">
        <v>2019</v>
      </c>
      <c r="N624" s="1" t="str">
        <f t="shared" si="9"/>
        <v>Francophone</v>
      </c>
      <c r="O624" s="3" t="str">
        <f>_xlfn.XLOOKUP(D:D,MappingTable[Brand],MappingTable[Brand Type], "not found")</f>
        <v>Malt</v>
      </c>
      <c r="P624" t="str">
        <f>_xlfn.XLOOKUP(L:L,MappingTable2[Month],MappingTable2[Quarters],"NIL")</f>
        <v>Q4</v>
      </c>
      <c r="Q624" s="1"/>
    </row>
    <row r="625" spans="1:17" x14ac:dyDescent="0.2">
      <c r="A625" s="1">
        <v>10724</v>
      </c>
      <c r="B625" s="1" t="s">
        <v>46</v>
      </c>
      <c r="C625" s="1" t="s">
        <v>47</v>
      </c>
      <c r="D625" s="1" t="s">
        <v>15</v>
      </c>
      <c r="E625" s="3">
        <v>150</v>
      </c>
      <c r="F625" s="3">
        <v>200</v>
      </c>
      <c r="G625" s="13">
        <v>969</v>
      </c>
      <c r="H625" s="3">
        <v>193800</v>
      </c>
      <c r="I625" s="3">
        <v>48450</v>
      </c>
      <c r="J625" s="1" t="s">
        <v>34</v>
      </c>
      <c r="K625" s="1" t="s">
        <v>44</v>
      </c>
      <c r="L625" s="1" t="s">
        <v>60</v>
      </c>
      <c r="M625" s="1">
        <v>2017</v>
      </c>
      <c r="N625" s="1" t="str">
        <f t="shared" si="9"/>
        <v>Francophone</v>
      </c>
      <c r="O625" s="3" t="str">
        <f>_xlfn.XLOOKUP(D:D,MappingTable[Brand],MappingTable[Brand Type], "not found")</f>
        <v>Beer</v>
      </c>
      <c r="P625" t="str">
        <f>_xlfn.XLOOKUP(L:L,MappingTable2[Month],MappingTable2[Quarters],"NIL")</f>
        <v>Q4</v>
      </c>
      <c r="Q625" s="1"/>
    </row>
    <row r="626" spans="1:17" x14ac:dyDescent="0.2">
      <c r="A626" s="1">
        <v>10725</v>
      </c>
      <c r="B626" s="1" t="s">
        <v>37</v>
      </c>
      <c r="C626" s="1" t="s">
        <v>38</v>
      </c>
      <c r="D626" s="1" t="s">
        <v>21</v>
      </c>
      <c r="E626" s="3">
        <v>250</v>
      </c>
      <c r="F626" s="3">
        <v>500</v>
      </c>
      <c r="G626" s="13">
        <v>718</v>
      </c>
      <c r="H626" s="3">
        <v>359000</v>
      </c>
      <c r="I626" s="3">
        <v>179500</v>
      </c>
      <c r="J626" s="1" t="s">
        <v>40</v>
      </c>
      <c r="K626" s="1" t="s">
        <v>17</v>
      </c>
      <c r="L626" s="1" t="s">
        <v>18</v>
      </c>
      <c r="M626" s="1">
        <v>2017</v>
      </c>
      <c r="N626" s="1" t="str">
        <f t="shared" si="9"/>
        <v>Francophone</v>
      </c>
      <c r="O626" s="3" t="str">
        <f>_xlfn.XLOOKUP(D:D,MappingTable[Brand],MappingTable[Brand Type], "not found")</f>
        <v>Beer</v>
      </c>
      <c r="P626" t="str">
        <f>_xlfn.XLOOKUP(L:L,MappingTable2[Month],MappingTable2[Quarters],"NIL")</f>
        <v>Q1</v>
      </c>
      <c r="Q626" s="1"/>
    </row>
    <row r="627" spans="1:17" x14ac:dyDescent="0.2">
      <c r="A627" s="1">
        <v>10726</v>
      </c>
      <c r="B627" s="1" t="s">
        <v>13</v>
      </c>
      <c r="C627" s="1" t="s">
        <v>14</v>
      </c>
      <c r="D627" s="1" t="s">
        <v>27</v>
      </c>
      <c r="E627" s="3">
        <v>180</v>
      </c>
      <c r="F627" s="3">
        <v>450</v>
      </c>
      <c r="G627" s="13">
        <v>787</v>
      </c>
      <c r="H627" s="3">
        <v>354150</v>
      </c>
      <c r="I627" s="3">
        <v>212490</v>
      </c>
      <c r="J627" s="1" t="s">
        <v>16</v>
      </c>
      <c r="K627" s="1" t="s">
        <v>23</v>
      </c>
      <c r="L627" s="1" t="s">
        <v>24</v>
      </c>
      <c r="M627" s="1">
        <v>2018</v>
      </c>
      <c r="N627" s="1" t="str">
        <f t="shared" si="9"/>
        <v>Anglophone</v>
      </c>
      <c r="O627" s="3" t="str">
        <f>_xlfn.XLOOKUP(D:D,MappingTable[Brand],MappingTable[Brand Type], "not found")</f>
        <v>Beer</v>
      </c>
      <c r="P627" t="str">
        <f>_xlfn.XLOOKUP(L:L,MappingTable2[Month],MappingTable2[Quarters],"NIL")</f>
        <v>Q1</v>
      </c>
      <c r="Q627" s="1"/>
    </row>
    <row r="628" spans="1:17" x14ac:dyDescent="0.2">
      <c r="A628" s="1">
        <v>10727</v>
      </c>
      <c r="B628" s="1" t="s">
        <v>13</v>
      </c>
      <c r="C628" s="1" t="s">
        <v>14</v>
      </c>
      <c r="D628" s="1" t="s">
        <v>33</v>
      </c>
      <c r="E628" s="3">
        <v>170</v>
      </c>
      <c r="F628" s="3">
        <v>250</v>
      </c>
      <c r="G628" s="13">
        <v>901</v>
      </c>
      <c r="H628" s="3">
        <v>225250</v>
      </c>
      <c r="I628" s="3">
        <v>72080</v>
      </c>
      <c r="J628" s="1" t="s">
        <v>22</v>
      </c>
      <c r="K628" s="1" t="s">
        <v>29</v>
      </c>
      <c r="L628" s="1" t="s">
        <v>30</v>
      </c>
      <c r="M628" s="1">
        <v>2018</v>
      </c>
      <c r="N628" s="1" t="str">
        <f t="shared" si="9"/>
        <v>Anglophone</v>
      </c>
      <c r="O628" s="3" t="str">
        <f>_xlfn.XLOOKUP(D:D,MappingTable[Brand],MappingTable[Brand Type], "not found")</f>
        <v>Beer</v>
      </c>
      <c r="P628" t="str">
        <f>_xlfn.XLOOKUP(L:L,MappingTable2[Month],MappingTable2[Quarters],"NIL")</f>
        <v>Q1</v>
      </c>
      <c r="Q628" s="1"/>
    </row>
    <row r="629" spans="1:17" x14ac:dyDescent="0.2">
      <c r="A629" s="1">
        <v>10728</v>
      </c>
      <c r="B629" s="1" t="s">
        <v>37</v>
      </c>
      <c r="C629" s="1" t="s">
        <v>38</v>
      </c>
      <c r="D629" s="1" t="s">
        <v>39</v>
      </c>
      <c r="E629" s="3">
        <v>150</v>
      </c>
      <c r="F629" s="3">
        <v>200</v>
      </c>
      <c r="G629" s="13">
        <v>736</v>
      </c>
      <c r="H629" s="3">
        <v>147200</v>
      </c>
      <c r="I629" s="3">
        <v>36800</v>
      </c>
      <c r="J629" s="1" t="s">
        <v>28</v>
      </c>
      <c r="K629" s="1" t="s">
        <v>35</v>
      </c>
      <c r="L629" s="1" t="s">
        <v>36</v>
      </c>
      <c r="M629" s="1">
        <v>2018</v>
      </c>
      <c r="N629" s="1" t="str">
        <f t="shared" si="9"/>
        <v>Francophone</v>
      </c>
      <c r="O629" s="3" t="str">
        <f>_xlfn.XLOOKUP(D:D,MappingTable[Brand],MappingTable[Brand Type], "not found")</f>
        <v>Beer</v>
      </c>
      <c r="P629" t="str">
        <f>_xlfn.XLOOKUP(L:L,MappingTable2[Month],MappingTable2[Quarters],"NIL")</f>
        <v>Q2</v>
      </c>
      <c r="Q629" s="1"/>
    </row>
    <row r="630" spans="1:17" x14ac:dyDescent="0.2">
      <c r="A630" s="1">
        <v>10729</v>
      </c>
      <c r="B630" s="1" t="s">
        <v>13</v>
      </c>
      <c r="C630" s="1" t="s">
        <v>14</v>
      </c>
      <c r="D630" s="1" t="s">
        <v>43</v>
      </c>
      <c r="E630" s="3">
        <v>80</v>
      </c>
      <c r="F630" s="3">
        <v>150</v>
      </c>
      <c r="G630" s="13">
        <v>710</v>
      </c>
      <c r="H630" s="3">
        <v>106500</v>
      </c>
      <c r="I630" s="3">
        <v>49700</v>
      </c>
      <c r="J630" s="1" t="s">
        <v>34</v>
      </c>
      <c r="K630" s="1" t="s">
        <v>41</v>
      </c>
      <c r="L630" s="1" t="s">
        <v>42</v>
      </c>
      <c r="M630" s="1">
        <v>2017</v>
      </c>
      <c r="N630" s="1" t="str">
        <f t="shared" si="9"/>
        <v>Francophone</v>
      </c>
      <c r="O630" s="3" t="str">
        <f>_xlfn.XLOOKUP(D:D,MappingTable[Brand],MappingTable[Brand Type], "not found")</f>
        <v>Malt</v>
      </c>
      <c r="P630" t="str">
        <f>_xlfn.XLOOKUP(L:L,MappingTable2[Month],MappingTable2[Quarters],"NIL")</f>
        <v>Q2</v>
      </c>
      <c r="Q630" s="1"/>
    </row>
    <row r="631" spans="1:17" x14ac:dyDescent="0.2">
      <c r="A631" s="1">
        <v>10730</v>
      </c>
      <c r="B631" s="1" t="s">
        <v>19</v>
      </c>
      <c r="C631" s="1" t="s">
        <v>20</v>
      </c>
      <c r="D631" s="1" t="s">
        <v>48</v>
      </c>
      <c r="E631" s="3">
        <v>90</v>
      </c>
      <c r="F631" s="3">
        <v>150</v>
      </c>
      <c r="G631" s="13">
        <v>719</v>
      </c>
      <c r="H631" s="3">
        <v>107850</v>
      </c>
      <c r="I631" s="3">
        <v>43140</v>
      </c>
      <c r="J631" s="1" t="s">
        <v>40</v>
      </c>
      <c r="K631" s="1" t="s">
        <v>44</v>
      </c>
      <c r="L631" s="1" t="s">
        <v>45</v>
      </c>
      <c r="M631" s="1">
        <v>2019</v>
      </c>
      <c r="N631" s="1" t="str">
        <f t="shared" si="9"/>
        <v>Francophone</v>
      </c>
      <c r="O631" s="3" t="str">
        <f>_xlfn.XLOOKUP(D:D,MappingTable[Brand],MappingTable[Brand Type], "not found")</f>
        <v>Malt</v>
      </c>
      <c r="P631" t="str">
        <f>_xlfn.XLOOKUP(L:L,MappingTable2[Month],MappingTable2[Quarters],"NIL")</f>
        <v>Q2</v>
      </c>
      <c r="Q631" s="1"/>
    </row>
    <row r="632" spans="1:17" x14ac:dyDescent="0.2">
      <c r="A632" s="1">
        <v>10731</v>
      </c>
      <c r="B632" s="1" t="s">
        <v>25</v>
      </c>
      <c r="C632" s="1" t="s">
        <v>26</v>
      </c>
      <c r="D632" s="1" t="s">
        <v>15</v>
      </c>
      <c r="E632" s="3">
        <v>150</v>
      </c>
      <c r="F632" s="3">
        <v>200</v>
      </c>
      <c r="G632" s="13">
        <v>738</v>
      </c>
      <c r="H632" s="3">
        <v>147600</v>
      </c>
      <c r="I632" s="3">
        <v>36900</v>
      </c>
      <c r="J632" s="1" t="s">
        <v>16</v>
      </c>
      <c r="K632" s="1" t="s">
        <v>17</v>
      </c>
      <c r="L632" s="1" t="s">
        <v>49</v>
      </c>
      <c r="M632" s="1">
        <v>2017</v>
      </c>
      <c r="N632" s="1" t="str">
        <f t="shared" si="9"/>
        <v>Anglophone</v>
      </c>
      <c r="O632" s="3" t="str">
        <f>_xlfn.XLOOKUP(D:D,MappingTable[Brand],MappingTable[Brand Type], "not found")</f>
        <v>Beer</v>
      </c>
      <c r="P632" t="str">
        <f>_xlfn.XLOOKUP(L:L,MappingTable2[Month],MappingTable2[Quarters],"NIL")</f>
        <v>Q3</v>
      </c>
      <c r="Q632" s="1"/>
    </row>
    <row r="633" spans="1:17" x14ac:dyDescent="0.2">
      <c r="A633" s="1">
        <v>10732</v>
      </c>
      <c r="B633" s="1" t="s">
        <v>31</v>
      </c>
      <c r="C633" s="1" t="s">
        <v>32</v>
      </c>
      <c r="D633" s="1" t="s">
        <v>21</v>
      </c>
      <c r="E633" s="3">
        <v>250</v>
      </c>
      <c r="F633" s="3">
        <v>500</v>
      </c>
      <c r="G633" s="13">
        <v>884</v>
      </c>
      <c r="H633" s="3">
        <v>442000</v>
      </c>
      <c r="I633" s="3">
        <v>221000</v>
      </c>
      <c r="J633" s="1" t="s">
        <v>22</v>
      </c>
      <c r="K633" s="1" t="s">
        <v>23</v>
      </c>
      <c r="L633" s="1" t="s">
        <v>50</v>
      </c>
      <c r="M633" s="1">
        <v>2019</v>
      </c>
      <c r="N633" s="1" t="str">
        <f t="shared" si="9"/>
        <v>Anglophone</v>
      </c>
      <c r="O633" s="3" t="str">
        <f>_xlfn.XLOOKUP(D:D,MappingTable[Brand],MappingTable[Brand Type], "not found")</f>
        <v>Beer</v>
      </c>
      <c r="P633" t="str">
        <f>_xlfn.XLOOKUP(L:L,MappingTable2[Month],MappingTable2[Quarters],"NIL")</f>
        <v>Q3</v>
      </c>
      <c r="Q633" s="1"/>
    </row>
    <row r="634" spans="1:17" x14ac:dyDescent="0.2">
      <c r="A634" s="1">
        <v>10733</v>
      </c>
      <c r="B634" s="1" t="s">
        <v>37</v>
      </c>
      <c r="C634" s="1" t="s">
        <v>38</v>
      </c>
      <c r="D634" s="1" t="s">
        <v>27</v>
      </c>
      <c r="E634" s="3">
        <v>180</v>
      </c>
      <c r="F634" s="3">
        <v>450</v>
      </c>
      <c r="G634" s="13">
        <v>772</v>
      </c>
      <c r="H634" s="3">
        <v>347400</v>
      </c>
      <c r="I634" s="3">
        <v>208440</v>
      </c>
      <c r="J634" s="1" t="s">
        <v>28</v>
      </c>
      <c r="K634" s="1" t="s">
        <v>29</v>
      </c>
      <c r="L634" s="1" t="s">
        <v>53</v>
      </c>
      <c r="M634" s="1">
        <v>2017</v>
      </c>
      <c r="N634" s="1" t="str">
        <f t="shared" si="9"/>
        <v>Francophone</v>
      </c>
      <c r="O634" s="3" t="str">
        <f>_xlfn.XLOOKUP(D:D,MappingTable[Brand],MappingTable[Brand Type], "not found")</f>
        <v>Beer</v>
      </c>
      <c r="P634" t="str">
        <f>_xlfn.XLOOKUP(L:L,MappingTable2[Month],MappingTable2[Quarters],"NIL")</f>
        <v>Q3</v>
      </c>
      <c r="Q634" s="1"/>
    </row>
    <row r="635" spans="1:17" x14ac:dyDescent="0.2">
      <c r="A635" s="1">
        <v>10734</v>
      </c>
      <c r="B635" s="1" t="s">
        <v>13</v>
      </c>
      <c r="C635" s="1" t="s">
        <v>14</v>
      </c>
      <c r="D635" s="1" t="s">
        <v>33</v>
      </c>
      <c r="E635" s="3">
        <v>170</v>
      </c>
      <c r="F635" s="3">
        <v>250</v>
      </c>
      <c r="G635" s="13">
        <v>762</v>
      </c>
      <c r="H635" s="3">
        <v>190500</v>
      </c>
      <c r="I635" s="3">
        <v>60960</v>
      </c>
      <c r="J635" s="1" t="s">
        <v>34</v>
      </c>
      <c r="K635" s="1" t="s">
        <v>35</v>
      </c>
      <c r="L635" s="1" t="s">
        <v>56</v>
      </c>
      <c r="M635" s="1">
        <v>2017</v>
      </c>
      <c r="N635" s="1" t="str">
        <f t="shared" si="9"/>
        <v>Francophone</v>
      </c>
      <c r="O635" s="3" t="str">
        <f>_xlfn.XLOOKUP(D:D,MappingTable[Brand],MappingTable[Brand Type], "not found")</f>
        <v>Beer</v>
      </c>
      <c r="P635" t="str">
        <f>_xlfn.XLOOKUP(L:L,MappingTable2[Month],MappingTable2[Quarters],"NIL")</f>
        <v>Q4</v>
      </c>
      <c r="Q635" s="1"/>
    </row>
    <row r="636" spans="1:17" x14ac:dyDescent="0.2">
      <c r="A636" s="1">
        <v>10735</v>
      </c>
      <c r="B636" s="1" t="s">
        <v>46</v>
      </c>
      <c r="C636" s="1" t="s">
        <v>47</v>
      </c>
      <c r="D636" s="1" t="s">
        <v>39</v>
      </c>
      <c r="E636" s="3">
        <v>150</v>
      </c>
      <c r="F636" s="3">
        <v>200</v>
      </c>
      <c r="G636" s="13">
        <v>830</v>
      </c>
      <c r="H636" s="3">
        <v>166000</v>
      </c>
      <c r="I636" s="3">
        <v>41500</v>
      </c>
      <c r="J636" s="1" t="s">
        <v>40</v>
      </c>
      <c r="K636" s="1" t="s">
        <v>41</v>
      </c>
      <c r="L636" s="1" t="s">
        <v>59</v>
      </c>
      <c r="M636" s="1">
        <v>2018</v>
      </c>
      <c r="N636" s="1" t="str">
        <f t="shared" si="9"/>
        <v>Francophone</v>
      </c>
      <c r="O636" s="3" t="str">
        <f>_xlfn.XLOOKUP(D:D,MappingTable[Brand],MappingTable[Brand Type], "not found")</f>
        <v>Beer</v>
      </c>
      <c r="P636" t="str">
        <f>_xlfn.XLOOKUP(L:L,MappingTable2[Month],MappingTable2[Quarters],"NIL")</f>
        <v>Q4</v>
      </c>
      <c r="Q636" s="1"/>
    </row>
    <row r="637" spans="1:17" x14ac:dyDescent="0.2">
      <c r="A637" s="1">
        <v>10736</v>
      </c>
      <c r="B637" s="1" t="s">
        <v>31</v>
      </c>
      <c r="C637" s="1" t="s">
        <v>32</v>
      </c>
      <c r="D637" s="1" t="s">
        <v>43</v>
      </c>
      <c r="E637" s="3">
        <v>80</v>
      </c>
      <c r="F637" s="3">
        <v>150</v>
      </c>
      <c r="G637" s="13">
        <v>995</v>
      </c>
      <c r="H637" s="3">
        <v>149250</v>
      </c>
      <c r="I637" s="3">
        <v>69650</v>
      </c>
      <c r="J637" s="1" t="s">
        <v>16</v>
      </c>
      <c r="K637" s="1" t="s">
        <v>44</v>
      </c>
      <c r="L637" s="1" t="s">
        <v>60</v>
      </c>
      <c r="M637" s="1">
        <v>2018</v>
      </c>
      <c r="N637" s="1" t="str">
        <f t="shared" si="9"/>
        <v>Anglophone</v>
      </c>
      <c r="O637" s="3" t="str">
        <f>_xlfn.XLOOKUP(D:D,MappingTable[Brand],MappingTable[Brand Type], "not found")</f>
        <v>Malt</v>
      </c>
      <c r="P637" t="str">
        <f>_xlfn.XLOOKUP(L:L,MappingTable2[Month],MappingTable2[Quarters],"NIL")</f>
        <v>Q4</v>
      </c>
      <c r="Q637" s="1"/>
    </row>
    <row r="638" spans="1:17" x14ac:dyDescent="0.2">
      <c r="A638" s="1">
        <v>10737</v>
      </c>
      <c r="B638" s="1" t="s">
        <v>51</v>
      </c>
      <c r="C638" s="1" t="s">
        <v>52</v>
      </c>
      <c r="D638" s="1" t="s">
        <v>48</v>
      </c>
      <c r="E638" s="3">
        <v>90</v>
      </c>
      <c r="F638" s="3">
        <v>150</v>
      </c>
      <c r="G638" s="13">
        <v>812</v>
      </c>
      <c r="H638" s="3">
        <v>121800</v>
      </c>
      <c r="I638" s="3">
        <v>48720</v>
      </c>
      <c r="J638" s="1" t="s">
        <v>22</v>
      </c>
      <c r="K638" s="1" t="s">
        <v>17</v>
      </c>
      <c r="L638" s="1" t="s">
        <v>18</v>
      </c>
      <c r="M638" s="1">
        <v>2019</v>
      </c>
      <c r="N638" s="1" t="str">
        <f t="shared" si="9"/>
        <v>Anglophone</v>
      </c>
      <c r="O638" s="3" t="str">
        <f>_xlfn.XLOOKUP(D:D,MappingTable[Brand],MappingTable[Brand Type], "not found")</f>
        <v>Malt</v>
      </c>
      <c r="P638" t="str">
        <f>_xlfn.XLOOKUP(L:L,MappingTable2[Month],MappingTable2[Quarters],"NIL")</f>
        <v>Q1</v>
      </c>
      <c r="Q638" s="1"/>
    </row>
    <row r="639" spans="1:17" x14ac:dyDescent="0.2">
      <c r="A639" s="1">
        <v>10738</v>
      </c>
      <c r="B639" s="1" t="s">
        <v>54</v>
      </c>
      <c r="C639" s="1" t="s">
        <v>55</v>
      </c>
      <c r="D639" s="1" t="s">
        <v>15</v>
      </c>
      <c r="E639" s="3">
        <v>150</v>
      </c>
      <c r="F639" s="3">
        <v>200</v>
      </c>
      <c r="G639" s="13">
        <v>993</v>
      </c>
      <c r="H639" s="3">
        <v>198600</v>
      </c>
      <c r="I639" s="3">
        <v>49650</v>
      </c>
      <c r="J639" s="1" t="s">
        <v>28</v>
      </c>
      <c r="K639" s="1" t="s">
        <v>23</v>
      </c>
      <c r="L639" s="1" t="s">
        <v>24</v>
      </c>
      <c r="M639" s="1">
        <v>2018</v>
      </c>
      <c r="N639" s="1" t="str">
        <f t="shared" si="9"/>
        <v>Francophone</v>
      </c>
      <c r="O639" s="3" t="str">
        <f>_xlfn.XLOOKUP(D:D,MappingTable[Brand],MappingTable[Brand Type], "not found")</f>
        <v>Beer</v>
      </c>
      <c r="P639" t="str">
        <f>_xlfn.XLOOKUP(L:L,MappingTable2[Month],MappingTable2[Quarters],"NIL")</f>
        <v>Q1</v>
      </c>
      <c r="Q639" s="1"/>
    </row>
    <row r="640" spans="1:17" x14ac:dyDescent="0.2">
      <c r="A640" s="1">
        <v>10739</v>
      </c>
      <c r="B640" s="1" t="s">
        <v>57</v>
      </c>
      <c r="C640" s="1" t="s">
        <v>58</v>
      </c>
      <c r="D640" s="1" t="s">
        <v>21</v>
      </c>
      <c r="E640" s="3">
        <v>250</v>
      </c>
      <c r="F640" s="3">
        <v>500</v>
      </c>
      <c r="G640" s="13">
        <v>941</v>
      </c>
      <c r="H640" s="3">
        <v>470500</v>
      </c>
      <c r="I640" s="3">
        <v>235250</v>
      </c>
      <c r="J640" s="1" t="s">
        <v>34</v>
      </c>
      <c r="K640" s="1" t="s">
        <v>29</v>
      </c>
      <c r="L640" s="1" t="s">
        <v>30</v>
      </c>
      <c r="M640" s="1">
        <v>2017</v>
      </c>
      <c r="N640" s="1" t="str">
        <f t="shared" si="9"/>
        <v>Francophone</v>
      </c>
      <c r="O640" s="3" t="str">
        <f>_xlfn.XLOOKUP(D:D,MappingTable[Brand],MappingTable[Brand Type], "not found")</f>
        <v>Beer</v>
      </c>
      <c r="P640" t="str">
        <f>_xlfn.XLOOKUP(L:L,MappingTable2[Month],MappingTable2[Quarters],"NIL")</f>
        <v>Q1</v>
      </c>
      <c r="Q640" s="1"/>
    </row>
    <row r="641" spans="1:17" x14ac:dyDescent="0.2">
      <c r="A641" s="1">
        <v>10740</v>
      </c>
      <c r="B641" s="1" t="s">
        <v>31</v>
      </c>
      <c r="C641" s="1" t="s">
        <v>32</v>
      </c>
      <c r="D641" s="1" t="s">
        <v>27</v>
      </c>
      <c r="E641" s="3">
        <v>180</v>
      </c>
      <c r="F641" s="3">
        <v>450</v>
      </c>
      <c r="G641" s="13">
        <v>703</v>
      </c>
      <c r="H641" s="3">
        <v>316350</v>
      </c>
      <c r="I641" s="3">
        <v>189810</v>
      </c>
      <c r="J641" s="1" t="s">
        <v>40</v>
      </c>
      <c r="K641" s="1" t="s">
        <v>35</v>
      </c>
      <c r="L641" s="1" t="s">
        <v>36</v>
      </c>
      <c r="M641" s="1">
        <v>2019</v>
      </c>
      <c r="N641" s="1" t="str">
        <f t="shared" si="9"/>
        <v>Francophone</v>
      </c>
      <c r="O641" s="3" t="str">
        <f>_xlfn.XLOOKUP(D:D,MappingTable[Brand],MappingTable[Brand Type], "not found")</f>
        <v>Beer</v>
      </c>
      <c r="P641" t="str">
        <f>_xlfn.XLOOKUP(L:L,MappingTable2[Month],MappingTable2[Quarters],"NIL")</f>
        <v>Q2</v>
      </c>
      <c r="Q641" s="1"/>
    </row>
    <row r="642" spans="1:17" x14ac:dyDescent="0.2">
      <c r="A642" s="1">
        <v>10741</v>
      </c>
      <c r="B642" s="1" t="s">
        <v>61</v>
      </c>
      <c r="C642" s="1" t="s">
        <v>62</v>
      </c>
      <c r="D642" s="1" t="s">
        <v>33</v>
      </c>
      <c r="E642" s="3">
        <v>170</v>
      </c>
      <c r="F642" s="3">
        <v>250</v>
      </c>
      <c r="G642" s="13">
        <v>834</v>
      </c>
      <c r="H642" s="3">
        <v>208500</v>
      </c>
      <c r="I642" s="3">
        <v>66720</v>
      </c>
      <c r="J642" s="1" t="s">
        <v>16</v>
      </c>
      <c r="K642" s="1" t="s">
        <v>41</v>
      </c>
      <c r="L642" s="1" t="s">
        <v>42</v>
      </c>
      <c r="M642" s="1">
        <v>2019</v>
      </c>
      <c r="N642" s="1" t="str">
        <f t="shared" ref="N642:N705" si="10">IF(ISNUMBER(MATCH(J642,$S$7:$S$8,0)), "Anglophone","Francophone")</f>
        <v>Anglophone</v>
      </c>
      <c r="O642" s="3" t="str">
        <f>_xlfn.XLOOKUP(D:D,MappingTable[Brand],MappingTable[Brand Type], "not found")</f>
        <v>Beer</v>
      </c>
      <c r="P642" t="str">
        <f>_xlfn.XLOOKUP(L:L,MappingTable2[Month],MappingTable2[Quarters],"NIL")</f>
        <v>Q2</v>
      </c>
      <c r="Q642" s="1"/>
    </row>
    <row r="643" spans="1:17" x14ac:dyDescent="0.2">
      <c r="A643" s="1">
        <v>10742</v>
      </c>
      <c r="B643" s="1" t="s">
        <v>31</v>
      </c>
      <c r="C643" s="1" t="s">
        <v>32</v>
      </c>
      <c r="D643" s="1" t="s">
        <v>39</v>
      </c>
      <c r="E643" s="3">
        <v>150</v>
      </c>
      <c r="F643" s="3">
        <v>200</v>
      </c>
      <c r="G643" s="13">
        <v>843</v>
      </c>
      <c r="H643" s="3">
        <v>168600</v>
      </c>
      <c r="I643" s="3">
        <v>42150</v>
      </c>
      <c r="J643" s="1" t="s">
        <v>22</v>
      </c>
      <c r="K643" s="1" t="s">
        <v>44</v>
      </c>
      <c r="L643" s="1" t="s">
        <v>45</v>
      </c>
      <c r="M643" s="1">
        <v>2019</v>
      </c>
      <c r="N643" s="1" t="str">
        <f t="shared" si="10"/>
        <v>Anglophone</v>
      </c>
      <c r="O643" s="3" t="str">
        <f>_xlfn.XLOOKUP(D:D,MappingTable[Brand],MappingTable[Brand Type], "not found")</f>
        <v>Beer</v>
      </c>
      <c r="P643" t="str">
        <f>_xlfn.XLOOKUP(L:L,MappingTable2[Month],MappingTable2[Quarters],"NIL")</f>
        <v>Q2</v>
      </c>
      <c r="Q643" s="1"/>
    </row>
    <row r="644" spans="1:17" x14ac:dyDescent="0.2">
      <c r="A644" s="1">
        <v>10743</v>
      </c>
      <c r="B644" s="1" t="s">
        <v>13</v>
      </c>
      <c r="C644" s="1" t="s">
        <v>14</v>
      </c>
      <c r="D644" s="1" t="s">
        <v>43</v>
      </c>
      <c r="E644" s="3">
        <v>80</v>
      </c>
      <c r="F644" s="3">
        <v>150</v>
      </c>
      <c r="G644" s="13">
        <v>749</v>
      </c>
      <c r="H644" s="3">
        <v>112350</v>
      </c>
      <c r="I644" s="3">
        <v>52430</v>
      </c>
      <c r="J644" s="1" t="s">
        <v>28</v>
      </c>
      <c r="K644" s="1" t="s">
        <v>17</v>
      </c>
      <c r="L644" s="1" t="s">
        <v>49</v>
      </c>
      <c r="M644" s="1">
        <v>2019</v>
      </c>
      <c r="N644" s="1" t="str">
        <f t="shared" si="10"/>
        <v>Francophone</v>
      </c>
      <c r="O644" s="3" t="str">
        <f>_xlfn.XLOOKUP(D:D,MappingTable[Brand],MappingTable[Brand Type], "not found")</f>
        <v>Malt</v>
      </c>
      <c r="P644" t="str">
        <f>_xlfn.XLOOKUP(L:L,MappingTable2[Month],MappingTable2[Quarters],"NIL")</f>
        <v>Q3</v>
      </c>
      <c r="Q644" s="1"/>
    </row>
    <row r="645" spans="1:17" x14ac:dyDescent="0.2">
      <c r="A645" s="1">
        <v>10744</v>
      </c>
      <c r="B645" s="1" t="s">
        <v>19</v>
      </c>
      <c r="C645" s="1" t="s">
        <v>20</v>
      </c>
      <c r="D645" s="1" t="s">
        <v>48</v>
      </c>
      <c r="E645" s="3">
        <v>90</v>
      </c>
      <c r="F645" s="3">
        <v>150</v>
      </c>
      <c r="G645" s="13">
        <v>859</v>
      </c>
      <c r="H645" s="3">
        <v>128850</v>
      </c>
      <c r="I645" s="3">
        <v>51540</v>
      </c>
      <c r="J645" s="1" t="s">
        <v>34</v>
      </c>
      <c r="K645" s="1" t="s">
        <v>23</v>
      </c>
      <c r="L645" s="1" t="s">
        <v>50</v>
      </c>
      <c r="M645" s="1">
        <v>2017</v>
      </c>
      <c r="N645" s="1" t="str">
        <f t="shared" si="10"/>
        <v>Francophone</v>
      </c>
      <c r="O645" s="3" t="str">
        <f>_xlfn.XLOOKUP(D:D,MappingTable[Brand],MappingTable[Brand Type], "not found")</f>
        <v>Malt</v>
      </c>
      <c r="P645" t="str">
        <f>_xlfn.XLOOKUP(L:L,MappingTable2[Month],MappingTable2[Quarters],"NIL")</f>
        <v>Q3</v>
      </c>
      <c r="Q645" s="1"/>
    </row>
    <row r="646" spans="1:17" x14ac:dyDescent="0.2">
      <c r="A646" s="1">
        <v>10745</v>
      </c>
      <c r="B646" s="1" t="s">
        <v>25</v>
      </c>
      <c r="C646" s="1" t="s">
        <v>26</v>
      </c>
      <c r="D646" s="1" t="s">
        <v>15</v>
      </c>
      <c r="E646" s="3">
        <v>150</v>
      </c>
      <c r="F646" s="3">
        <v>200</v>
      </c>
      <c r="G646" s="13">
        <v>962</v>
      </c>
      <c r="H646" s="3">
        <v>192400</v>
      </c>
      <c r="I646" s="3">
        <v>48100</v>
      </c>
      <c r="J646" s="1" t="s">
        <v>40</v>
      </c>
      <c r="K646" s="1" t="s">
        <v>29</v>
      </c>
      <c r="L646" s="1" t="s">
        <v>53</v>
      </c>
      <c r="M646" s="1">
        <v>2017</v>
      </c>
      <c r="N646" s="1" t="str">
        <f t="shared" si="10"/>
        <v>Francophone</v>
      </c>
      <c r="O646" s="3" t="str">
        <f>_xlfn.XLOOKUP(D:D,MappingTable[Brand],MappingTable[Brand Type], "not found")</f>
        <v>Beer</v>
      </c>
      <c r="P646" t="str">
        <f>_xlfn.XLOOKUP(L:L,MappingTable2[Month],MappingTable2[Quarters],"NIL")</f>
        <v>Q3</v>
      </c>
      <c r="Q646" s="1"/>
    </row>
    <row r="647" spans="1:17" x14ac:dyDescent="0.2">
      <c r="A647" s="1">
        <v>10746</v>
      </c>
      <c r="B647" s="1" t="s">
        <v>31</v>
      </c>
      <c r="C647" s="1" t="s">
        <v>32</v>
      </c>
      <c r="D647" s="1" t="s">
        <v>21</v>
      </c>
      <c r="E647" s="3">
        <v>250</v>
      </c>
      <c r="F647" s="3">
        <v>500</v>
      </c>
      <c r="G647" s="13">
        <v>816</v>
      </c>
      <c r="H647" s="3">
        <v>408000</v>
      </c>
      <c r="I647" s="3">
        <v>204000</v>
      </c>
      <c r="J647" s="1" t="s">
        <v>16</v>
      </c>
      <c r="K647" s="1" t="s">
        <v>35</v>
      </c>
      <c r="L647" s="1" t="s">
        <v>56</v>
      </c>
      <c r="M647" s="1">
        <v>2019</v>
      </c>
      <c r="N647" s="1" t="str">
        <f t="shared" si="10"/>
        <v>Anglophone</v>
      </c>
      <c r="O647" s="3" t="str">
        <f>_xlfn.XLOOKUP(D:D,MappingTable[Brand],MappingTable[Brand Type], "not found")</f>
        <v>Beer</v>
      </c>
      <c r="P647" t="str">
        <f>_xlfn.XLOOKUP(L:L,MappingTable2[Month],MappingTable2[Quarters],"NIL")</f>
        <v>Q4</v>
      </c>
      <c r="Q647" s="1"/>
    </row>
    <row r="648" spans="1:17" x14ac:dyDescent="0.2">
      <c r="A648" s="1">
        <v>10747</v>
      </c>
      <c r="B648" s="1" t="s">
        <v>37</v>
      </c>
      <c r="C648" s="1" t="s">
        <v>38</v>
      </c>
      <c r="D648" s="1" t="s">
        <v>27</v>
      </c>
      <c r="E648" s="3">
        <v>180</v>
      </c>
      <c r="F648" s="3">
        <v>450</v>
      </c>
      <c r="G648" s="13">
        <v>989</v>
      </c>
      <c r="H648" s="3">
        <v>445050</v>
      </c>
      <c r="I648" s="3">
        <v>267030</v>
      </c>
      <c r="J648" s="1" t="s">
        <v>22</v>
      </c>
      <c r="K648" s="1" t="s">
        <v>41</v>
      </c>
      <c r="L648" s="1" t="s">
        <v>59</v>
      </c>
      <c r="M648" s="1">
        <v>2017</v>
      </c>
      <c r="N648" s="1" t="str">
        <f t="shared" si="10"/>
        <v>Anglophone</v>
      </c>
      <c r="O648" s="3" t="str">
        <f>_xlfn.XLOOKUP(D:D,MappingTable[Brand],MappingTable[Brand Type], "not found")</f>
        <v>Beer</v>
      </c>
      <c r="P648" t="str">
        <f>_xlfn.XLOOKUP(L:L,MappingTable2[Month],MappingTable2[Quarters],"NIL")</f>
        <v>Q4</v>
      </c>
      <c r="Q648" s="1"/>
    </row>
    <row r="649" spans="1:17" x14ac:dyDescent="0.2">
      <c r="A649" s="1">
        <v>10748</v>
      </c>
      <c r="B649" s="1" t="s">
        <v>13</v>
      </c>
      <c r="C649" s="1" t="s">
        <v>14</v>
      </c>
      <c r="D649" s="1" t="s">
        <v>33</v>
      </c>
      <c r="E649" s="3">
        <v>170</v>
      </c>
      <c r="F649" s="3">
        <v>250</v>
      </c>
      <c r="G649" s="13">
        <v>702</v>
      </c>
      <c r="H649" s="3">
        <v>175500</v>
      </c>
      <c r="I649" s="3">
        <v>56160</v>
      </c>
      <c r="J649" s="1" t="s">
        <v>28</v>
      </c>
      <c r="K649" s="1" t="s">
        <v>44</v>
      </c>
      <c r="L649" s="1" t="s">
        <v>60</v>
      </c>
      <c r="M649" s="1">
        <v>2018</v>
      </c>
      <c r="N649" s="1" t="str">
        <f t="shared" si="10"/>
        <v>Francophone</v>
      </c>
      <c r="O649" s="3" t="str">
        <f>_xlfn.XLOOKUP(D:D,MappingTable[Brand],MappingTable[Brand Type], "not found")</f>
        <v>Beer</v>
      </c>
      <c r="P649" t="str">
        <f>_xlfn.XLOOKUP(L:L,MappingTable2[Month],MappingTable2[Quarters],"NIL")</f>
        <v>Q4</v>
      </c>
      <c r="Q649" s="1"/>
    </row>
    <row r="650" spans="1:17" x14ac:dyDescent="0.2">
      <c r="A650" s="1">
        <v>10749</v>
      </c>
      <c r="B650" s="1" t="s">
        <v>46</v>
      </c>
      <c r="C650" s="1" t="s">
        <v>47</v>
      </c>
      <c r="D650" s="1" t="s">
        <v>39</v>
      </c>
      <c r="E650" s="3">
        <v>150</v>
      </c>
      <c r="F650" s="3">
        <v>200</v>
      </c>
      <c r="G650" s="13">
        <v>830</v>
      </c>
      <c r="H650" s="3">
        <v>166000</v>
      </c>
      <c r="I650" s="3">
        <v>41500</v>
      </c>
      <c r="J650" s="1" t="s">
        <v>34</v>
      </c>
      <c r="K650" s="1" t="s">
        <v>17</v>
      </c>
      <c r="L650" s="1" t="s">
        <v>18</v>
      </c>
      <c r="M650" s="1">
        <v>2018</v>
      </c>
      <c r="N650" s="1" t="str">
        <f t="shared" si="10"/>
        <v>Francophone</v>
      </c>
      <c r="O650" s="3" t="str">
        <f>_xlfn.XLOOKUP(D:D,MappingTable[Brand],MappingTable[Brand Type], "not found")</f>
        <v>Beer</v>
      </c>
      <c r="P650" t="str">
        <f>_xlfn.XLOOKUP(L:L,MappingTable2[Month],MappingTable2[Quarters],"NIL")</f>
        <v>Q1</v>
      </c>
      <c r="Q650" s="1"/>
    </row>
    <row r="651" spans="1:17" x14ac:dyDescent="0.2">
      <c r="A651" s="1">
        <v>10750</v>
      </c>
      <c r="B651" s="1" t="s">
        <v>31</v>
      </c>
      <c r="C651" s="1" t="s">
        <v>32</v>
      </c>
      <c r="D651" s="1" t="s">
        <v>43</v>
      </c>
      <c r="E651" s="3">
        <v>80</v>
      </c>
      <c r="F651" s="3">
        <v>150</v>
      </c>
      <c r="G651" s="13">
        <v>710</v>
      </c>
      <c r="H651" s="3">
        <v>106500</v>
      </c>
      <c r="I651" s="3">
        <v>49700</v>
      </c>
      <c r="J651" s="1" t="s">
        <v>40</v>
      </c>
      <c r="K651" s="1" t="s">
        <v>23</v>
      </c>
      <c r="L651" s="1" t="s">
        <v>24</v>
      </c>
      <c r="M651" s="1">
        <v>2018</v>
      </c>
      <c r="N651" s="1" t="str">
        <f t="shared" si="10"/>
        <v>Francophone</v>
      </c>
      <c r="O651" s="3" t="str">
        <f>_xlfn.XLOOKUP(D:D,MappingTable[Brand],MappingTable[Brand Type], "not found")</f>
        <v>Malt</v>
      </c>
      <c r="P651" t="str">
        <f>_xlfn.XLOOKUP(L:L,MappingTable2[Month],MappingTable2[Quarters],"NIL")</f>
        <v>Q1</v>
      </c>
      <c r="Q651" s="1"/>
    </row>
    <row r="652" spans="1:17" x14ac:dyDescent="0.2">
      <c r="A652" s="1">
        <v>10751</v>
      </c>
      <c r="B652" s="1" t="s">
        <v>51</v>
      </c>
      <c r="C652" s="1" t="s">
        <v>52</v>
      </c>
      <c r="D652" s="1" t="s">
        <v>48</v>
      </c>
      <c r="E652" s="3">
        <v>90</v>
      </c>
      <c r="F652" s="3">
        <v>150</v>
      </c>
      <c r="G652" s="13">
        <v>708</v>
      </c>
      <c r="H652" s="3">
        <v>106200</v>
      </c>
      <c r="I652" s="3">
        <v>42480</v>
      </c>
      <c r="J652" s="1" t="s">
        <v>16</v>
      </c>
      <c r="K652" s="1" t="s">
        <v>29</v>
      </c>
      <c r="L652" s="1" t="s">
        <v>30</v>
      </c>
      <c r="M652" s="1">
        <v>2018</v>
      </c>
      <c r="N652" s="1" t="str">
        <f t="shared" si="10"/>
        <v>Anglophone</v>
      </c>
      <c r="O652" s="3" t="str">
        <f>_xlfn.XLOOKUP(D:D,MappingTable[Brand],MappingTable[Brand Type], "not found")</f>
        <v>Malt</v>
      </c>
      <c r="P652" t="str">
        <f>_xlfn.XLOOKUP(L:L,MappingTable2[Month],MappingTable2[Quarters],"NIL")</f>
        <v>Q1</v>
      </c>
      <c r="Q652" s="1"/>
    </row>
    <row r="653" spans="1:17" x14ac:dyDescent="0.2">
      <c r="A653" s="1">
        <v>10752</v>
      </c>
      <c r="B653" s="1" t="s">
        <v>54</v>
      </c>
      <c r="C653" s="1" t="s">
        <v>55</v>
      </c>
      <c r="D653" s="1" t="s">
        <v>15</v>
      </c>
      <c r="E653" s="3">
        <v>150</v>
      </c>
      <c r="F653" s="3">
        <v>200</v>
      </c>
      <c r="G653" s="13">
        <v>816</v>
      </c>
      <c r="H653" s="3">
        <v>163200</v>
      </c>
      <c r="I653" s="3">
        <v>40800</v>
      </c>
      <c r="J653" s="1" t="s">
        <v>22</v>
      </c>
      <c r="K653" s="1" t="s">
        <v>35</v>
      </c>
      <c r="L653" s="1" t="s">
        <v>36</v>
      </c>
      <c r="M653" s="1">
        <v>2019</v>
      </c>
      <c r="N653" s="1" t="str">
        <f t="shared" si="10"/>
        <v>Anglophone</v>
      </c>
      <c r="O653" s="3" t="str">
        <f>_xlfn.XLOOKUP(D:D,MappingTable[Brand],MappingTable[Brand Type], "not found")</f>
        <v>Beer</v>
      </c>
      <c r="P653" t="str">
        <f>_xlfn.XLOOKUP(L:L,MappingTable2[Month],MappingTable2[Quarters],"NIL")</f>
        <v>Q2</v>
      </c>
      <c r="Q653" s="1"/>
    </row>
    <row r="654" spans="1:17" x14ac:dyDescent="0.2">
      <c r="A654" s="1">
        <v>10753</v>
      </c>
      <c r="B654" s="1" t="s">
        <v>57</v>
      </c>
      <c r="C654" s="1" t="s">
        <v>58</v>
      </c>
      <c r="D654" s="1" t="s">
        <v>21</v>
      </c>
      <c r="E654" s="3">
        <v>250</v>
      </c>
      <c r="F654" s="3">
        <v>500</v>
      </c>
      <c r="G654" s="13">
        <v>722</v>
      </c>
      <c r="H654" s="3">
        <v>361000</v>
      </c>
      <c r="I654" s="3">
        <v>180500</v>
      </c>
      <c r="J654" s="1" t="s">
        <v>28</v>
      </c>
      <c r="K654" s="1" t="s">
        <v>41</v>
      </c>
      <c r="L654" s="1" t="s">
        <v>42</v>
      </c>
      <c r="M654" s="1">
        <v>2017</v>
      </c>
      <c r="N654" s="1" t="str">
        <f t="shared" si="10"/>
        <v>Francophone</v>
      </c>
      <c r="O654" s="3" t="str">
        <f>_xlfn.XLOOKUP(D:D,MappingTable[Brand],MappingTable[Brand Type], "not found")</f>
        <v>Beer</v>
      </c>
      <c r="P654" t="str">
        <f>_xlfn.XLOOKUP(L:L,MappingTable2[Month],MappingTable2[Quarters],"NIL")</f>
        <v>Q2</v>
      </c>
      <c r="Q654" s="1"/>
    </row>
    <row r="655" spans="1:17" x14ac:dyDescent="0.2">
      <c r="A655" s="1">
        <v>10754</v>
      </c>
      <c r="B655" s="1" t="s">
        <v>31</v>
      </c>
      <c r="C655" s="1" t="s">
        <v>32</v>
      </c>
      <c r="D655" s="1" t="s">
        <v>27</v>
      </c>
      <c r="E655" s="3">
        <v>180</v>
      </c>
      <c r="F655" s="3">
        <v>450</v>
      </c>
      <c r="G655" s="13">
        <v>778</v>
      </c>
      <c r="H655" s="3">
        <v>350100</v>
      </c>
      <c r="I655" s="3">
        <v>210060</v>
      </c>
      <c r="J655" s="1" t="s">
        <v>34</v>
      </c>
      <c r="K655" s="1" t="s">
        <v>44</v>
      </c>
      <c r="L655" s="1" t="s">
        <v>45</v>
      </c>
      <c r="M655" s="1">
        <v>2017</v>
      </c>
      <c r="N655" s="1" t="str">
        <f t="shared" si="10"/>
        <v>Francophone</v>
      </c>
      <c r="O655" s="3" t="str">
        <f>_xlfn.XLOOKUP(D:D,MappingTable[Brand],MappingTable[Brand Type], "not found")</f>
        <v>Beer</v>
      </c>
      <c r="P655" t="str">
        <f>_xlfn.XLOOKUP(L:L,MappingTable2[Month],MappingTable2[Quarters],"NIL")</f>
        <v>Q2</v>
      </c>
      <c r="Q655" s="1"/>
    </row>
    <row r="656" spans="1:17" x14ac:dyDescent="0.2">
      <c r="A656" s="1">
        <v>10755</v>
      </c>
      <c r="B656" s="1" t="s">
        <v>61</v>
      </c>
      <c r="C656" s="1" t="s">
        <v>62</v>
      </c>
      <c r="D656" s="1" t="s">
        <v>33</v>
      </c>
      <c r="E656" s="3">
        <v>170</v>
      </c>
      <c r="F656" s="3">
        <v>250</v>
      </c>
      <c r="G656" s="13">
        <v>732</v>
      </c>
      <c r="H656" s="3">
        <v>183000</v>
      </c>
      <c r="I656" s="3">
        <v>58560</v>
      </c>
      <c r="J656" s="1" t="s">
        <v>40</v>
      </c>
      <c r="K656" s="1" t="s">
        <v>17</v>
      </c>
      <c r="L656" s="1" t="s">
        <v>49</v>
      </c>
      <c r="M656" s="1">
        <v>2019</v>
      </c>
      <c r="N656" s="1" t="str">
        <f t="shared" si="10"/>
        <v>Francophone</v>
      </c>
      <c r="O656" s="3" t="str">
        <f>_xlfn.XLOOKUP(D:D,MappingTable[Brand],MappingTable[Brand Type], "not found")</f>
        <v>Beer</v>
      </c>
      <c r="P656" t="str">
        <f>_xlfn.XLOOKUP(L:L,MappingTable2[Month],MappingTable2[Quarters],"NIL")</f>
        <v>Q3</v>
      </c>
      <c r="Q656" s="1"/>
    </row>
    <row r="657" spans="1:17" x14ac:dyDescent="0.2">
      <c r="A657" s="1">
        <v>10756</v>
      </c>
      <c r="B657" s="1" t="s">
        <v>31</v>
      </c>
      <c r="C657" s="1" t="s">
        <v>32</v>
      </c>
      <c r="D657" s="1" t="s">
        <v>39</v>
      </c>
      <c r="E657" s="3">
        <v>150</v>
      </c>
      <c r="F657" s="3">
        <v>200</v>
      </c>
      <c r="G657" s="13">
        <v>881</v>
      </c>
      <c r="H657" s="3">
        <v>176200</v>
      </c>
      <c r="I657" s="3">
        <v>44050</v>
      </c>
      <c r="J657" s="1" t="s">
        <v>16</v>
      </c>
      <c r="K657" s="1" t="s">
        <v>23</v>
      </c>
      <c r="L657" s="1" t="s">
        <v>50</v>
      </c>
      <c r="M657" s="1">
        <v>2018</v>
      </c>
      <c r="N657" s="1" t="str">
        <f t="shared" si="10"/>
        <v>Anglophone</v>
      </c>
      <c r="O657" s="3" t="str">
        <f>_xlfn.XLOOKUP(D:D,MappingTable[Brand],MappingTable[Brand Type], "not found")</f>
        <v>Beer</v>
      </c>
      <c r="P657" t="str">
        <f>_xlfn.XLOOKUP(L:L,MappingTable2[Month],MappingTable2[Quarters],"NIL")</f>
        <v>Q3</v>
      </c>
      <c r="Q657" s="1"/>
    </row>
    <row r="658" spans="1:17" x14ac:dyDescent="0.2">
      <c r="A658" s="1">
        <v>10757</v>
      </c>
      <c r="B658" s="1" t="s">
        <v>51</v>
      </c>
      <c r="C658" s="1" t="s">
        <v>52</v>
      </c>
      <c r="D658" s="1" t="s">
        <v>43</v>
      </c>
      <c r="E658" s="3">
        <v>80</v>
      </c>
      <c r="F658" s="3">
        <v>150</v>
      </c>
      <c r="G658" s="13">
        <v>939</v>
      </c>
      <c r="H658" s="3">
        <v>140850</v>
      </c>
      <c r="I658" s="3">
        <v>65730</v>
      </c>
      <c r="J658" s="1" t="s">
        <v>22</v>
      </c>
      <c r="K658" s="1" t="s">
        <v>29</v>
      </c>
      <c r="L658" s="1" t="s">
        <v>53</v>
      </c>
      <c r="M658" s="1">
        <v>2017</v>
      </c>
      <c r="N658" s="1" t="str">
        <f t="shared" si="10"/>
        <v>Anglophone</v>
      </c>
      <c r="O658" s="3" t="str">
        <f>_xlfn.XLOOKUP(D:D,MappingTable[Brand],MappingTable[Brand Type], "not found")</f>
        <v>Malt</v>
      </c>
      <c r="P658" t="str">
        <f>_xlfn.XLOOKUP(L:L,MappingTable2[Month],MappingTable2[Quarters],"NIL")</f>
        <v>Q3</v>
      </c>
      <c r="Q658" s="1"/>
    </row>
    <row r="659" spans="1:17" x14ac:dyDescent="0.2">
      <c r="A659" s="1">
        <v>10758</v>
      </c>
      <c r="B659" s="1" t="s">
        <v>31</v>
      </c>
      <c r="C659" s="1" t="s">
        <v>32</v>
      </c>
      <c r="D659" s="1" t="s">
        <v>48</v>
      </c>
      <c r="E659" s="3">
        <v>90</v>
      </c>
      <c r="F659" s="3">
        <v>150</v>
      </c>
      <c r="G659" s="13">
        <v>907</v>
      </c>
      <c r="H659" s="3">
        <v>136050</v>
      </c>
      <c r="I659" s="3">
        <v>54420</v>
      </c>
      <c r="J659" s="1" t="s">
        <v>28</v>
      </c>
      <c r="K659" s="1" t="s">
        <v>35</v>
      </c>
      <c r="L659" s="1" t="s">
        <v>56</v>
      </c>
      <c r="M659" s="1">
        <v>2019</v>
      </c>
      <c r="N659" s="1" t="str">
        <f t="shared" si="10"/>
        <v>Francophone</v>
      </c>
      <c r="O659" s="3" t="str">
        <f>_xlfn.XLOOKUP(D:D,MappingTable[Brand],MappingTable[Brand Type], "not found")</f>
        <v>Malt</v>
      </c>
      <c r="P659" t="str">
        <f>_xlfn.XLOOKUP(L:L,MappingTable2[Month],MappingTable2[Quarters],"NIL")</f>
        <v>Q4</v>
      </c>
      <c r="Q659" s="1"/>
    </row>
    <row r="660" spans="1:17" x14ac:dyDescent="0.2">
      <c r="A660" s="1">
        <v>10759</v>
      </c>
      <c r="B660" s="1" t="s">
        <v>57</v>
      </c>
      <c r="C660" s="1" t="s">
        <v>58</v>
      </c>
      <c r="D660" s="1" t="s">
        <v>15</v>
      </c>
      <c r="E660" s="3">
        <v>150</v>
      </c>
      <c r="F660" s="3">
        <v>200</v>
      </c>
      <c r="G660" s="13">
        <v>709</v>
      </c>
      <c r="H660" s="3">
        <v>141800</v>
      </c>
      <c r="I660" s="3">
        <v>35450</v>
      </c>
      <c r="J660" s="1" t="s">
        <v>34</v>
      </c>
      <c r="K660" s="1" t="s">
        <v>41</v>
      </c>
      <c r="L660" s="1" t="s">
        <v>59</v>
      </c>
      <c r="M660" s="1">
        <v>2019</v>
      </c>
      <c r="N660" s="1" t="str">
        <f t="shared" si="10"/>
        <v>Francophone</v>
      </c>
      <c r="O660" s="3" t="str">
        <f>_xlfn.XLOOKUP(D:D,MappingTable[Brand],MappingTable[Brand Type], "not found")</f>
        <v>Beer</v>
      </c>
      <c r="P660" t="str">
        <f>_xlfn.XLOOKUP(L:L,MappingTable2[Month],MappingTable2[Quarters],"NIL")</f>
        <v>Q4</v>
      </c>
      <c r="Q660" s="1"/>
    </row>
    <row r="661" spans="1:17" x14ac:dyDescent="0.2">
      <c r="A661" s="1">
        <v>10760</v>
      </c>
      <c r="B661" s="1" t="s">
        <v>63</v>
      </c>
      <c r="C661" s="1" t="s">
        <v>64</v>
      </c>
      <c r="D661" s="1" t="s">
        <v>21</v>
      </c>
      <c r="E661" s="3">
        <v>250</v>
      </c>
      <c r="F661" s="3">
        <v>500</v>
      </c>
      <c r="G661" s="13">
        <v>886</v>
      </c>
      <c r="H661" s="3">
        <v>443000</v>
      </c>
      <c r="I661" s="3">
        <v>221500</v>
      </c>
      <c r="J661" s="1" t="s">
        <v>40</v>
      </c>
      <c r="K661" s="1" t="s">
        <v>44</v>
      </c>
      <c r="L661" s="1" t="s">
        <v>60</v>
      </c>
      <c r="M661" s="1">
        <v>2017</v>
      </c>
      <c r="N661" s="1" t="str">
        <f t="shared" si="10"/>
        <v>Francophone</v>
      </c>
      <c r="O661" s="3" t="str">
        <f>_xlfn.XLOOKUP(D:D,MappingTable[Brand],MappingTable[Brand Type], "not found")</f>
        <v>Beer</v>
      </c>
      <c r="P661" t="str">
        <f>_xlfn.XLOOKUP(L:L,MappingTable2[Month],MappingTable2[Quarters],"NIL")</f>
        <v>Q4</v>
      </c>
      <c r="Q661" s="1"/>
    </row>
    <row r="662" spans="1:17" x14ac:dyDescent="0.2">
      <c r="A662" s="1">
        <v>10761</v>
      </c>
      <c r="B662" s="1" t="s">
        <v>61</v>
      </c>
      <c r="C662" s="1" t="s">
        <v>62</v>
      </c>
      <c r="D662" s="1" t="s">
        <v>27</v>
      </c>
      <c r="E662" s="3">
        <v>180</v>
      </c>
      <c r="F662" s="3">
        <v>450</v>
      </c>
      <c r="G662" s="13">
        <v>828</v>
      </c>
      <c r="H662" s="3">
        <v>372600</v>
      </c>
      <c r="I662" s="3">
        <v>223560</v>
      </c>
      <c r="J662" s="1" t="s">
        <v>16</v>
      </c>
      <c r="K662" s="1" t="s">
        <v>17</v>
      </c>
      <c r="L662" s="1" t="s">
        <v>18</v>
      </c>
      <c r="M662" s="1">
        <v>2017</v>
      </c>
      <c r="N662" s="1" t="str">
        <f t="shared" si="10"/>
        <v>Anglophone</v>
      </c>
      <c r="O662" s="3" t="str">
        <f>_xlfn.XLOOKUP(D:D,MappingTable[Brand],MappingTable[Brand Type], "not found")</f>
        <v>Beer</v>
      </c>
      <c r="P662" t="str">
        <f>_xlfn.XLOOKUP(L:L,MappingTable2[Month],MappingTable2[Quarters],"NIL")</f>
        <v>Q1</v>
      </c>
      <c r="Q662" s="1"/>
    </row>
    <row r="663" spans="1:17" x14ac:dyDescent="0.2">
      <c r="A663" s="1">
        <v>10762</v>
      </c>
      <c r="B663" s="1" t="s">
        <v>57</v>
      </c>
      <c r="C663" s="1" t="s">
        <v>58</v>
      </c>
      <c r="D663" s="1" t="s">
        <v>33</v>
      </c>
      <c r="E663" s="3">
        <v>170</v>
      </c>
      <c r="F663" s="3">
        <v>250</v>
      </c>
      <c r="G663" s="13">
        <v>700</v>
      </c>
      <c r="H663" s="3">
        <v>175000</v>
      </c>
      <c r="I663" s="3">
        <v>56000</v>
      </c>
      <c r="J663" s="1" t="s">
        <v>22</v>
      </c>
      <c r="K663" s="1" t="s">
        <v>23</v>
      </c>
      <c r="L663" s="1" t="s">
        <v>24</v>
      </c>
      <c r="M663" s="1">
        <v>2019</v>
      </c>
      <c r="N663" s="1" t="str">
        <f t="shared" si="10"/>
        <v>Anglophone</v>
      </c>
      <c r="O663" s="3" t="str">
        <f>_xlfn.XLOOKUP(D:D,MappingTable[Brand],MappingTable[Brand Type], "not found")</f>
        <v>Beer</v>
      </c>
      <c r="P663" t="str">
        <f>_xlfn.XLOOKUP(L:L,MappingTable2[Month],MappingTable2[Quarters],"NIL")</f>
        <v>Q1</v>
      </c>
      <c r="Q663" s="1"/>
    </row>
    <row r="664" spans="1:17" x14ac:dyDescent="0.2">
      <c r="A664" s="1">
        <v>10763</v>
      </c>
      <c r="B664" s="1" t="s">
        <v>19</v>
      </c>
      <c r="C664" s="1" t="s">
        <v>20</v>
      </c>
      <c r="D664" s="1" t="s">
        <v>39</v>
      </c>
      <c r="E664" s="3">
        <v>150</v>
      </c>
      <c r="F664" s="3">
        <v>200</v>
      </c>
      <c r="G664" s="13">
        <v>928</v>
      </c>
      <c r="H664" s="3">
        <v>185600</v>
      </c>
      <c r="I664" s="3">
        <v>46400</v>
      </c>
      <c r="J664" s="1" t="s">
        <v>28</v>
      </c>
      <c r="K664" s="1" t="s">
        <v>29</v>
      </c>
      <c r="L664" s="1" t="s">
        <v>30</v>
      </c>
      <c r="M664" s="1">
        <v>2018</v>
      </c>
      <c r="N664" s="1" t="str">
        <f t="shared" si="10"/>
        <v>Francophone</v>
      </c>
      <c r="O664" s="3" t="str">
        <f>_xlfn.XLOOKUP(D:D,MappingTable[Brand],MappingTable[Brand Type], "not found")</f>
        <v>Beer</v>
      </c>
      <c r="P664" t="str">
        <f>_xlfn.XLOOKUP(L:L,MappingTable2[Month],MappingTable2[Quarters],"NIL")</f>
        <v>Q1</v>
      </c>
      <c r="Q664" s="1"/>
    </row>
    <row r="665" spans="1:17" x14ac:dyDescent="0.2">
      <c r="A665" s="1">
        <v>10764</v>
      </c>
      <c r="B665" s="1" t="s">
        <v>61</v>
      </c>
      <c r="C665" s="1" t="s">
        <v>62</v>
      </c>
      <c r="D665" s="1" t="s">
        <v>43</v>
      </c>
      <c r="E665" s="3">
        <v>80</v>
      </c>
      <c r="F665" s="3">
        <v>150</v>
      </c>
      <c r="G665" s="13">
        <v>737</v>
      </c>
      <c r="H665" s="3">
        <v>110550</v>
      </c>
      <c r="I665" s="3">
        <v>51590</v>
      </c>
      <c r="J665" s="1" t="s">
        <v>34</v>
      </c>
      <c r="K665" s="1" t="s">
        <v>35</v>
      </c>
      <c r="L665" s="1" t="s">
        <v>36</v>
      </c>
      <c r="M665" s="1">
        <v>2018</v>
      </c>
      <c r="N665" s="1" t="str">
        <f t="shared" si="10"/>
        <v>Francophone</v>
      </c>
      <c r="O665" s="3" t="str">
        <f>_xlfn.XLOOKUP(D:D,MappingTable[Brand],MappingTable[Brand Type], "not found")</f>
        <v>Malt</v>
      </c>
      <c r="P665" t="str">
        <f>_xlfn.XLOOKUP(L:L,MappingTable2[Month],MappingTable2[Quarters],"NIL")</f>
        <v>Q2</v>
      </c>
      <c r="Q665" s="1"/>
    </row>
    <row r="666" spans="1:17" x14ac:dyDescent="0.2">
      <c r="A666" s="1">
        <v>10765</v>
      </c>
      <c r="B666" s="1" t="s">
        <v>31</v>
      </c>
      <c r="C666" s="1" t="s">
        <v>32</v>
      </c>
      <c r="D666" s="1" t="s">
        <v>48</v>
      </c>
      <c r="E666" s="3">
        <v>90</v>
      </c>
      <c r="F666" s="3">
        <v>150</v>
      </c>
      <c r="G666" s="13">
        <v>986</v>
      </c>
      <c r="H666" s="3">
        <v>147900</v>
      </c>
      <c r="I666" s="3">
        <v>59160</v>
      </c>
      <c r="J666" s="1" t="s">
        <v>40</v>
      </c>
      <c r="K666" s="1" t="s">
        <v>41</v>
      </c>
      <c r="L666" s="1" t="s">
        <v>42</v>
      </c>
      <c r="M666" s="1">
        <v>2019</v>
      </c>
      <c r="N666" s="1" t="str">
        <f t="shared" si="10"/>
        <v>Francophone</v>
      </c>
      <c r="O666" s="3" t="str">
        <f>_xlfn.XLOOKUP(D:D,MappingTable[Brand],MappingTable[Brand Type], "not found")</f>
        <v>Malt</v>
      </c>
      <c r="P666" t="str">
        <f>_xlfn.XLOOKUP(L:L,MappingTable2[Month],MappingTable2[Quarters],"NIL")</f>
        <v>Q2</v>
      </c>
      <c r="Q666" s="1"/>
    </row>
    <row r="667" spans="1:17" x14ac:dyDescent="0.2">
      <c r="A667" s="1">
        <v>10766</v>
      </c>
      <c r="B667" s="1" t="s">
        <v>25</v>
      </c>
      <c r="C667" s="1" t="s">
        <v>26</v>
      </c>
      <c r="D667" s="1" t="s">
        <v>15</v>
      </c>
      <c r="E667" s="3">
        <v>150</v>
      </c>
      <c r="F667" s="3">
        <v>200</v>
      </c>
      <c r="G667" s="13">
        <v>733</v>
      </c>
      <c r="H667" s="3">
        <v>146600</v>
      </c>
      <c r="I667" s="3">
        <v>36650</v>
      </c>
      <c r="J667" s="1" t="s">
        <v>16</v>
      </c>
      <c r="K667" s="1" t="s">
        <v>44</v>
      </c>
      <c r="L667" s="1" t="s">
        <v>45</v>
      </c>
      <c r="M667" s="1">
        <v>2018</v>
      </c>
      <c r="N667" s="1" t="str">
        <f t="shared" si="10"/>
        <v>Anglophone</v>
      </c>
      <c r="O667" s="3" t="str">
        <f>_xlfn.XLOOKUP(D:D,MappingTable[Brand],MappingTable[Brand Type], "not found")</f>
        <v>Beer</v>
      </c>
      <c r="P667" t="str">
        <f>_xlfn.XLOOKUP(L:L,MappingTable2[Month],MappingTable2[Quarters],"NIL")</f>
        <v>Q2</v>
      </c>
      <c r="Q667" s="1"/>
    </row>
    <row r="668" spans="1:17" x14ac:dyDescent="0.2">
      <c r="A668" s="1">
        <v>10767</v>
      </c>
      <c r="B668" s="1" t="s">
        <v>13</v>
      </c>
      <c r="C668" s="1" t="s">
        <v>14</v>
      </c>
      <c r="D668" s="1" t="s">
        <v>21</v>
      </c>
      <c r="E668" s="3">
        <v>250</v>
      </c>
      <c r="F668" s="3">
        <v>500</v>
      </c>
      <c r="G668" s="13">
        <v>769</v>
      </c>
      <c r="H668" s="3">
        <v>384500</v>
      </c>
      <c r="I668" s="3">
        <v>192250</v>
      </c>
      <c r="J668" s="1" t="s">
        <v>22</v>
      </c>
      <c r="K668" s="1" t="s">
        <v>17</v>
      </c>
      <c r="L668" s="1" t="s">
        <v>49</v>
      </c>
      <c r="M668" s="1">
        <v>2017</v>
      </c>
      <c r="N668" s="1" t="str">
        <f t="shared" si="10"/>
        <v>Anglophone</v>
      </c>
      <c r="O668" s="3" t="str">
        <f>_xlfn.XLOOKUP(D:D,MappingTable[Brand],MappingTable[Brand Type], "not found")</f>
        <v>Beer</v>
      </c>
      <c r="P668" t="str">
        <f>_xlfn.XLOOKUP(L:L,MappingTable2[Month],MappingTable2[Quarters],"NIL")</f>
        <v>Q3</v>
      </c>
      <c r="Q668" s="1"/>
    </row>
    <row r="669" spans="1:17" x14ac:dyDescent="0.2">
      <c r="A669" s="1">
        <v>10768</v>
      </c>
      <c r="B669" s="1" t="s">
        <v>37</v>
      </c>
      <c r="C669" s="1" t="s">
        <v>38</v>
      </c>
      <c r="D669" s="1" t="s">
        <v>27</v>
      </c>
      <c r="E669" s="3">
        <v>180</v>
      </c>
      <c r="F669" s="3">
        <v>450</v>
      </c>
      <c r="G669" s="13">
        <v>782</v>
      </c>
      <c r="H669" s="3">
        <v>351900</v>
      </c>
      <c r="I669" s="3">
        <v>211140</v>
      </c>
      <c r="J669" s="1" t="s">
        <v>28</v>
      </c>
      <c r="K669" s="1" t="s">
        <v>23</v>
      </c>
      <c r="L669" s="1" t="s">
        <v>50</v>
      </c>
      <c r="M669" s="1">
        <v>2017</v>
      </c>
      <c r="N669" s="1" t="str">
        <f t="shared" si="10"/>
        <v>Francophone</v>
      </c>
      <c r="O669" s="3" t="str">
        <f>_xlfn.XLOOKUP(D:D,MappingTable[Brand],MappingTable[Brand Type], "not found")</f>
        <v>Beer</v>
      </c>
      <c r="P669" t="str">
        <f>_xlfn.XLOOKUP(L:L,MappingTable2[Month],MappingTable2[Quarters],"NIL")</f>
        <v>Q3</v>
      </c>
      <c r="Q669" s="1"/>
    </row>
    <row r="670" spans="1:17" x14ac:dyDescent="0.2">
      <c r="A670" s="1">
        <v>10769</v>
      </c>
      <c r="B670" s="1" t="s">
        <v>54</v>
      </c>
      <c r="C670" s="1" t="s">
        <v>55</v>
      </c>
      <c r="D670" s="1" t="s">
        <v>33</v>
      </c>
      <c r="E670" s="3">
        <v>170</v>
      </c>
      <c r="F670" s="3">
        <v>250</v>
      </c>
      <c r="G670" s="13">
        <v>755</v>
      </c>
      <c r="H670" s="3">
        <v>188750</v>
      </c>
      <c r="I670" s="3">
        <v>60400</v>
      </c>
      <c r="J670" s="1" t="s">
        <v>34</v>
      </c>
      <c r="K670" s="1" t="s">
        <v>29</v>
      </c>
      <c r="L670" s="1" t="s">
        <v>53</v>
      </c>
      <c r="M670" s="1">
        <v>2017</v>
      </c>
      <c r="N670" s="1" t="str">
        <f t="shared" si="10"/>
        <v>Francophone</v>
      </c>
      <c r="O670" s="3" t="str">
        <f>_xlfn.XLOOKUP(D:D,MappingTable[Brand],MappingTable[Brand Type], "not found")</f>
        <v>Beer</v>
      </c>
      <c r="P670" t="str">
        <f>_xlfn.XLOOKUP(L:L,MappingTable2[Month],MappingTable2[Quarters],"NIL")</f>
        <v>Q3</v>
      </c>
      <c r="Q670" s="1"/>
    </row>
    <row r="671" spans="1:17" x14ac:dyDescent="0.2">
      <c r="A671" s="1">
        <v>10770</v>
      </c>
      <c r="B671" s="1" t="s">
        <v>19</v>
      </c>
      <c r="C671" s="1" t="s">
        <v>20</v>
      </c>
      <c r="D671" s="1" t="s">
        <v>39</v>
      </c>
      <c r="E671" s="3">
        <v>150</v>
      </c>
      <c r="F671" s="3">
        <v>200</v>
      </c>
      <c r="G671" s="13">
        <v>980</v>
      </c>
      <c r="H671" s="3">
        <v>196000</v>
      </c>
      <c r="I671" s="3">
        <v>49000</v>
      </c>
      <c r="J671" s="1" t="s">
        <v>40</v>
      </c>
      <c r="K671" s="1" t="s">
        <v>35</v>
      </c>
      <c r="L671" s="1" t="s">
        <v>56</v>
      </c>
      <c r="M671" s="1">
        <v>2019</v>
      </c>
      <c r="N671" s="1" t="str">
        <f t="shared" si="10"/>
        <v>Francophone</v>
      </c>
      <c r="O671" s="3" t="str">
        <f>_xlfn.XLOOKUP(D:D,MappingTable[Brand],MappingTable[Brand Type], "not found")</f>
        <v>Beer</v>
      </c>
      <c r="P671" t="str">
        <f>_xlfn.XLOOKUP(L:L,MappingTable2[Month],MappingTable2[Quarters],"NIL")</f>
        <v>Q4</v>
      </c>
      <c r="Q671" s="1"/>
    </row>
    <row r="672" spans="1:17" x14ac:dyDescent="0.2">
      <c r="A672" s="1">
        <v>10771</v>
      </c>
      <c r="B672" s="1" t="s">
        <v>19</v>
      </c>
      <c r="C672" s="1" t="s">
        <v>20</v>
      </c>
      <c r="D672" s="1" t="s">
        <v>43</v>
      </c>
      <c r="E672" s="3">
        <v>80</v>
      </c>
      <c r="F672" s="3">
        <v>150</v>
      </c>
      <c r="G672" s="13">
        <v>755</v>
      </c>
      <c r="H672" s="3">
        <v>113250</v>
      </c>
      <c r="I672" s="3">
        <v>52850</v>
      </c>
      <c r="J672" s="1" t="s">
        <v>16</v>
      </c>
      <c r="K672" s="1" t="s">
        <v>41</v>
      </c>
      <c r="L672" s="1" t="s">
        <v>59</v>
      </c>
      <c r="M672" s="1">
        <v>2019</v>
      </c>
      <c r="N672" s="1" t="str">
        <f t="shared" si="10"/>
        <v>Anglophone</v>
      </c>
      <c r="O672" s="3" t="str">
        <f>_xlfn.XLOOKUP(D:D,MappingTable[Brand],MappingTable[Brand Type], "not found")</f>
        <v>Malt</v>
      </c>
      <c r="P672" t="str">
        <f>_xlfn.XLOOKUP(L:L,MappingTable2[Month],MappingTable2[Quarters],"NIL")</f>
        <v>Q4</v>
      </c>
      <c r="Q672" s="1"/>
    </row>
    <row r="673" spans="1:17" x14ac:dyDescent="0.2">
      <c r="A673" s="1">
        <v>10772</v>
      </c>
      <c r="B673" s="1" t="s">
        <v>63</v>
      </c>
      <c r="C673" s="1" t="s">
        <v>64</v>
      </c>
      <c r="D673" s="1" t="s">
        <v>48</v>
      </c>
      <c r="E673" s="3">
        <v>90</v>
      </c>
      <c r="F673" s="3">
        <v>150</v>
      </c>
      <c r="G673" s="13">
        <v>804</v>
      </c>
      <c r="H673" s="3">
        <v>120600</v>
      </c>
      <c r="I673" s="3">
        <v>48240</v>
      </c>
      <c r="J673" s="1" t="s">
        <v>22</v>
      </c>
      <c r="K673" s="1" t="s">
        <v>44</v>
      </c>
      <c r="L673" s="1" t="s">
        <v>60</v>
      </c>
      <c r="M673" s="1">
        <v>2019</v>
      </c>
      <c r="N673" s="1" t="str">
        <f t="shared" si="10"/>
        <v>Anglophone</v>
      </c>
      <c r="O673" s="3" t="str">
        <f>_xlfn.XLOOKUP(D:D,MappingTable[Brand],MappingTable[Brand Type], "not found")</f>
        <v>Malt</v>
      </c>
      <c r="P673" t="str">
        <f>_xlfn.XLOOKUP(L:L,MappingTable2[Month],MappingTable2[Quarters],"NIL")</f>
        <v>Q4</v>
      </c>
      <c r="Q673" s="1"/>
    </row>
    <row r="674" spans="1:17" x14ac:dyDescent="0.2">
      <c r="A674" s="1">
        <v>10773</v>
      </c>
      <c r="B674" s="1" t="s">
        <v>31</v>
      </c>
      <c r="C674" s="1" t="s">
        <v>32</v>
      </c>
      <c r="D674" s="1" t="s">
        <v>15</v>
      </c>
      <c r="E674" s="3">
        <v>150</v>
      </c>
      <c r="F674" s="3">
        <v>200</v>
      </c>
      <c r="G674" s="13">
        <v>821</v>
      </c>
      <c r="H674" s="3">
        <v>164200</v>
      </c>
      <c r="I674" s="3">
        <v>41050</v>
      </c>
      <c r="J674" s="1" t="s">
        <v>28</v>
      </c>
      <c r="K674" s="1" t="s">
        <v>17</v>
      </c>
      <c r="L674" s="1" t="s">
        <v>18</v>
      </c>
      <c r="M674" s="1">
        <v>2017</v>
      </c>
      <c r="N674" s="1" t="str">
        <f t="shared" si="10"/>
        <v>Francophone</v>
      </c>
      <c r="O674" s="3" t="str">
        <f>_xlfn.XLOOKUP(D:D,MappingTable[Brand],MappingTable[Brand Type], "not found")</f>
        <v>Beer</v>
      </c>
      <c r="P674" t="str">
        <f>_xlfn.XLOOKUP(L:L,MappingTable2[Month],MappingTable2[Quarters],"NIL")</f>
        <v>Q1</v>
      </c>
      <c r="Q674" s="1"/>
    </row>
    <row r="675" spans="1:17" x14ac:dyDescent="0.2">
      <c r="A675" s="1">
        <v>10774</v>
      </c>
      <c r="B675" s="1" t="s">
        <v>51</v>
      </c>
      <c r="C675" s="1" t="s">
        <v>52</v>
      </c>
      <c r="D675" s="1" t="s">
        <v>21</v>
      </c>
      <c r="E675" s="3">
        <v>250</v>
      </c>
      <c r="F675" s="3">
        <v>500</v>
      </c>
      <c r="G675" s="13">
        <v>768</v>
      </c>
      <c r="H675" s="3">
        <v>384000</v>
      </c>
      <c r="I675" s="3">
        <v>192000</v>
      </c>
      <c r="J675" s="1" t="s">
        <v>34</v>
      </c>
      <c r="K675" s="1" t="s">
        <v>23</v>
      </c>
      <c r="L675" s="1" t="s">
        <v>24</v>
      </c>
      <c r="M675" s="1">
        <v>2017</v>
      </c>
      <c r="N675" s="1" t="str">
        <f t="shared" si="10"/>
        <v>Francophone</v>
      </c>
      <c r="O675" s="3" t="str">
        <f>_xlfn.XLOOKUP(D:D,MappingTable[Brand],MappingTable[Brand Type], "not found")</f>
        <v>Beer</v>
      </c>
      <c r="P675" t="str">
        <f>_xlfn.XLOOKUP(L:L,MappingTable2[Month],MappingTable2[Quarters],"NIL")</f>
        <v>Q1</v>
      </c>
      <c r="Q675" s="1"/>
    </row>
    <row r="676" spans="1:17" x14ac:dyDescent="0.2">
      <c r="A676" s="1">
        <v>10775</v>
      </c>
      <c r="B676" s="1" t="s">
        <v>63</v>
      </c>
      <c r="C676" s="1" t="s">
        <v>64</v>
      </c>
      <c r="D676" s="1" t="s">
        <v>27</v>
      </c>
      <c r="E676" s="3">
        <v>180</v>
      </c>
      <c r="F676" s="3">
        <v>450</v>
      </c>
      <c r="G676" s="13">
        <v>929</v>
      </c>
      <c r="H676" s="3">
        <v>418050</v>
      </c>
      <c r="I676" s="3">
        <v>250830</v>
      </c>
      <c r="J676" s="1" t="s">
        <v>40</v>
      </c>
      <c r="K676" s="1" t="s">
        <v>29</v>
      </c>
      <c r="L676" s="1" t="s">
        <v>30</v>
      </c>
      <c r="M676" s="1">
        <v>2019</v>
      </c>
      <c r="N676" s="1" t="str">
        <f t="shared" si="10"/>
        <v>Francophone</v>
      </c>
      <c r="O676" s="3" t="str">
        <f>_xlfn.XLOOKUP(D:D,MappingTable[Brand],MappingTable[Brand Type], "not found")</f>
        <v>Beer</v>
      </c>
      <c r="P676" t="str">
        <f>_xlfn.XLOOKUP(L:L,MappingTable2[Month],MappingTable2[Quarters],"NIL")</f>
        <v>Q1</v>
      </c>
      <c r="Q676" s="1"/>
    </row>
    <row r="677" spans="1:17" x14ac:dyDescent="0.2">
      <c r="A677" s="1">
        <v>10776</v>
      </c>
      <c r="B677" s="1" t="s">
        <v>25</v>
      </c>
      <c r="C677" s="1" t="s">
        <v>26</v>
      </c>
      <c r="D677" s="1" t="s">
        <v>33</v>
      </c>
      <c r="E677" s="3">
        <v>170</v>
      </c>
      <c r="F677" s="3">
        <v>250</v>
      </c>
      <c r="G677" s="13">
        <v>938</v>
      </c>
      <c r="H677" s="3">
        <v>234500</v>
      </c>
      <c r="I677" s="3">
        <v>75040</v>
      </c>
      <c r="J677" s="1" t="s">
        <v>16</v>
      </c>
      <c r="K677" s="1" t="s">
        <v>35</v>
      </c>
      <c r="L677" s="1" t="s">
        <v>36</v>
      </c>
      <c r="M677" s="1">
        <v>2018</v>
      </c>
      <c r="N677" s="1" t="str">
        <f t="shared" si="10"/>
        <v>Anglophone</v>
      </c>
      <c r="O677" s="3" t="str">
        <f>_xlfn.XLOOKUP(D:D,MappingTable[Brand],MappingTable[Brand Type], "not found")</f>
        <v>Beer</v>
      </c>
      <c r="P677" t="str">
        <f>_xlfn.XLOOKUP(L:L,MappingTable2[Month],MappingTable2[Quarters],"NIL")</f>
        <v>Q2</v>
      </c>
      <c r="Q677" s="1"/>
    </row>
    <row r="678" spans="1:17" x14ac:dyDescent="0.2">
      <c r="A678" s="1">
        <v>10777</v>
      </c>
      <c r="B678" s="1" t="s">
        <v>19</v>
      </c>
      <c r="C678" s="1" t="s">
        <v>20</v>
      </c>
      <c r="D678" s="1" t="s">
        <v>39</v>
      </c>
      <c r="E678" s="3">
        <v>150</v>
      </c>
      <c r="F678" s="3">
        <v>200</v>
      </c>
      <c r="G678" s="13">
        <v>776</v>
      </c>
      <c r="H678" s="3">
        <v>155200</v>
      </c>
      <c r="I678" s="3">
        <v>38800</v>
      </c>
      <c r="J678" s="1" t="s">
        <v>22</v>
      </c>
      <c r="K678" s="1" t="s">
        <v>41</v>
      </c>
      <c r="L678" s="1" t="s">
        <v>42</v>
      </c>
      <c r="M678" s="1">
        <v>2018</v>
      </c>
      <c r="N678" s="1" t="str">
        <f t="shared" si="10"/>
        <v>Anglophone</v>
      </c>
      <c r="O678" s="3" t="str">
        <f>_xlfn.XLOOKUP(D:D,MappingTable[Brand],MappingTable[Brand Type], "not found")</f>
        <v>Beer</v>
      </c>
      <c r="P678" t="str">
        <f>_xlfn.XLOOKUP(L:L,MappingTable2[Month],MappingTable2[Quarters],"NIL")</f>
        <v>Q2</v>
      </c>
      <c r="Q678" s="1"/>
    </row>
    <row r="679" spans="1:17" x14ac:dyDescent="0.2">
      <c r="A679" s="1">
        <v>10778</v>
      </c>
      <c r="B679" s="1" t="s">
        <v>25</v>
      </c>
      <c r="C679" s="1" t="s">
        <v>26</v>
      </c>
      <c r="D679" s="1" t="s">
        <v>43</v>
      </c>
      <c r="E679" s="3">
        <v>80</v>
      </c>
      <c r="F679" s="3">
        <v>150</v>
      </c>
      <c r="G679" s="13">
        <v>830</v>
      </c>
      <c r="H679" s="3">
        <v>124500</v>
      </c>
      <c r="I679" s="3">
        <v>58100</v>
      </c>
      <c r="J679" s="1" t="s">
        <v>28</v>
      </c>
      <c r="K679" s="1" t="s">
        <v>44</v>
      </c>
      <c r="L679" s="1" t="s">
        <v>45</v>
      </c>
      <c r="M679" s="1">
        <v>2018</v>
      </c>
      <c r="N679" s="1" t="str">
        <f t="shared" si="10"/>
        <v>Francophone</v>
      </c>
      <c r="O679" s="3" t="str">
        <f>_xlfn.XLOOKUP(D:D,MappingTable[Brand],MappingTable[Brand Type], "not found")</f>
        <v>Malt</v>
      </c>
      <c r="P679" t="str">
        <f>_xlfn.XLOOKUP(L:L,MappingTable2[Month],MappingTable2[Quarters],"NIL")</f>
        <v>Q2</v>
      </c>
      <c r="Q679" s="1"/>
    </row>
    <row r="680" spans="1:17" x14ac:dyDescent="0.2">
      <c r="A680" s="1">
        <v>10779</v>
      </c>
      <c r="B680" s="1" t="s">
        <v>46</v>
      </c>
      <c r="C680" s="1" t="s">
        <v>47</v>
      </c>
      <c r="D680" s="1" t="s">
        <v>48</v>
      </c>
      <c r="E680" s="3">
        <v>90</v>
      </c>
      <c r="F680" s="3">
        <v>150</v>
      </c>
      <c r="G680" s="13">
        <v>881</v>
      </c>
      <c r="H680" s="3">
        <v>132150</v>
      </c>
      <c r="I680" s="3">
        <v>52860</v>
      </c>
      <c r="J680" s="1" t="s">
        <v>34</v>
      </c>
      <c r="K680" s="1" t="s">
        <v>17</v>
      </c>
      <c r="L680" s="1" t="s">
        <v>49</v>
      </c>
      <c r="M680" s="1">
        <v>2017</v>
      </c>
      <c r="N680" s="1" t="str">
        <f t="shared" si="10"/>
        <v>Francophone</v>
      </c>
      <c r="O680" s="3" t="str">
        <f>_xlfn.XLOOKUP(D:D,MappingTable[Brand],MappingTable[Brand Type], "not found")</f>
        <v>Malt</v>
      </c>
      <c r="P680" t="str">
        <f>_xlfn.XLOOKUP(L:L,MappingTable2[Month],MappingTable2[Quarters],"NIL")</f>
        <v>Q3</v>
      </c>
      <c r="Q680" s="1"/>
    </row>
    <row r="681" spans="1:17" x14ac:dyDescent="0.2">
      <c r="A681" s="1">
        <v>10780</v>
      </c>
      <c r="B681" s="1" t="s">
        <v>37</v>
      </c>
      <c r="C681" s="1" t="s">
        <v>38</v>
      </c>
      <c r="D681" s="1" t="s">
        <v>15</v>
      </c>
      <c r="E681" s="3">
        <v>150</v>
      </c>
      <c r="F681" s="3">
        <v>200</v>
      </c>
      <c r="G681" s="13">
        <v>854</v>
      </c>
      <c r="H681" s="3">
        <v>170800</v>
      </c>
      <c r="I681" s="3">
        <v>42700</v>
      </c>
      <c r="J681" s="1" t="s">
        <v>40</v>
      </c>
      <c r="K681" s="1" t="s">
        <v>23</v>
      </c>
      <c r="L681" s="1" t="s">
        <v>50</v>
      </c>
      <c r="M681" s="1">
        <v>2019</v>
      </c>
      <c r="N681" s="1" t="str">
        <f t="shared" si="10"/>
        <v>Francophone</v>
      </c>
      <c r="O681" s="3" t="str">
        <f>_xlfn.XLOOKUP(D:D,MappingTable[Brand],MappingTable[Brand Type], "not found")</f>
        <v>Beer</v>
      </c>
      <c r="P681" t="str">
        <f>_xlfn.XLOOKUP(L:L,MappingTable2[Month],MappingTable2[Quarters],"NIL")</f>
        <v>Q3</v>
      </c>
      <c r="Q681" s="1"/>
    </row>
    <row r="682" spans="1:17" x14ac:dyDescent="0.2">
      <c r="A682" s="1">
        <v>10781</v>
      </c>
      <c r="B682" s="1" t="s">
        <v>13</v>
      </c>
      <c r="C682" s="1" t="s">
        <v>14</v>
      </c>
      <c r="D682" s="1" t="s">
        <v>21</v>
      </c>
      <c r="E682" s="3">
        <v>250</v>
      </c>
      <c r="F682" s="3">
        <v>500</v>
      </c>
      <c r="G682" s="13">
        <v>843</v>
      </c>
      <c r="H682" s="3">
        <v>421500</v>
      </c>
      <c r="I682" s="3">
        <v>210750</v>
      </c>
      <c r="J682" s="1" t="s">
        <v>16</v>
      </c>
      <c r="K682" s="1" t="s">
        <v>29</v>
      </c>
      <c r="L682" s="1" t="s">
        <v>53</v>
      </c>
      <c r="M682" s="1">
        <v>2017</v>
      </c>
      <c r="N682" s="1" t="str">
        <f t="shared" si="10"/>
        <v>Anglophone</v>
      </c>
      <c r="O682" s="3" t="str">
        <f>_xlfn.XLOOKUP(D:D,MappingTable[Brand],MappingTable[Brand Type], "not found")</f>
        <v>Beer</v>
      </c>
      <c r="P682" t="str">
        <f>_xlfn.XLOOKUP(L:L,MappingTable2[Month],MappingTable2[Quarters],"NIL")</f>
        <v>Q3</v>
      </c>
      <c r="Q682" s="1"/>
    </row>
    <row r="683" spans="1:17" x14ac:dyDescent="0.2">
      <c r="A683" s="1">
        <v>10782</v>
      </c>
      <c r="B683" s="1" t="s">
        <v>13</v>
      </c>
      <c r="C683" s="1" t="s">
        <v>14</v>
      </c>
      <c r="D683" s="1" t="s">
        <v>27</v>
      </c>
      <c r="E683" s="3">
        <v>180</v>
      </c>
      <c r="F683" s="3">
        <v>450</v>
      </c>
      <c r="G683" s="13">
        <v>927</v>
      </c>
      <c r="H683" s="3">
        <v>417150</v>
      </c>
      <c r="I683" s="3">
        <v>250290</v>
      </c>
      <c r="J683" s="1" t="s">
        <v>22</v>
      </c>
      <c r="K683" s="1" t="s">
        <v>35</v>
      </c>
      <c r="L683" s="1" t="s">
        <v>56</v>
      </c>
      <c r="M683" s="1">
        <v>2019</v>
      </c>
      <c r="N683" s="1" t="str">
        <f t="shared" si="10"/>
        <v>Anglophone</v>
      </c>
      <c r="O683" s="3" t="str">
        <f>_xlfn.XLOOKUP(D:D,MappingTable[Brand],MappingTable[Brand Type], "not found")</f>
        <v>Beer</v>
      </c>
      <c r="P683" t="str">
        <f>_xlfn.XLOOKUP(L:L,MappingTable2[Month],MappingTable2[Quarters],"NIL")</f>
        <v>Q4</v>
      </c>
      <c r="Q683" s="1"/>
    </row>
    <row r="684" spans="1:17" x14ac:dyDescent="0.2">
      <c r="A684" s="1">
        <v>10783</v>
      </c>
      <c r="B684" s="1" t="s">
        <v>37</v>
      </c>
      <c r="C684" s="1" t="s">
        <v>38</v>
      </c>
      <c r="D684" s="1" t="s">
        <v>33</v>
      </c>
      <c r="E684" s="3">
        <v>170</v>
      </c>
      <c r="F684" s="3">
        <v>250</v>
      </c>
      <c r="G684" s="13">
        <v>988</v>
      </c>
      <c r="H684" s="3">
        <v>247000</v>
      </c>
      <c r="I684" s="3">
        <v>79040</v>
      </c>
      <c r="J684" s="1" t="s">
        <v>28</v>
      </c>
      <c r="K684" s="1" t="s">
        <v>41</v>
      </c>
      <c r="L684" s="1" t="s">
        <v>59</v>
      </c>
      <c r="M684" s="1">
        <v>2019</v>
      </c>
      <c r="N684" s="1" t="str">
        <f t="shared" si="10"/>
        <v>Francophone</v>
      </c>
      <c r="O684" s="3" t="str">
        <f>_xlfn.XLOOKUP(D:D,MappingTable[Brand],MappingTable[Brand Type], "not found")</f>
        <v>Beer</v>
      </c>
      <c r="P684" t="str">
        <f>_xlfn.XLOOKUP(L:L,MappingTable2[Month],MappingTable2[Quarters],"NIL")</f>
        <v>Q4</v>
      </c>
      <c r="Q684" s="1"/>
    </row>
    <row r="685" spans="1:17" x14ac:dyDescent="0.2">
      <c r="A685" s="1">
        <v>10784</v>
      </c>
      <c r="B685" s="1" t="s">
        <v>13</v>
      </c>
      <c r="C685" s="1" t="s">
        <v>14</v>
      </c>
      <c r="D685" s="1" t="s">
        <v>39</v>
      </c>
      <c r="E685" s="3">
        <v>150</v>
      </c>
      <c r="F685" s="3">
        <v>200</v>
      </c>
      <c r="G685" s="13">
        <v>864</v>
      </c>
      <c r="H685" s="3">
        <v>172800</v>
      </c>
      <c r="I685" s="3">
        <v>43200</v>
      </c>
      <c r="J685" s="1" t="s">
        <v>34</v>
      </c>
      <c r="K685" s="1" t="s">
        <v>44</v>
      </c>
      <c r="L685" s="1" t="s">
        <v>60</v>
      </c>
      <c r="M685" s="1">
        <v>2018</v>
      </c>
      <c r="N685" s="1" t="str">
        <f t="shared" si="10"/>
        <v>Francophone</v>
      </c>
      <c r="O685" s="3" t="str">
        <f>_xlfn.XLOOKUP(D:D,MappingTable[Brand],MappingTable[Brand Type], "not found")</f>
        <v>Beer</v>
      </c>
      <c r="P685" t="str">
        <f>_xlfn.XLOOKUP(L:L,MappingTable2[Month],MappingTable2[Quarters],"NIL")</f>
        <v>Q4</v>
      </c>
      <c r="Q685" s="1"/>
    </row>
    <row r="686" spans="1:17" x14ac:dyDescent="0.2">
      <c r="A686" s="1">
        <v>10785</v>
      </c>
      <c r="B686" s="1" t="s">
        <v>19</v>
      </c>
      <c r="C686" s="1" t="s">
        <v>20</v>
      </c>
      <c r="D686" s="1" t="s">
        <v>43</v>
      </c>
      <c r="E686" s="3">
        <v>80</v>
      </c>
      <c r="F686" s="3">
        <v>150</v>
      </c>
      <c r="G686" s="13">
        <v>952</v>
      </c>
      <c r="H686" s="3">
        <v>142800</v>
      </c>
      <c r="I686" s="3">
        <v>66640</v>
      </c>
      <c r="J686" s="1" t="s">
        <v>40</v>
      </c>
      <c r="K686" s="1" t="s">
        <v>17</v>
      </c>
      <c r="L686" s="1" t="s">
        <v>18</v>
      </c>
      <c r="M686" s="1">
        <v>2017</v>
      </c>
      <c r="N686" s="1" t="str">
        <f t="shared" si="10"/>
        <v>Francophone</v>
      </c>
      <c r="O686" s="3" t="str">
        <f>_xlfn.XLOOKUP(D:D,MappingTable[Brand],MappingTable[Brand Type], "not found")</f>
        <v>Malt</v>
      </c>
      <c r="P686" t="str">
        <f>_xlfn.XLOOKUP(L:L,MappingTable2[Month],MappingTable2[Quarters],"NIL")</f>
        <v>Q1</v>
      </c>
      <c r="Q686" s="1"/>
    </row>
    <row r="687" spans="1:17" x14ac:dyDescent="0.2">
      <c r="A687" s="1">
        <v>10786</v>
      </c>
      <c r="B687" s="1" t="s">
        <v>25</v>
      </c>
      <c r="C687" s="1" t="s">
        <v>26</v>
      </c>
      <c r="D687" s="1" t="s">
        <v>48</v>
      </c>
      <c r="E687" s="3">
        <v>90</v>
      </c>
      <c r="F687" s="3">
        <v>150</v>
      </c>
      <c r="G687" s="13">
        <v>817</v>
      </c>
      <c r="H687" s="3">
        <v>122550</v>
      </c>
      <c r="I687" s="3">
        <v>49020</v>
      </c>
      <c r="J687" s="1" t="s">
        <v>16</v>
      </c>
      <c r="K687" s="1" t="s">
        <v>23</v>
      </c>
      <c r="L687" s="1" t="s">
        <v>24</v>
      </c>
      <c r="M687" s="1">
        <v>2018</v>
      </c>
      <c r="N687" s="1" t="str">
        <f t="shared" si="10"/>
        <v>Anglophone</v>
      </c>
      <c r="O687" s="3" t="str">
        <f>_xlfn.XLOOKUP(D:D,MappingTable[Brand],MappingTable[Brand Type], "not found")</f>
        <v>Malt</v>
      </c>
      <c r="P687" t="str">
        <f>_xlfn.XLOOKUP(L:L,MappingTable2[Month],MappingTable2[Quarters],"NIL")</f>
        <v>Q1</v>
      </c>
      <c r="Q687" s="1"/>
    </row>
    <row r="688" spans="1:17" x14ac:dyDescent="0.2">
      <c r="A688" s="1">
        <v>10787</v>
      </c>
      <c r="B688" s="1" t="s">
        <v>31</v>
      </c>
      <c r="C688" s="1" t="s">
        <v>32</v>
      </c>
      <c r="D688" s="1" t="s">
        <v>15</v>
      </c>
      <c r="E688" s="3">
        <v>150</v>
      </c>
      <c r="F688" s="3">
        <v>200</v>
      </c>
      <c r="G688" s="13">
        <v>980</v>
      </c>
      <c r="H688" s="3">
        <v>196000</v>
      </c>
      <c r="I688" s="3">
        <v>49000</v>
      </c>
      <c r="J688" s="1" t="s">
        <v>22</v>
      </c>
      <c r="K688" s="1" t="s">
        <v>29</v>
      </c>
      <c r="L688" s="1" t="s">
        <v>30</v>
      </c>
      <c r="M688" s="1">
        <v>2018</v>
      </c>
      <c r="N688" s="1" t="str">
        <f t="shared" si="10"/>
        <v>Anglophone</v>
      </c>
      <c r="O688" s="3" t="str">
        <f>_xlfn.XLOOKUP(D:D,MappingTable[Brand],MappingTable[Brand Type], "not found")</f>
        <v>Beer</v>
      </c>
      <c r="P688" t="str">
        <f>_xlfn.XLOOKUP(L:L,MappingTable2[Month],MappingTable2[Quarters],"NIL")</f>
        <v>Q1</v>
      </c>
      <c r="Q688" s="1"/>
    </row>
    <row r="689" spans="1:17" x14ac:dyDescent="0.2">
      <c r="A689" s="1">
        <v>10788</v>
      </c>
      <c r="B689" s="1" t="s">
        <v>37</v>
      </c>
      <c r="C689" s="1" t="s">
        <v>38</v>
      </c>
      <c r="D689" s="1" t="s">
        <v>21</v>
      </c>
      <c r="E689" s="3">
        <v>250</v>
      </c>
      <c r="F689" s="3">
        <v>500</v>
      </c>
      <c r="G689" s="13">
        <v>826</v>
      </c>
      <c r="H689" s="3">
        <v>413000</v>
      </c>
      <c r="I689" s="3">
        <v>206500</v>
      </c>
      <c r="J689" s="1" t="s">
        <v>28</v>
      </c>
      <c r="K689" s="1" t="s">
        <v>35</v>
      </c>
      <c r="L689" s="1" t="s">
        <v>36</v>
      </c>
      <c r="M689" s="1">
        <v>2019</v>
      </c>
      <c r="N689" s="1" t="str">
        <f t="shared" si="10"/>
        <v>Francophone</v>
      </c>
      <c r="O689" s="3" t="str">
        <f>_xlfn.XLOOKUP(D:D,MappingTable[Brand],MappingTable[Brand Type], "not found")</f>
        <v>Beer</v>
      </c>
      <c r="P689" t="str">
        <f>_xlfn.XLOOKUP(L:L,MappingTable2[Month],MappingTable2[Quarters],"NIL")</f>
        <v>Q2</v>
      </c>
      <c r="Q689" s="1"/>
    </row>
    <row r="690" spans="1:17" x14ac:dyDescent="0.2">
      <c r="A690" s="1">
        <v>10789</v>
      </c>
      <c r="B690" s="1" t="s">
        <v>13</v>
      </c>
      <c r="C690" s="1" t="s">
        <v>14</v>
      </c>
      <c r="D690" s="1" t="s">
        <v>27</v>
      </c>
      <c r="E690" s="3">
        <v>180</v>
      </c>
      <c r="F690" s="3">
        <v>450</v>
      </c>
      <c r="G690" s="13">
        <v>864</v>
      </c>
      <c r="H690" s="3">
        <v>388800</v>
      </c>
      <c r="I690" s="3">
        <v>233280</v>
      </c>
      <c r="J690" s="1" t="s">
        <v>34</v>
      </c>
      <c r="K690" s="1" t="s">
        <v>41</v>
      </c>
      <c r="L690" s="1" t="s">
        <v>42</v>
      </c>
      <c r="M690" s="1">
        <v>2017</v>
      </c>
      <c r="N690" s="1" t="str">
        <f t="shared" si="10"/>
        <v>Francophone</v>
      </c>
      <c r="O690" s="3" t="str">
        <f>_xlfn.XLOOKUP(D:D,MappingTable[Brand],MappingTable[Brand Type], "not found")</f>
        <v>Beer</v>
      </c>
      <c r="P690" t="str">
        <f>_xlfn.XLOOKUP(L:L,MappingTable2[Month],MappingTable2[Quarters],"NIL")</f>
        <v>Q2</v>
      </c>
      <c r="Q690" s="1"/>
    </row>
    <row r="691" spans="1:17" x14ac:dyDescent="0.2">
      <c r="A691" s="1">
        <v>10790</v>
      </c>
      <c r="B691" s="1" t="s">
        <v>46</v>
      </c>
      <c r="C691" s="1" t="s">
        <v>47</v>
      </c>
      <c r="D691" s="1" t="s">
        <v>33</v>
      </c>
      <c r="E691" s="3">
        <v>170</v>
      </c>
      <c r="F691" s="3">
        <v>250</v>
      </c>
      <c r="G691" s="13">
        <v>737</v>
      </c>
      <c r="H691" s="3">
        <v>184250</v>
      </c>
      <c r="I691" s="3">
        <v>58960</v>
      </c>
      <c r="J691" s="1" t="s">
        <v>40</v>
      </c>
      <c r="K691" s="1" t="s">
        <v>44</v>
      </c>
      <c r="L691" s="1" t="s">
        <v>45</v>
      </c>
      <c r="M691" s="1">
        <v>2018</v>
      </c>
      <c r="N691" s="1" t="str">
        <f t="shared" si="10"/>
        <v>Francophone</v>
      </c>
      <c r="O691" s="3" t="str">
        <f>_xlfn.XLOOKUP(D:D,MappingTable[Brand],MappingTable[Brand Type], "not found")</f>
        <v>Beer</v>
      </c>
      <c r="P691" t="str">
        <f>_xlfn.XLOOKUP(L:L,MappingTable2[Month],MappingTable2[Quarters],"NIL")</f>
        <v>Q2</v>
      </c>
      <c r="Q691" s="1"/>
    </row>
    <row r="692" spans="1:17" x14ac:dyDescent="0.2">
      <c r="A692" s="1">
        <v>10791</v>
      </c>
      <c r="B692" s="1" t="s">
        <v>31</v>
      </c>
      <c r="C692" s="1" t="s">
        <v>32</v>
      </c>
      <c r="D692" s="1" t="s">
        <v>39</v>
      </c>
      <c r="E692" s="3">
        <v>150</v>
      </c>
      <c r="F692" s="3">
        <v>200</v>
      </c>
      <c r="G692" s="13">
        <v>773</v>
      </c>
      <c r="H692" s="3">
        <v>154600</v>
      </c>
      <c r="I692" s="3">
        <v>38650</v>
      </c>
      <c r="J692" s="1" t="s">
        <v>16</v>
      </c>
      <c r="K692" s="1" t="s">
        <v>17</v>
      </c>
      <c r="L692" s="1" t="s">
        <v>49</v>
      </c>
      <c r="M692" s="1">
        <v>2018</v>
      </c>
      <c r="N692" s="1" t="str">
        <f t="shared" si="10"/>
        <v>Anglophone</v>
      </c>
      <c r="O692" s="3" t="str">
        <f>_xlfn.XLOOKUP(D:D,MappingTable[Brand],MappingTable[Brand Type], "not found")</f>
        <v>Beer</v>
      </c>
      <c r="P692" t="str">
        <f>_xlfn.XLOOKUP(L:L,MappingTable2[Month],MappingTable2[Quarters],"NIL")</f>
        <v>Q3</v>
      </c>
      <c r="Q692" s="1"/>
    </row>
    <row r="693" spans="1:17" x14ac:dyDescent="0.2">
      <c r="A693" s="1">
        <v>10792</v>
      </c>
      <c r="B693" s="1" t="s">
        <v>51</v>
      </c>
      <c r="C693" s="1" t="s">
        <v>52</v>
      </c>
      <c r="D693" s="1" t="s">
        <v>43</v>
      </c>
      <c r="E693" s="3">
        <v>80</v>
      </c>
      <c r="F693" s="3">
        <v>150</v>
      </c>
      <c r="G693" s="13">
        <v>902</v>
      </c>
      <c r="H693" s="3">
        <v>135300</v>
      </c>
      <c r="I693" s="3">
        <v>63140</v>
      </c>
      <c r="J693" s="1" t="s">
        <v>22</v>
      </c>
      <c r="K693" s="1" t="s">
        <v>23</v>
      </c>
      <c r="L693" s="1" t="s">
        <v>50</v>
      </c>
      <c r="M693" s="1">
        <v>2019</v>
      </c>
      <c r="N693" s="1" t="str">
        <f t="shared" si="10"/>
        <v>Anglophone</v>
      </c>
      <c r="O693" s="3" t="str">
        <f>_xlfn.XLOOKUP(D:D,MappingTable[Brand],MappingTable[Brand Type], "not found")</f>
        <v>Malt</v>
      </c>
      <c r="P693" t="str">
        <f>_xlfn.XLOOKUP(L:L,MappingTable2[Month],MappingTable2[Quarters],"NIL")</f>
        <v>Q3</v>
      </c>
      <c r="Q693" s="1"/>
    </row>
    <row r="694" spans="1:17" x14ac:dyDescent="0.2">
      <c r="A694" s="1">
        <v>10793</v>
      </c>
      <c r="B694" s="1" t="s">
        <v>54</v>
      </c>
      <c r="C694" s="1" t="s">
        <v>55</v>
      </c>
      <c r="D694" s="1" t="s">
        <v>48</v>
      </c>
      <c r="E694" s="3">
        <v>90</v>
      </c>
      <c r="F694" s="3">
        <v>150</v>
      </c>
      <c r="G694" s="13">
        <v>888</v>
      </c>
      <c r="H694" s="3">
        <v>133200</v>
      </c>
      <c r="I694" s="3">
        <v>53280</v>
      </c>
      <c r="J694" s="1" t="s">
        <v>28</v>
      </c>
      <c r="K694" s="1" t="s">
        <v>29</v>
      </c>
      <c r="L694" s="1" t="s">
        <v>53</v>
      </c>
      <c r="M694" s="1">
        <v>2019</v>
      </c>
      <c r="N694" s="1" t="str">
        <f t="shared" si="10"/>
        <v>Francophone</v>
      </c>
      <c r="O694" s="3" t="str">
        <f>_xlfn.XLOOKUP(D:D,MappingTable[Brand],MappingTable[Brand Type], "not found")</f>
        <v>Malt</v>
      </c>
      <c r="P694" t="str">
        <f>_xlfn.XLOOKUP(L:L,MappingTable2[Month],MappingTable2[Quarters],"NIL")</f>
        <v>Q3</v>
      </c>
      <c r="Q694" s="1"/>
    </row>
    <row r="695" spans="1:17" x14ac:dyDescent="0.2">
      <c r="A695" s="1">
        <v>10794</v>
      </c>
      <c r="B695" s="1" t="s">
        <v>57</v>
      </c>
      <c r="C695" s="1" t="s">
        <v>58</v>
      </c>
      <c r="D695" s="1" t="s">
        <v>15</v>
      </c>
      <c r="E695" s="3">
        <v>150</v>
      </c>
      <c r="F695" s="3">
        <v>200</v>
      </c>
      <c r="G695" s="13">
        <v>893</v>
      </c>
      <c r="H695" s="3">
        <v>178600</v>
      </c>
      <c r="I695" s="3">
        <v>44650</v>
      </c>
      <c r="J695" s="1" t="s">
        <v>34</v>
      </c>
      <c r="K695" s="1" t="s">
        <v>35</v>
      </c>
      <c r="L695" s="1" t="s">
        <v>56</v>
      </c>
      <c r="M695" s="1">
        <v>2019</v>
      </c>
      <c r="N695" s="1" t="str">
        <f t="shared" si="10"/>
        <v>Francophone</v>
      </c>
      <c r="O695" s="3" t="str">
        <f>_xlfn.XLOOKUP(D:D,MappingTable[Brand],MappingTable[Brand Type], "not found")</f>
        <v>Beer</v>
      </c>
      <c r="P695" t="str">
        <f>_xlfn.XLOOKUP(L:L,MappingTable2[Month],MappingTable2[Quarters],"NIL")</f>
        <v>Q4</v>
      </c>
      <c r="Q695" s="1"/>
    </row>
    <row r="696" spans="1:17" x14ac:dyDescent="0.2">
      <c r="A696" s="1">
        <v>10795</v>
      </c>
      <c r="B696" s="1" t="s">
        <v>31</v>
      </c>
      <c r="C696" s="1" t="s">
        <v>32</v>
      </c>
      <c r="D696" s="1" t="s">
        <v>21</v>
      </c>
      <c r="E696" s="3">
        <v>250</v>
      </c>
      <c r="F696" s="3">
        <v>500</v>
      </c>
      <c r="G696" s="13">
        <v>718</v>
      </c>
      <c r="H696" s="3">
        <v>359000</v>
      </c>
      <c r="I696" s="3">
        <v>179500</v>
      </c>
      <c r="J696" s="1" t="s">
        <v>40</v>
      </c>
      <c r="K696" s="1" t="s">
        <v>41</v>
      </c>
      <c r="L696" s="1" t="s">
        <v>59</v>
      </c>
      <c r="M696" s="1">
        <v>2017</v>
      </c>
      <c r="N696" s="1" t="str">
        <f t="shared" si="10"/>
        <v>Francophone</v>
      </c>
      <c r="O696" s="3" t="str">
        <f>_xlfn.XLOOKUP(D:D,MappingTable[Brand],MappingTable[Brand Type], "not found")</f>
        <v>Beer</v>
      </c>
      <c r="P696" t="str">
        <f>_xlfn.XLOOKUP(L:L,MappingTable2[Month],MappingTable2[Quarters],"NIL")</f>
        <v>Q4</v>
      </c>
      <c r="Q696" s="1"/>
    </row>
    <row r="697" spans="1:17" x14ac:dyDescent="0.2">
      <c r="A697" s="1">
        <v>10796</v>
      </c>
      <c r="B697" s="1" t="s">
        <v>61</v>
      </c>
      <c r="C697" s="1" t="s">
        <v>62</v>
      </c>
      <c r="D697" s="1" t="s">
        <v>27</v>
      </c>
      <c r="E697" s="3">
        <v>180</v>
      </c>
      <c r="F697" s="3">
        <v>450</v>
      </c>
      <c r="G697" s="13">
        <v>744</v>
      </c>
      <c r="H697" s="3">
        <v>334800</v>
      </c>
      <c r="I697" s="3">
        <v>200880</v>
      </c>
      <c r="J697" s="1" t="s">
        <v>16</v>
      </c>
      <c r="K697" s="1" t="s">
        <v>44</v>
      </c>
      <c r="L697" s="1" t="s">
        <v>60</v>
      </c>
      <c r="M697" s="1">
        <v>2017</v>
      </c>
      <c r="N697" s="1" t="str">
        <f t="shared" si="10"/>
        <v>Anglophone</v>
      </c>
      <c r="O697" s="3" t="str">
        <f>_xlfn.XLOOKUP(D:D,MappingTable[Brand],MappingTable[Brand Type], "not found")</f>
        <v>Beer</v>
      </c>
      <c r="P697" t="str">
        <f>_xlfn.XLOOKUP(L:L,MappingTable2[Month],MappingTable2[Quarters],"NIL")</f>
        <v>Q4</v>
      </c>
      <c r="Q697" s="1"/>
    </row>
    <row r="698" spans="1:17" x14ac:dyDescent="0.2">
      <c r="A698" s="1">
        <v>10797</v>
      </c>
      <c r="B698" s="1" t="s">
        <v>31</v>
      </c>
      <c r="C698" s="1" t="s">
        <v>32</v>
      </c>
      <c r="D698" s="1" t="s">
        <v>33</v>
      </c>
      <c r="E698" s="3">
        <v>170</v>
      </c>
      <c r="F698" s="3">
        <v>250</v>
      </c>
      <c r="G698" s="13">
        <v>959</v>
      </c>
      <c r="H698" s="3">
        <v>239750</v>
      </c>
      <c r="I698" s="3">
        <v>76720</v>
      </c>
      <c r="J698" s="1" t="s">
        <v>22</v>
      </c>
      <c r="K698" s="1" t="s">
        <v>17</v>
      </c>
      <c r="L698" s="1" t="s">
        <v>18</v>
      </c>
      <c r="M698" s="1">
        <v>2017</v>
      </c>
      <c r="N698" s="1" t="str">
        <f t="shared" si="10"/>
        <v>Anglophone</v>
      </c>
      <c r="O698" s="3" t="str">
        <f>_xlfn.XLOOKUP(D:D,MappingTable[Brand],MappingTable[Brand Type], "not found")</f>
        <v>Beer</v>
      </c>
      <c r="P698" t="str">
        <f>_xlfn.XLOOKUP(L:L,MappingTable2[Month],MappingTable2[Quarters],"NIL")</f>
        <v>Q1</v>
      </c>
      <c r="Q698" s="1"/>
    </row>
    <row r="699" spans="1:17" x14ac:dyDescent="0.2">
      <c r="A699" s="1">
        <v>10798</v>
      </c>
      <c r="B699" s="1" t="s">
        <v>51</v>
      </c>
      <c r="C699" s="1" t="s">
        <v>52</v>
      </c>
      <c r="D699" s="1" t="s">
        <v>39</v>
      </c>
      <c r="E699" s="3">
        <v>150</v>
      </c>
      <c r="F699" s="3">
        <v>200</v>
      </c>
      <c r="G699" s="13">
        <v>976</v>
      </c>
      <c r="H699" s="3">
        <v>195200</v>
      </c>
      <c r="I699" s="3">
        <v>48800</v>
      </c>
      <c r="J699" s="1" t="s">
        <v>28</v>
      </c>
      <c r="K699" s="1" t="s">
        <v>23</v>
      </c>
      <c r="L699" s="1" t="s">
        <v>24</v>
      </c>
      <c r="M699" s="1">
        <v>2017</v>
      </c>
      <c r="N699" s="1" t="str">
        <f t="shared" si="10"/>
        <v>Francophone</v>
      </c>
      <c r="O699" s="3" t="str">
        <f>_xlfn.XLOOKUP(D:D,MappingTable[Brand],MappingTable[Brand Type], "not found")</f>
        <v>Beer</v>
      </c>
      <c r="P699" t="str">
        <f>_xlfn.XLOOKUP(L:L,MappingTable2[Month],MappingTable2[Quarters],"NIL")</f>
        <v>Q1</v>
      </c>
      <c r="Q699" s="1"/>
    </row>
    <row r="700" spans="1:17" x14ac:dyDescent="0.2">
      <c r="A700" s="1">
        <v>10799</v>
      </c>
      <c r="B700" s="1" t="s">
        <v>31</v>
      </c>
      <c r="C700" s="1" t="s">
        <v>32</v>
      </c>
      <c r="D700" s="1" t="s">
        <v>43</v>
      </c>
      <c r="E700" s="3">
        <v>80</v>
      </c>
      <c r="F700" s="3">
        <v>150</v>
      </c>
      <c r="G700" s="13">
        <v>940</v>
      </c>
      <c r="H700" s="3">
        <v>141000</v>
      </c>
      <c r="I700" s="3">
        <v>65800</v>
      </c>
      <c r="J700" s="1" t="s">
        <v>34</v>
      </c>
      <c r="K700" s="1" t="s">
        <v>29</v>
      </c>
      <c r="L700" s="1" t="s">
        <v>30</v>
      </c>
      <c r="M700" s="1">
        <v>2018</v>
      </c>
      <c r="N700" s="1" t="str">
        <f t="shared" si="10"/>
        <v>Francophone</v>
      </c>
      <c r="O700" s="3" t="str">
        <f>_xlfn.XLOOKUP(D:D,MappingTable[Brand],MappingTable[Brand Type], "not found")</f>
        <v>Malt</v>
      </c>
      <c r="P700" t="str">
        <f>_xlfn.XLOOKUP(L:L,MappingTable2[Month],MappingTable2[Quarters],"NIL")</f>
        <v>Q1</v>
      </c>
      <c r="Q700" s="1"/>
    </row>
    <row r="701" spans="1:17" x14ac:dyDescent="0.2">
      <c r="A701" s="1">
        <v>10800</v>
      </c>
      <c r="B701" s="1" t="s">
        <v>57</v>
      </c>
      <c r="C701" s="1" t="s">
        <v>58</v>
      </c>
      <c r="D701" s="1" t="s">
        <v>48</v>
      </c>
      <c r="E701" s="3">
        <v>90</v>
      </c>
      <c r="F701" s="3">
        <v>150</v>
      </c>
      <c r="G701" s="13">
        <v>956</v>
      </c>
      <c r="H701" s="3">
        <v>143400</v>
      </c>
      <c r="I701" s="3">
        <v>57360</v>
      </c>
      <c r="J701" s="1" t="s">
        <v>40</v>
      </c>
      <c r="K701" s="1" t="s">
        <v>35</v>
      </c>
      <c r="L701" s="1" t="s">
        <v>36</v>
      </c>
      <c r="M701" s="1">
        <v>2019</v>
      </c>
      <c r="N701" s="1" t="str">
        <f t="shared" si="10"/>
        <v>Francophone</v>
      </c>
      <c r="O701" s="3" t="str">
        <f>_xlfn.XLOOKUP(D:D,MappingTable[Brand],MappingTable[Brand Type], "not found")</f>
        <v>Malt</v>
      </c>
      <c r="P701" t="str">
        <f>_xlfn.XLOOKUP(L:L,MappingTable2[Month],MappingTable2[Quarters],"NIL")</f>
        <v>Q2</v>
      </c>
      <c r="Q701" s="1"/>
    </row>
    <row r="702" spans="1:17" x14ac:dyDescent="0.2">
      <c r="A702" s="1">
        <v>10801</v>
      </c>
      <c r="B702" s="1" t="s">
        <v>63</v>
      </c>
      <c r="C702" s="1" t="s">
        <v>64</v>
      </c>
      <c r="D702" s="1" t="s">
        <v>15</v>
      </c>
      <c r="E702" s="3">
        <v>150</v>
      </c>
      <c r="F702" s="3">
        <v>200</v>
      </c>
      <c r="G702" s="13">
        <v>908</v>
      </c>
      <c r="H702" s="3">
        <v>181600</v>
      </c>
      <c r="I702" s="3">
        <v>45400</v>
      </c>
      <c r="J702" s="1" t="s">
        <v>16</v>
      </c>
      <c r="K702" s="1" t="s">
        <v>41</v>
      </c>
      <c r="L702" s="1" t="s">
        <v>42</v>
      </c>
      <c r="M702" s="1">
        <v>2018</v>
      </c>
      <c r="N702" s="1" t="str">
        <f t="shared" si="10"/>
        <v>Anglophone</v>
      </c>
      <c r="O702" s="3" t="str">
        <f>_xlfn.XLOOKUP(D:D,MappingTable[Brand],MappingTable[Brand Type], "not found")</f>
        <v>Beer</v>
      </c>
      <c r="P702" t="str">
        <f>_xlfn.XLOOKUP(L:L,MappingTable2[Month],MappingTable2[Quarters],"NIL")</f>
        <v>Q2</v>
      </c>
      <c r="Q702" s="1"/>
    </row>
    <row r="703" spans="1:17" x14ac:dyDescent="0.2">
      <c r="A703" s="1">
        <v>10802</v>
      </c>
      <c r="B703" s="1" t="s">
        <v>61</v>
      </c>
      <c r="C703" s="1" t="s">
        <v>62</v>
      </c>
      <c r="D703" s="1" t="s">
        <v>21</v>
      </c>
      <c r="E703" s="3">
        <v>250</v>
      </c>
      <c r="F703" s="3">
        <v>500</v>
      </c>
      <c r="G703" s="13">
        <v>866</v>
      </c>
      <c r="H703" s="3">
        <v>433000</v>
      </c>
      <c r="I703" s="3">
        <v>216500</v>
      </c>
      <c r="J703" s="1" t="s">
        <v>22</v>
      </c>
      <c r="K703" s="1" t="s">
        <v>44</v>
      </c>
      <c r="L703" s="1" t="s">
        <v>45</v>
      </c>
      <c r="M703" s="1">
        <v>2018</v>
      </c>
      <c r="N703" s="1" t="str">
        <f t="shared" si="10"/>
        <v>Anglophone</v>
      </c>
      <c r="O703" s="3" t="str">
        <f>_xlfn.XLOOKUP(D:D,MappingTable[Brand],MappingTable[Brand Type], "not found")</f>
        <v>Beer</v>
      </c>
      <c r="P703" t="str">
        <f>_xlfn.XLOOKUP(L:L,MappingTable2[Month],MappingTable2[Quarters],"NIL")</f>
        <v>Q2</v>
      </c>
      <c r="Q703" s="1"/>
    </row>
    <row r="704" spans="1:17" x14ac:dyDescent="0.2">
      <c r="A704" s="1">
        <v>10803</v>
      </c>
      <c r="B704" s="1" t="s">
        <v>57</v>
      </c>
      <c r="C704" s="1" t="s">
        <v>58</v>
      </c>
      <c r="D704" s="1" t="s">
        <v>27</v>
      </c>
      <c r="E704" s="3">
        <v>180</v>
      </c>
      <c r="F704" s="3">
        <v>450</v>
      </c>
      <c r="G704" s="13">
        <v>735</v>
      </c>
      <c r="H704" s="3">
        <v>330750</v>
      </c>
      <c r="I704" s="3">
        <v>198450</v>
      </c>
      <c r="J704" s="1" t="s">
        <v>28</v>
      </c>
      <c r="K704" s="1" t="s">
        <v>17</v>
      </c>
      <c r="L704" s="1" t="s">
        <v>49</v>
      </c>
      <c r="M704" s="1">
        <v>2019</v>
      </c>
      <c r="N704" s="1" t="str">
        <f t="shared" si="10"/>
        <v>Francophone</v>
      </c>
      <c r="O704" s="3" t="str">
        <f>_xlfn.XLOOKUP(D:D,MappingTable[Brand],MappingTable[Brand Type], "not found")</f>
        <v>Beer</v>
      </c>
      <c r="P704" t="str">
        <f>_xlfn.XLOOKUP(L:L,MappingTable2[Month],MappingTable2[Quarters],"NIL")</f>
        <v>Q3</v>
      </c>
      <c r="Q704" s="1"/>
    </row>
    <row r="705" spans="1:17" x14ac:dyDescent="0.2">
      <c r="A705" s="1">
        <v>10804</v>
      </c>
      <c r="B705" s="1" t="s">
        <v>19</v>
      </c>
      <c r="C705" s="1" t="s">
        <v>20</v>
      </c>
      <c r="D705" s="1" t="s">
        <v>33</v>
      </c>
      <c r="E705" s="3">
        <v>170</v>
      </c>
      <c r="F705" s="3">
        <v>250</v>
      </c>
      <c r="G705" s="13">
        <v>802</v>
      </c>
      <c r="H705" s="3">
        <v>200500</v>
      </c>
      <c r="I705" s="3">
        <v>64160</v>
      </c>
      <c r="J705" s="1" t="s">
        <v>34</v>
      </c>
      <c r="K705" s="1" t="s">
        <v>23</v>
      </c>
      <c r="L705" s="1" t="s">
        <v>50</v>
      </c>
      <c r="M705" s="1">
        <v>2017</v>
      </c>
      <c r="N705" s="1" t="str">
        <f t="shared" si="10"/>
        <v>Francophone</v>
      </c>
      <c r="O705" s="3" t="str">
        <f>_xlfn.XLOOKUP(D:D,MappingTable[Brand],MappingTable[Brand Type], "not found")</f>
        <v>Beer</v>
      </c>
      <c r="P705" t="str">
        <f>_xlfn.XLOOKUP(L:L,MappingTable2[Month],MappingTable2[Quarters],"NIL")</f>
        <v>Q3</v>
      </c>
      <c r="Q705" s="1"/>
    </row>
    <row r="706" spans="1:17" x14ac:dyDescent="0.2">
      <c r="A706" s="1">
        <v>10805</v>
      </c>
      <c r="B706" s="1" t="s">
        <v>61</v>
      </c>
      <c r="C706" s="1" t="s">
        <v>62</v>
      </c>
      <c r="D706" s="1" t="s">
        <v>39</v>
      </c>
      <c r="E706" s="3">
        <v>150</v>
      </c>
      <c r="F706" s="3">
        <v>200</v>
      </c>
      <c r="G706" s="13">
        <v>976</v>
      </c>
      <c r="H706" s="3">
        <v>195200</v>
      </c>
      <c r="I706" s="3">
        <v>48800</v>
      </c>
      <c r="J706" s="1" t="s">
        <v>40</v>
      </c>
      <c r="K706" s="1" t="s">
        <v>29</v>
      </c>
      <c r="L706" s="1" t="s">
        <v>53</v>
      </c>
      <c r="M706" s="1">
        <v>2018</v>
      </c>
      <c r="N706" s="1" t="str">
        <f t="shared" ref="N706:N769" si="11">IF(ISNUMBER(MATCH(J706,$S$7:$S$8,0)), "Anglophone","Francophone")</f>
        <v>Francophone</v>
      </c>
      <c r="O706" s="3" t="str">
        <f>_xlfn.XLOOKUP(D:D,MappingTable[Brand],MappingTable[Brand Type], "not found")</f>
        <v>Beer</v>
      </c>
      <c r="P706" t="str">
        <f>_xlfn.XLOOKUP(L:L,MappingTable2[Month],MappingTable2[Quarters],"NIL")</f>
        <v>Q3</v>
      </c>
      <c r="Q706" s="1"/>
    </row>
    <row r="707" spans="1:17" x14ac:dyDescent="0.2">
      <c r="A707" s="1">
        <v>10806</v>
      </c>
      <c r="B707" s="1" t="s">
        <v>31</v>
      </c>
      <c r="C707" s="1" t="s">
        <v>32</v>
      </c>
      <c r="D707" s="1" t="s">
        <v>43</v>
      </c>
      <c r="E707" s="3">
        <v>80</v>
      </c>
      <c r="F707" s="3">
        <v>150</v>
      </c>
      <c r="G707" s="13">
        <v>914</v>
      </c>
      <c r="H707" s="3">
        <v>137100</v>
      </c>
      <c r="I707" s="3">
        <v>63980</v>
      </c>
      <c r="J707" s="1" t="s">
        <v>16</v>
      </c>
      <c r="K707" s="1" t="s">
        <v>35</v>
      </c>
      <c r="L707" s="1" t="s">
        <v>56</v>
      </c>
      <c r="M707" s="1">
        <v>2017</v>
      </c>
      <c r="N707" s="1" t="str">
        <f t="shared" si="11"/>
        <v>Anglophone</v>
      </c>
      <c r="O707" s="3" t="str">
        <f>_xlfn.XLOOKUP(D:D,MappingTable[Brand],MappingTable[Brand Type], "not found")</f>
        <v>Malt</v>
      </c>
      <c r="P707" t="str">
        <f>_xlfn.XLOOKUP(L:L,MappingTable2[Month],MappingTable2[Quarters],"NIL")</f>
        <v>Q4</v>
      </c>
      <c r="Q707" s="1"/>
    </row>
    <row r="708" spans="1:17" x14ac:dyDescent="0.2">
      <c r="A708" s="1">
        <v>10807</v>
      </c>
      <c r="B708" s="1" t="s">
        <v>25</v>
      </c>
      <c r="C708" s="1" t="s">
        <v>26</v>
      </c>
      <c r="D708" s="1" t="s">
        <v>48</v>
      </c>
      <c r="E708" s="3">
        <v>90</v>
      </c>
      <c r="F708" s="3">
        <v>150</v>
      </c>
      <c r="G708" s="13">
        <v>821</v>
      </c>
      <c r="H708" s="3">
        <v>123150</v>
      </c>
      <c r="I708" s="3">
        <v>49260</v>
      </c>
      <c r="J708" s="1" t="s">
        <v>22</v>
      </c>
      <c r="K708" s="1" t="s">
        <v>41</v>
      </c>
      <c r="L708" s="1" t="s">
        <v>59</v>
      </c>
      <c r="M708" s="1">
        <v>2017</v>
      </c>
      <c r="N708" s="1" t="str">
        <f t="shared" si="11"/>
        <v>Anglophone</v>
      </c>
      <c r="O708" s="3" t="str">
        <f>_xlfn.XLOOKUP(D:D,MappingTable[Brand],MappingTable[Brand Type], "not found")</f>
        <v>Malt</v>
      </c>
      <c r="P708" t="str">
        <f>_xlfn.XLOOKUP(L:L,MappingTable2[Month],MappingTable2[Quarters],"NIL")</f>
        <v>Q4</v>
      </c>
      <c r="Q708" s="1"/>
    </row>
    <row r="709" spans="1:17" x14ac:dyDescent="0.2">
      <c r="A709" s="1">
        <v>10808</v>
      </c>
      <c r="B709" s="1" t="s">
        <v>13</v>
      </c>
      <c r="C709" s="1" t="s">
        <v>14</v>
      </c>
      <c r="D709" s="1" t="s">
        <v>15</v>
      </c>
      <c r="E709" s="3">
        <v>150</v>
      </c>
      <c r="F709" s="3">
        <v>200</v>
      </c>
      <c r="G709" s="13">
        <v>804</v>
      </c>
      <c r="H709" s="3">
        <v>160800</v>
      </c>
      <c r="I709" s="3">
        <v>40200</v>
      </c>
      <c r="J709" s="1" t="s">
        <v>28</v>
      </c>
      <c r="K709" s="1" t="s">
        <v>44</v>
      </c>
      <c r="L709" s="1" t="s">
        <v>60</v>
      </c>
      <c r="M709" s="1">
        <v>2017</v>
      </c>
      <c r="N709" s="1" t="str">
        <f t="shared" si="11"/>
        <v>Francophone</v>
      </c>
      <c r="O709" s="3" t="str">
        <f>_xlfn.XLOOKUP(D:D,MappingTable[Brand],MappingTable[Brand Type], "not found")</f>
        <v>Beer</v>
      </c>
      <c r="P709" t="str">
        <f>_xlfn.XLOOKUP(L:L,MappingTable2[Month],MappingTable2[Quarters],"NIL")</f>
        <v>Q4</v>
      </c>
      <c r="Q709" s="1"/>
    </row>
    <row r="710" spans="1:17" x14ac:dyDescent="0.2">
      <c r="A710" s="1">
        <v>10809</v>
      </c>
      <c r="B710" s="1" t="s">
        <v>37</v>
      </c>
      <c r="C710" s="1" t="s">
        <v>38</v>
      </c>
      <c r="D710" s="1" t="s">
        <v>21</v>
      </c>
      <c r="E710" s="3">
        <v>250</v>
      </c>
      <c r="F710" s="3">
        <v>500</v>
      </c>
      <c r="G710" s="13">
        <v>946</v>
      </c>
      <c r="H710" s="3">
        <v>473000</v>
      </c>
      <c r="I710" s="3">
        <v>236500</v>
      </c>
      <c r="J710" s="1" t="s">
        <v>34</v>
      </c>
      <c r="K710" s="1" t="s">
        <v>17</v>
      </c>
      <c r="L710" s="1" t="s">
        <v>18</v>
      </c>
      <c r="M710" s="1">
        <v>2017</v>
      </c>
      <c r="N710" s="1" t="str">
        <f t="shared" si="11"/>
        <v>Francophone</v>
      </c>
      <c r="O710" s="3" t="str">
        <f>_xlfn.XLOOKUP(D:D,MappingTable[Brand],MappingTable[Brand Type], "not found")</f>
        <v>Beer</v>
      </c>
      <c r="P710" t="str">
        <f>_xlfn.XLOOKUP(L:L,MappingTable2[Month],MappingTable2[Quarters],"NIL")</f>
        <v>Q1</v>
      </c>
      <c r="Q710" s="1"/>
    </row>
    <row r="711" spans="1:17" x14ac:dyDescent="0.2">
      <c r="A711" s="1">
        <v>10810</v>
      </c>
      <c r="B711" s="1" t="s">
        <v>54</v>
      </c>
      <c r="C711" s="1" t="s">
        <v>55</v>
      </c>
      <c r="D711" s="1" t="s">
        <v>27</v>
      </c>
      <c r="E711" s="3">
        <v>180</v>
      </c>
      <c r="F711" s="3">
        <v>450</v>
      </c>
      <c r="G711" s="13">
        <v>997</v>
      </c>
      <c r="H711" s="3">
        <v>448650</v>
      </c>
      <c r="I711" s="3">
        <v>269190</v>
      </c>
      <c r="J711" s="1" t="s">
        <v>40</v>
      </c>
      <c r="K711" s="1" t="s">
        <v>23</v>
      </c>
      <c r="L711" s="1" t="s">
        <v>24</v>
      </c>
      <c r="M711" s="1">
        <v>2019</v>
      </c>
      <c r="N711" s="1" t="str">
        <f t="shared" si="11"/>
        <v>Francophone</v>
      </c>
      <c r="O711" s="3" t="str">
        <f>_xlfn.XLOOKUP(D:D,MappingTable[Brand],MappingTable[Brand Type], "not found")</f>
        <v>Beer</v>
      </c>
      <c r="P711" t="str">
        <f>_xlfn.XLOOKUP(L:L,MappingTable2[Month],MappingTable2[Quarters],"NIL")</f>
        <v>Q1</v>
      </c>
      <c r="Q711" s="1"/>
    </row>
    <row r="712" spans="1:17" x14ac:dyDescent="0.2">
      <c r="A712" s="1">
        <v>10811</v>
      </c>
      <c r="B712" s="1" t="s">
        <v>19</v>
      </c>
      <c r="C712" s="1" t="s">
        <v>20</v>
      </c>
      <c r="D712" s="1" t="s">
        <v>33</v>
      </c>
      <c r="E712" s="3">
        <v>170</v>
      </c>
      <c r="F712" s="3">
        <v>250</v>
      </c>
      <c r="G712" s="13">
        <v>770</v>
      </c>
      <c r="H712" s="3">
        <v>192500</v>
      </c>
      <c r="I712" s="3">
        <v>61600</v>
      </c>
      <c r="J712" s="1" t="s">
        <v>16</v>
      </c>
      <c r="K712" s="1" t="s">
        <v>29</v>
      </c>
      <c r="L712" s="1" t="s">
        <v>30</v>
      </c>
      <c r="M712" s="1">
        <v>2019</v>
      </c>
      <c r="N712" s="1" t="str">
        <f t="shared" si="11"/>
        <v>Anglophone</v>
      </c>
      <c r="O712" s="3" t="str">
        <f>_xlfn.XLOOKUP(D:D,MappingTable[Brand],MappingTable[Brand Type], "not found")</f>
        <v>Beer</v>
      </c>
      <c r="P712" t="str">
        <f>_xlfn.XLOOKUP(L:L,MappingTable2[Month],MappingTable2[Quarters],"NIL")</f>
        <v>Q1</v>
      </c>
      <c r="Q712" s="1"/>
    </row>
    <row r="713" spans="1:17" x14ac:dyDescent="0.2">
      <c r="A713" s="1">
        <v>10812</v>
      </c>
      <c r="B713" s="1" t="s">
        <v>19</v>
      </c>
      <c r="C713" s="1" t="s">
        <v>20</v>
      </c>
      <c r="D713" s="1" t="s">
        <v>39</v>
      </c>
      <c r="E713" s="3">
        <v>150</v>
      </c>
      <c r="F713" s="3">
        <v>200</v>
      </c>
      <c r="G713" s="13">
        <v>901</v>
      </c>
      <c r="H713" s="3">
        <v>180200</v>
      </c>
      <c r="I713" s="3">
        <v>45050</v>
      </c>
      <c r="J713" s="1" t="s">
        <v>22</v>
      </c>
      <c r="K713" s="1" t="s">
        <v>35</v>
      </c>
      <c r="L713" s="1" t="s">
        <v>36</v>
      </c>
      <c r="M713" s="1">
        <v>2017</v>
      </c>
      <c r="N713" s="1" t="str">
        <f t="shared" si="11"/>
        <v>Anglophone</v>
      </c>
      <c r="O713" s="3" t="str">
        <f>_xlfn.XLOOKUP(D:D,MappingTable[Brand],MappingTable[Brand Type], "not found")</f>
        <v>Beer</v>
      </c>
      <c r="P713" t="str">
        <f>_xlfn.XLOOKUP(L:L,MappingTable2[Month],MappingTable2[Quarters],"NIL")</f>
        <v>Q2</v>
      </c>
      <c r="Q713" s="1"/>
    </row>
    <row r="714" spans="1:17" x14ac:dyDescent="0.2">
      <c r="A714" s="1">
        <v>10813</v>
      </c>
      <c r="B714" s="1" t="s">
        <v>63</v>
      </c>
      <c r="C714" s="1" t="s">
        <v>64</v>
      </c>
      <c r="D714" s="1" t="s">
        <v>43</v>
      </c>
      <c r="E714" s="3">
        <v>80</v>
      </c>
      <c r="F714" s="3">
        <v>150</v>
      </c>
      <c r="G714" s="13">
        <v>719</v>
      </c>
      <c r="H714" s="3">
        <v>107850</v>
      </c>
      <c r="I714" s="3">
        <v>50330</v>
      </c>
      <c r="J714" s="1" t="s">
        <v>28</v>
      </c>
      <c r="K714" s="1" t="s">
        <v>41</v>
      </c>
      <c r="L714" s="1" t="s">
        <v>42</v>
      </c>
      <c r="M714" s="1">
        <v>2019</v>
      </c>
      <c r="N714" s="1" t="str">
        <f t="shared" si="11"/>
        <v>Francophone</v>
      </c>
      <c r="O714" s="3" t="str">
        <f>_xlfn.XLOOKUP(D:D,MappingTable[Brand],MappingTable[Brand Type], "not found")</f>
        <v>Malt</v>
      </c>
      <c r="P714" t="str">
        <f>_xlfn.XLOOKUP(L:L,MappingTable2[Month],MappingTable2[Quarters],"NIL")</f>
        <v>Q2</v>
      </c>
      <c r="Q714" s="1"/>
    </row>
    <row r="715" spans="1:17" x14ac:dyDescent="0.2">
      <c r="A715" s="1">
        <v>10814</v>
      </c>
      <c r="B715" s="1" t="s">
        <v>31</v>
      </c>
      <c r="C715" s="1" t="s">
        <v>32</v>
      </c>
      <c r="D715" s="1" t="s">
        <v>48</v>
      </c>
      <c r="E715" s="3">
        <v>90</v>
      </c>
      <c r="F715" s="3">
        <v>150</v>
      </c>
      <c r="G715" s="13">
        <v>933</v>
      </c>
      <c r="H715" s="3">
        <v>139950</v>
      </c>
      <c r="I715" s="3">
        <v>55980</v>
      </c>
      <c r="J715" s="1" t="s">
        <v>34</v>
      </c>
      <c r="K715" s="1" t="s">
        <v>44</v>
      </c>
      <c r="L715" s="1" t="s">
        <v>45</v>
      </c>
      <c r="M715" s="1">
        <v>2018</v>
      </c>
      <c r="N715" s="1" t="str">
        <f t="shared" si="11"/>
        <v>Francophone</v>
      </c>
      <c r="O715" s="3" t="str">
        <f>_xlfn.XLOOKUP(D:D,MappingTable[Brand],MappingTable[Brand Type], "not found")</f>
        <v>Malt</v>
      </c>
      <c r="P715" t="str">
        <f>_xlfn.XLOOKUP(L:L,MappingTable2[Month],MappingTable2[Quarters],"NIL")</f>
        <v>Q2</v>
      </c>
      <c r="Q715" s="1"/>
    </row>
    <row r="716" spans="1:17" x14ac:dyDescent="0.2">
      <c r="A716" s="1">
        <v>10815</v>
      </c>
      <c r="B716" s="1" t="s">
        <v>51</v>
      </c>
      <c r="C716" s="1" t="s">
        <v>52</v>
      </c>
      <c r="D716" s="1" t="s">
        <v>15</v>
      </c>
      <c r="E716" s="3">
        <v>150</v>
      </c>
      <c r="F716" s="3">
        <v>200</v>
      </c>
      <c r="G716" s="13">
        <v>992</v>
      </c>
      <c r="H716" s="3">
        <v>198400</v>
      </c>
      <c r="I716" s="3">
        <v>49600</v>
      </c>
      <c r="J716" s="1" t="s">
        <v>40</v>
      </c>
      <c r="K716" s="1" t="s">
        <v>17</v>
      </c>
      <c r="L716" s="1" t="s">
        <v>49</v>
      </c>
      <c r="M716" s="1">
        <v>2017</v>
      </c>
      <c r="N716" s="1" t="str">
        <f t="shared" si="11"/>
        <v>Francophone</v>
      </c>
      <c r="O716" s="3" t="str">
        <f>_xlfn.XLOOKUP(D:D,MappingTable[Brand],MappingTable[Brand Type], "not found")</f>
        <v>Beer</v>
      </c>
      <c r="P716" t="str">
        <f>_xlfn.XLOOKUP(L:L,MappingTable2[Month],MappingTable2[Quarters],"NIL")</f>
        <v>Q3</v>
      </c>
      <c r="Q716" s="1"/>
    </row>
    <row r="717" spans="1:17" x14ac:dyDescent="0.2">
      <c r="A717" s="1">
        <v>10816</v>
      </c>
      <c r="B717" s="1" t="s">
        <v>63</v>
      </c>
      <c r="C717" s="1" t="s">
        <v>64</v>
      </c>
      <c r="D717" s="1" t="s">
        <v>21</v>
      </c>
      <c r="E717" s="3">
        <v>250</v>
      </c>
      <c r="F717" s="3">
        <v>500</v>
      </c>
      <c r="G717" s="13">
        <v>818</v>
      </c>
      <c r="H717" s="3">
        <v>409000</v>
      </c>
      <c r="I717" s="3">
        <v>204500</v>
      </c>
      <c r="J717" s="1" t="s">
        <v>16</v>
      </c>
      <c r="K717" s="1" t="s">
        <v>23</v>
      </c>
      <c r="L717" s="1" t="s">
        <v>50</v>
      </c>
      <c r="M717" s="1">
        <v>2018</v>
      </c>
      <c r="N717" s="1" t="str">
        <f t="shared" si="11"/>
        <v>Anglophone</v>
      </c>
      <c r="O717" s="3" t="str">
        <f>_xlfn.XLOOKUP(D:D,MappingTable[Brand],MappingTable[Brand Type], "not found")</f>
        <v>Beer</v>
      </c>
      <c r="P717" t="str">
        <f>_xlfn.XLOOKUP(L:L,MappingTable2[Month],MappingTable2[Quarters],"NIL")</f>
        <v>Q3</v>
      </c>
      <c r="Q717" s="1"/>
    </row>
    <row r="718" spans="1:17" x14ac:dyDescent="0.2">
      <c r="A718" s="1">
        <v>10817</v>
      </c>
      <c r="B718" s="1" t="s">
        <v>25</v>
      </c>
      <c r="C718" s="1" t="s">
        <v>26</v>
      </c>
      <c r="D718" s="1" t="s">
        <v>27</v>
      </c>
      <c r="E718" s="3">
        <v>180</v>
      </c>
      <c r="F718" s="3">
        <v>450</v>
      </c>
      <c r="G718" s="13">
        <v>828</v>
      </c>
      <c r="H718" s="3">
        <v>372600</v>
      </c>
      <c r="I718" s="3">
        <v>223560</v>
      </c>
      <c r="J718" s="1" t="s">
        <v>22</v>
      </c>
      <c r="K718" s="1" t="s">
        <v>29</v>
      </c>
      <c r="L718" s="1" t="s">
        <v>53</v>
      </c>
      <c r="M718" s="1">
        <v>2017</v>
      </c>
      <c r="N718" s="1" t="str">
        <f t="shared" si="11"/>
        <v>Anglophone</v>
      </c>
      <c r="O718" s="3" t="str">
        <f>_xlfn.XLOOKUP(D:D,MappingTable[Brand],MappingTable[Brand Type], "not found")</f>
        <v>Beer</v>
      </c>
      <c r="P718" t="str">
        <f>_xlfn.XLOOKUP(L:L,MappingTable2[Month],MappingTable2[Quarters],"NIL")</f>
        <v>Q3</v>
      </c>
      <c r="Q718" s="1"/>
    </row>
    <row r="719" spans="1:17" x14ac:dyDescent="0.2">
      <c r="A719" s="1">
        <v>10818</v>
      </c>
      <c r="B719" s="1" t="s">
        <v>19</v>
      </c>
      <c r="C719" s="1" t="s">
        <v>20</v>
      </c>
      <c r="D719" s="1" t="s">
        <v>33</v>
      </c>
      <c r="E719" s="3">
        <v>170</v>
      </c>
      <c r="F719" s="3">
        <v>250</v>
      </c>
      <c r="G719" s="13">
        <v>758</v>
      </c>
      <c r="H719" s="3">
        <v>189500</v>
      </c>
      <c r="I719" s="3">
        <v>60640</v>
      </c>
      <c r="J719" s="1" t="s">
        <v>28</v>
      </c>
      <c r="K719" s="1" t="s">
        <v>35</v>
      </c>
      <c r="L719" s="1" t="s">
        <v>56</v>
      </c>
      <c r="M719" s="1">
        <v>2017</v>
      </c>
      <c r="N719" s="1" t="str">
        <f t="shared" si="11"/>
        <v>Francophone</v>
      </c>
      <c r="O719" s="3" t="str">
        <f>_xlfn.XLOOKUP(D:D,MappingTable[Brand],MappingTable[Brand Type], "not found")</f>
        <v>Beer</v>
      </c>
      <c r="P719" t="str">
        <f>_xlfn.XLOOKUP(L:L,MappingTable2[Month],MappingTable2[Quarters],"NIL")</f>
        <v>Q4</v>
      </c>
      <c r="Q719" s="1"/>
    </row>
    <row r="720" spans="1:17" x14ac:dyDescent="0.2">
      <c r="A720" s="1">
        <v>10819</v>
      </c>
      <c r="B720" s="1" t="s">
        <v>25</v>
      </c>
      <c r="C720" s="1" t="s">
        <v>26</v>
      </c>
      <c r="D720" s="1" t="s">
        <v>39</v>
      </c>
      <c r="E720" s="3">
        <v>150</v>
      </c>
      <c r="F720" s="3">
        <v>200</v>
      </c>
      <c r="G720" s="13">
        <v>787</v>
      </c>
      <c r="H720" s="3">
        <v>157400</v>
      </c>
      <c r="I720" s="3">
        <v>39350</v>
      </c>
      <c r="J720" s="1" t="s">
        <v>34</v>
      </c>
      <c r="K720" s="1" t="s">
        <v>41</v>
      </c>
      <c r="L720" s="1" t="s">
        <v>59</v>
      </c>
      <c r="M720" s="1">
        <v>2018</v>
      </c>
      <c r="N720" s="1" t="str">
        <f t="shared" si="11"/>
        <v>Francophone</v>
      </c>
      <c r="O720" s="3" t="str">
        <f>_xlfn.XLOOKUP(D:D,MappingTable[Brand],MappingTable[Brand Type], "not found")</f>
        <v>Beer</v>
      </c>
      <c r="P720" t="str">
        <f>_xlfn.XLOOKUP(L:L,MappingTable2[Month],MappingTable2[Quarters],"NIL")</f>
        <v>Q4</v>
      </c>
      <c r="Q720" s="1"/>
    </row>
    <row r="721" spans="1:17" x14ac:dyDescent="0.2">
      <c r="A721" s="1">
        <v>10820</v>
      </c>
      <c r="B721" s="1" t="s">
        <v>46</v>
      </c>
      <c r="C721" s="1" t="s">
        <v>47</v>
      </c>
      <c r="D721" s="1" t="s">
        <v>43</v>
      </c>
      <c r="E721" s="3">
        <v>80</v>
      </c>
      <c r="F721" s="3">
        <v>150</v>
      </c>
      <c r="G721" s="13">
        <v>929</v>
      </c>
      <c r="H721" s="3">
        <v>139350</v>
      </c>
      <c r="I721" s="3">
        <v>65030</v>
      </c>
      <c r="J721" s="1" t="s">
        <v>40</v>
      </c>
      <c r="K721" s="1" t="s">
        <v>44</v>
      </c>
      <c r="L721" s="1" t="s">
        <v>60</v>
      </c>
      <c r="M721" s="1">
        <v>2019</v>
      </c>
      <c r="N721" s="1" t="str">
        <f t="shared" si="11"/>
        <v>Francophone</v>
      </c>
      <c r="O721" s="3" t="str">
        <f>_xlfn.XLOOKUP(D:D,MappingTable[Brand],MappingTable[Brand Type], "not found")</f>
        <v>Malt</v>
      </c>
      <c r="P721" t="str">
        <f>_xlfn.XLOOKUP(L:L,MappingTable2[Month],MappingTable2[Quarters],"NIL")</f>
        <v>Q4</v>
      </c>
      <c r="Q721" s="1"/>
    </row>
    <row r="722" spans="1:17" x14ac:dyDescent="0.2">
      <c r="A722" s="1">
        <v>10821</v>
      </c>
      <c r="B722" s="1" t="s">
        <v>37</v>
      </c>
      <c r="C722" s="1" t="s">
        <v>38</v>
      </c>
      <c r="D722" s="1" t="s">
        <v>48</v>
      </c>
      <c r="E722" s="3">
        <v>90</v>
      </c>
      <c r="F722" s="3">
        <v>150</v>
      </c>
      <c r="G722" s="13">
        <v>785</v>
      </c>
      <c r="H722" s="3">
        <v>117750</v>
      </c>
      <c r="I722" s="3">
        <v>47100</v>
      </c>
      <c r="J722" s="1" t="s">
        <v>16</v>
      </c>
      <c r="K722" s="1" t="s">
        <v>17</v>
      </c>
      <c r="L722" s="1" t="s">
        <v>18</v>
      </c>
      <c r="M722" s="1">
        <v>2019</v>
      </c>
      <c r="N722" s="1" t="str">
        <f t="shared" si="11"/>
        <v>Anglophone</v>
      </c>
      <c r="O722" s="3" t="str">
        <f>_xlfn.XLOOKUP(D:D,MappingTable[Brand],MappingTable[Brand Type], "not found")</f>
        <v>Malt</v>
      </c>
      <c r="P722" t="str">
        <f>_xlfn.XLOOKUP(L:L,MappingTable2[Month],MappingTable2[Quarters],"NIL")</f>
        <v>Q1</v>
      </c>
      <c r="Q722" s="1"/>
    </row>
    <row r="723" spans="1:17" x14ac:dyDescent="0.2">
      <c r="A723" s="1">
        <v>10822</v>
      </c>
      <c r="B723" s="1" t="s">
        <v>13</v>
      </c>
      <c r="C723" s="1" t="s">
        <v>14</v>
      </c>
      <c r="D723" s="1" t="s">
        <v>15</v>
      </c>
      <c r="E723" s="3">
        <v>150</v>
      </c>
      <c r="F723" s="3">
        <v>200</v>
      </c>
      <c r="G723" s="13">
        <v>701</v>
      </c>
      <c r="H723" s="3">
        <v>140200</v>
      </c>
      <c r="I723" s="3">
        <v>35050</v>
      </c>
      <c r="J723" s="1" t="s">
        <v>22</v>
      </c>
      <c r="K723" s="1" t="s">
        <v>23</v>
      </c>
      <c r="L723" s="1" t="s">
        <v>24</v>
      </c>
      <c r="M723" s="1">
        <v>2017</v>
      </c>
      <c r="N723" s="1" t="str">
        <f t="shared" si="11"/>
        <v>Anglophone</v>
      </c>
      <c r="O723" s="3" t="str">
        <f>_xlfn.XLOOKUP(D:D,MappingTable[Brand],MappingTable[Brand Type], "not found")</f>
        <v>Beer</v>
      </c>
      <c r="P723" t="str">
        <f>_xlfn.XLOOKUP(L:L,MappingTable2[Month],MappingTable2[Quarters],"NIL")</f>
        <v>Q1</v>
      </c>
      <c r="Q723" s="1"/>
    </row>
    <row r="724" spans="1:17" x14ac:dyDescent="0.2">
      <c r="A724" s="1">
        <v>10823</v>
      </c>
      <c r="B724" s="1" t="s">
        <v>13</v>
      </c>
      <c r="C724" s="1" t="s">
        <v>14</v>
      </c>
      <c r="D724" s="1" t="s">
        <v>21</v>
      </c>
      <c r="E724" s="3">
        <v>250</v>
      </c>
      <c r="F724" s="3">
        <v>500</v>
      </c>
      <c r="G724" s="13">
        <v>757</v>
      </c>
      <c r="H724" s="3">
        <v>378500</v>
      </c>
      <c r="I724" s="3">
        <v>189250</v>
      </c>
      <c r="J724" s="1" t="s">
        <v>28</v>
      </c>
      <c r="K724" s="1" t="s">
        <v>29</v>
      </c>
      <c r="L724" s="1" t="s">
        <v>30</v>
      </c>
      <c r="M724" s="1">
        <v>2019</v>
      </c>
      <c r="N724" s="1" t="str">
        <f t="shared" si="11"/>
        <v>Francophone</v>
      </c>
      <c r="O724" s="3" t="str">
        <f>_xlfn.XLOOKUP(D:D,MappingTable[Brand],MappingTable[Brand Type], "not found")</f>
        <v>Beer</v>
      </c>
      <c r="P724" t="str">
        <f>_xlfn.XLOOKUP(L:L,MappingTable2[Month],MappingTable2[Quarters],"NIL")</f>
        <v>Q1</v>
      </c>
      <c r="Q724" s="1"/>
    </row>
    <row r="725" spans="1:17" x14ac:dyDescent="0.2">
      <c r="A725" s="1">
        <v>10824</v>
      </c>
      <c r="B725" s="1" t="s">
        <v>37</v>
      </c>
      <c r="C725" s="1" t="s">
        <v>38</v>
      </c>
      <c r="D725" s="1" t="s">
        <v>27</v>
      </c>
      <c r="E725" s="3">
        <v>180</v>
      </c>
      <c r="F725" s="3">
        <v>450</v>
      </c>
      <c r="G725" s="13">
        <v>810</v>
      </c>
      <c r="H725" s="3">
        <v>364500</v>
      </c>
      <c r="I725" s="3">
        <v>218700</v>
      </c>
      <c r="J725" s="1" t="s">
        <v>34</v>
      </c>
      <c r="K725" s="1" t="s">
        <v>35</v>
      </c>
      <c r="L725" s="1" t="s">
        <v>36</v>
      </c>
      <c r="M725" s="1">
        <v>2019</v>
      </c>
      <c r="N725" s="1" t="str">
        <f t="shared" si="11"/>
        <v>Francophone</v>
      </c>
      <c r="O725" s="3" t="str">
        <f>_xlfn.XLOOKUP(D:D,MappingTable[Brand],MappingTable[Brand Type], "not found")</f>
        <v>Beer</v>
      </c>
      <c r="P725" t="str">
        <f>_xlfn.XLOOKUP(L:L,MappingTable2[Month],MappingTable2[Quarters],"NIL")</f>
        <v>Q2</v>
      </c>
      <c r="Q725" s="1"/>
    </row>
    <row r="726" spans="1:17" x14ac:dyDescent="0.2">
      <c r="A726" s="1">
        <v>10825</v>
      </c>
      <c r="B726" s="1" t="s">
        <v>31</v>
      </c>
      <c r="C726" s="1" t="s">
        <v>32</v>
      </c>
      <c r="D726" s="1" t="s">
        <v>33</v>
      </c>
      <c r="E726" s="3">
        <v>170</v>
      </c>
      <c r="F726" s="3">
        <v>250</v>
      </c>
      <c r="G726" s="13">
        <v>874</v>
      </c>
      <c r="H726" s="3">
        <v>218500</v>
      </c>
      <c r="I726" s="3">
        <v>69920</v>
      </c>
      <c r="J726" s="1" t="s">
        <v>40</v>
      </c>
      <c r="K726" s="1" t="s">
        <v>41</v>
      </c>
      <c r="L726" s="1" t="s">
        <v>42</v>
      </c>
      <c r="M726" s="1">
        <v>2017</v>
      </c>
      <c r="N726" s="1" t="str">
        <f t="shared" si="11"/>
        <v>Francophone</v>
      </c>
      <c r="O726" s="3" t="str">
        <f>_xlfn.XLOOKUP(D:D,MappingTable[Brand],MappingTable[Brand Type], "not found")</f>
        <v>Beer</v>
      </c>
      <c r="P726" t="str">
        <f>_xlfn.XLOOKUP(L:L,MappingTable2[Month],MappingTable2[Quarters],"NIL")</f>
        <v>Q2</v>
      </c>
      <c r="Q726" s="1"/>
    </row>
    <row r="727" spans="1:17" x14ac:dyDescent="0.2">
      <c r="A727" s="1">
        <v>10826</v>
      </c>
      <c r="B727" s="1" t="s">
        <v>51</v>
      </c>
      <c r="C727" s="1" t="s">
        <v>52</v>
      </c>
      <c r="D727" s="1" t="s">
        <v>39</v>
      </c>
      <c r="E727" s="3">
        <v>150</v>
      </c>
      <c r="F727" s="3">
        <v>200</v>
      </c>
      <c r="G727" s="13">
        <v>820</v>
      </c>
      <c r="H727" s="3">
        <v>164000</v>
      </c>
      <c r="I727" s="3">
        <v>41000</v>
      </c>
      <c r="J727" s="1" t="s">
        <v>16</v>
      </c>
      <c r="K727" s="1" t="s">
        <v>44</v>
      </c>
      <c r="L727" s="1" t="s">
        <v>45</v>
      </c>
      <c r="M727" s="1">
        <v>2018</v>
      </c>
      <c r="N727" s="1" t="str">
        <f t="shared" si="11"/>
        <v>Anglophone</v>
      </c>
      <c r="O727" s="3" t="str">
        <f>_xlfn.XLOOKUP(D:D,MappingTable[Brand],MappingTable[Brand Type], "not found")</f>
        <v>Beer</v>
      </c>
      <c r="P727" t="str">
        <f>_xlfn.XLOOKUP(L:L,MappingTable2[Month],MappingTable2[Quarters],"NIL")</f>
        <v>Q2</v>
      </c>
      <c r="Q727" s="1"/>
    </row>
    <row r="728" spans="1:17" x14ac:dyDescent="0.2">
      <c r="A728" s="1">
        <v>10827</v>
      </c>
      <c r="B728" s="1" t="s">
        <v>63</v>
      </c>
      <c r="C728" s="1" t="s">
        <v>64</v>
      </c>
      <c r="D728" s="1" t="s">
        <v>43</v>
      </c>
      <c r="E728" s="3">
        <v>80</v>
      </c>
      <c r="F728" s="3">
        <v>150</v>
      </c>
      <c r="G728" s="13">
        <v>874</v>
      </c>
      <c r="H728" s="3">
        <v>131100</v>
      </c>
      <c r="I728" s="3">
        <v>61180</v>
      </c>
      <c r="J728" s="1" t="s">
        <v>22</v>
      </c>
      <c r="K728" s="1" t="s">
        <v>17</v>
      </c>
      <c r="L728" s="1" t="s">
        <v>49</v>
      </c>
      <c r="M728" s="1">
        <v>2018</v>
      </c>
      <c r="N728" s="1" t="str">
        <f t="shared" si="11"/>
        <v>Anglophone</v>
      </c>
      <c r="O728" s="3" t="str">
        <f>_xlfn.XLOOKUP(D:D,MappingTable[Brand],MappingTable[Brand Type], "not found")</f>
        <v>Malt</v>
      </c>
      <c r="P728" t="str">
        <f>_xlfn.XLOOKUP(L:L,MappingTable2[Month],MappingTable2[Quarters],"NIL")</f>
        <v>Q3</v>
      </c>
      <c r="Q728" s="1"/>
    </row>
    <row r="729" spans="1:17" x14ac:dyDescent="0.2">
      <c r="A729" s="1">
        <v>10828</v>
      </c>
      <c r="B729" s="1" t="s">
        <v>25</v>
      </c>
      <c r="C729" s="1" t="s">
        <v>26</v>
      </c>
      <c r="D729" s="1" t="s">
        <v>48</v>
      </c>
      <c r="E729" s="3">
        <v>90</v>
      </c>
      <c r="F729" s="3">
        <v>150</v>
      </c>
      <c r="G729" s="13">
        <v>958</v>
      </c>
      <c r="H729" s="3">
        <v>143700</v>
      </c>
      <c r="I729" s="3">
        <v>57480</v>
      </c>
      <c r="J729" s="1" t="s">
        <v>28</v>
      </c>
      <c r="K729" s="1" t="s">
        <v>23</v>
      </c>
      <c r="L729" s="1" t="s">
        <v>50</v>
      </c>
      <c r="M729" s="1">
        <v>2019</v>
      </c>
      <c r="N729" s="1" t="str">
        <f t="shared" si="11"/>
        <v>Francophone</v>
      </c>
      <c r="O729" s="3" t="str">
        <f>_xlfn.XLOOKUP(D:D,MappingTable[Brand],MappingTable[Brand Type], "not found")</f>
        <v>Malt</v>
      </c>
      <c r="P729" t="str">
        <f>_xlfn.XLOOKUP(L:L,MappingTable2[Month],MappingTable2[Quarters],"NIL")</f>
        <v>Q3</v>
      </c>
      <c r="Q729" s="1"/>
    </row>
    <row r="730" spans="1:17" x14ac:dyDescent="0.2">
      <c r="A730" s="1">
        <v>10829</v>
      </c>
      <c r="B730" s="1" t="s">
        <v>19</v>
      </c>
      <c r="C730" s="1" t="s">
        <v>20</v>
      </c>
      <c r="D730" s="1" t="s">
        <v>15</v>
      </c>
      <c r="E730" s="3">
        <v>150</v>
      </c>
      <c r="F730" s="3">
        <v>200</v>
      </c>
      <c r="G730" s="13">
        <v>742</v>
      </c>
      <c r="H730" s="3">
        <v>148400</v>
      </c>
      <c r="I730" s="3">
        <v>37100</v>
      </c>
      <c r="J730" s="1" t="s">
        <v>34</v>
      </c>
      <c r="K730" s="1" t="s">
        <v>29</v>
      </c>
      <c r="L730" s="1" t="s">
        <v>53</v>
      </c>
      <c r="M730" s="1">
        <v>2018</v>
      </c>
      <c r="N730" s="1" t="str">
        <f t="shared" si="11"/>
        <v>Francophone</v>
      </c>
      <c r="O730" s="3" t="str">
        <f>_xlfn.XLOOKUP(D:D,MappingTable[Brand],MappingTable[Brand Type], "not found")</f>
        <v>Beer</v>
      </c>
      <c r="P730" t="str">
        <f>_xlfn.XLOOKUP(L:L,MappingTable2[Month],MappingTable2[Quarters],"NIL")</f>
        <v>Q3</v>
      </c>
      <c r="Q730" s="1"/>
    </row>
    <row r="731" spans="1:17" x14ac:dyDescent="0.2">
      <c r="A731" s="1">
        <v>10830</v>
      </c>
      <c r="B731" s="1" t="s">
        <v>25</v>
      </c>
      <c r="C731" s="1" t="s">
        <v>26</v>
      </c>
      <c r="D731" s="1" t="s">
        <v>21</v>
      </c>
      <c r="E731" s="3">
        <v>250</v>
      </c>
      <c r="F731" s="3">
        <v>500</v>
      </c>
      <c r="G731" s="13">
        <v>973</v>
      </c>
      <c r="H731" s="3">
        <v>486500</v>
      </c>
      <c r="I731" s="3">
        <v>243250</v>
      </c>
      <c r="J731" s="1" t="s">
        <v>40</v>
      </c>
      <c r="K731" s="1" t="s">
        <v>35</v>
      </c>
      <c r="L731" s="1" t="s">
        <v>56</v>
      </c>
      <c r="M731" s="1">
        <v>2018</v>
      </c>
      <c r="N731" s="1" t="str">
        <f t="shared" si="11"/>
        <v>Francophone</v>
      </c>
      <c r="O731" s="3" t="str">
        <f>_xlfn.XLOOKUP(D:D,MappingTable[Brand],MappingTable[Brand Type], "not found")</f>
        <v>Beer</v>
      </c>
      <c r="P731" t="str">
        <f>_xlfn.XLOOKUP(L:L,MappingTable2[Month],MappingTable2[Quarters],"NIL")</f>
        <v>Q4</v>
      </c>
      <c r="Q731" s="1"/>
    </row>
    <row r="732" spans="1:17" x14ac:dyDescent="0.2">
      <c r="A732" s="1">
        <v>10831</v>
      </c>
      <c r="B732" s="1" t="s">
        <v>46</v>
      </c>
      <c r="C732" s="1" t="s">
        <v>47</v>
      </c>
      <c r="D732" s="1" t="s">
        <v>27</v>
      </c>
      <c r="E732" s="3">
        <v>180</v>
      </c>
      <c r="F732" s="3">
        <v>450</v>
      </c>
      <c r="G732" s="13">
        <v>961</v>
      </c>
      <c r="H732" s="3">
        <v>432450</v>
      </c>
      <c r="I732" s="3">
        <v>259470</v>
      </c>
      <c r="J732" s="1" t="s">
        <v>16</v>
      </c>
      <c r="K732" s="1" t="s">
        <v>41</v>
      </c>
      <c r="L732" s="1" t="s">
        <v>59</v>
      </c>
      <c r="M732" s="1">
        <v>2017</v>
      </c>
      <c r="N732" s="1" t="str">
        <f t="shared" si="11"/>
        <v>Anglophone</v>
      </c>
      <c r="O732" s="3" t="str">
        <f>_xlfn.XLOOKUP(D:D,MappingTable[Brand],MappingTable[Brand Type], "not found")</f>
        <v>Beer</v>
      </c>
      <c r="P732" t="str">
        <f>_xlfn.XLOOKUP(L:L,MappingTable2[Month],MappingTable2[Quarters],"NIL")</f>
        <v>Q4</v>
      </c>
      <c r="Q732" s="1"/>
    </row>
    <row r="733" spans="1:17" x14ac:dyDescent="0.2">
      <c r="A733" s="1">
        <v>10832</v>
      </c>
      <c r="B733" s="1" t="s">
        <v>37</v>
      </c>
      <c r="C733" s="1" t="s">
        <v>38</v>
      </c>
      <c r="D733" s="1" t="s">
        <v>33</v>
      </c>
      <c r="E733" s="3">
        <v>170</v>
      </c>
      <c r="F733" s="3">
        <v>250</v>
      </c>
      <c r="G733" s="13">
        <v>752</v>
      </c>
      <c r="H733" s="3">
        <v>188000</v>
      </c>
      <c r="I733" s="3">
        <v>60160</v>
      </c>
      <c r="J733" s="1" t="s">
        <v>22</v>
      </c>
      <c r="K733" s="1" t="s">
        <v>44</v>
      </c>
      <c r="L733" s="1" t="s">
        <v>60</v>
      </c>
      <c r="M733" s="1">
        <v>2017</v>
      </c>
      <c r="N733" s="1" t="str">
        <f t="shared" si="11"/>
        <v>Anglophone</v>
      </c>
      <c r="O733" s="3" t="str">
        <f>_xlfn.XLOOKUP(D:D,MappingTable[Brand],MappingTable[Brand Type], "not found")</f>
        <v>Beer</v>
      </c>
      <c r="P733" t="str">
        <f>_xlfn.XLOOKUP(L:L,MappingTable2[Month],MappingTable2[Quarters],"NIL")</f>
        <v>Q4</v>
      </c>
      <c r="Q733" s="1"/>
    </row>
    <row r="734" spans="1:17" x14ac:dyDescent="0.2">
      <c r="A734" s="1">
        <v>10833</v>
      </c>
      <c r="B734" s="1" t="s">
        <v>13</v>
      </c>
      <c r="C734" s="1" t="s">
        <v>14</v>
      </c>
      <c r="D734" s="1" t="s">
        <v>39</v>
      </c>
      <c r="E734" s="3">
        <v>150</v>
      </c>
      <c r="F734" s="3">
        <v>200</v>
      </c>
      <c r="G734" s="13">
        <v>938</v>
      </c>
      <c r="H734" s="3">
        <v>187600</v>
      </c>
      <c r="I734" s="3">
        <v>46900</v>
      </c>
      <c r="J734" s="1" t="s">
        <v>28</v>
      </c>
      <c r="K734" s="1" t="s">
        <v>17</v>
      </c>
      <c r="L734" s="1" t="s">
        <v>18</v>
      </c>
      <c r="M734" s="1">
        <v>2018</v>
      </c>
      <c r="N734" s="1" t="str">
        <f t="shared" si="11"/>
        <v>Francophone</v>
      </c>
      <c r="O734" s="3" t="str">
        <f>_xlfn.XLOOKUP(D:D,MappingTable[Brand],MappingTable[Brand Type], "not found")</f>
        <v>Beer</v>
      </c>
      <c r="P734" t="str">
        <f>_xlfn.XLOOKUP(L:L,MappingTable2[Month],MappingTable2[Quarters],"NIL")</f>
        <v>Q1</v>
      </c>
      <c r="Q734" s="1"/>
    </row>
    <row r="735" spans="1:17" x14ac:dyDescent="0.2">
      <c r="A735" s="1">
        <v>10834</v>
      </c>
      <c r="B735" s="1" t="s">
        <v>13</v>
      </c>
      <c r="C735" s="1" t="s">
        <v>14</v>
      </c>
      <c r="D735" s="1" t="s">
        <v>43</v>
      </c>
      <c r="E735" s="3">
        <v>80</v>
      </c>
      <c r="F735" s="3">
        <v>150</v>
      </c>
      <c r="G735" s="13">
        <v>777</v>
      </c>
      <c r="H735" s="3">
        <v>116550</v>
      </c>
      <c r="I735" s="3">
        <v>54390</v>
      </c>
      <c r="J735" s="1" t="s">
        <v>34</v>
      </c>
      <c r="K735" s="1" t="s">
        <v>23</v>
      </c>
      <c r="L735" s="1" t="s">
        <v>24</v>
      </c>
      <c r="M735" s="1">
        <v>2018</v>
      </c>
      <c r="N735" s="1" t="str">
        <f t="shared" si="11"/>
        <v>Francophone</v>
      </c>
      <c r="O735" s="3" t="str">
        <f>_xlfn.XLOOKUP(D:D,MappingTable[Brand],MappingTable[Brand Type], "not found")</f>
        <v>Malt</v>
      </c>
      <c r="P735" t="str">
        <f>_xlfn.XLOOKUP(L:L,MappingTable2[Month],MappingTable2[Quarters],"NIL")</f>
        <v>Q1</v>
      </c>
      <c r="Q735" s="1"/>
    </row>
    <row r="736" spans="1:17" x14ac:dyDescent="0.2">
      <c r="A736" s="1">
        <v>10835</v>
      </c>
      <c r="B736" s="1" t="s">
        <v>37</v>
      </c>
      <c r="C736" s="1" t="s">
        <v>38</v>
      </c>
      <c r="D736" s="1" t="s">
        <v>48</v>
      </c>
      <c r="E736" s="3">
        <v>90</v>
      </c>
      <c r="F736" s="3">
        <v>150</v>
      </c>
      <c r="G736" s="13">
        <v>855</v>
      </c>
      <c r="H736" s="3">
        <v>128250</v>
      </c>
      <c r="I736" s="3">
        <v>51300</v>
      </c>
      <c r="J736" s="1" t="s">
        <v>40</v>
      </c>
      <c r="K736" s="1" t="s">
        <v>29</v>
      </c>
      <c r="L736" s="1" t="s">
        <v>30</v>
      </c>
      <c r="M736" s="1">
        <v>2018</v>
      </c>
      <c r="N736" s="1" t="str">
        <f t="shared" si="11"/>
        <v>Francophone</v>
      </c>
      <c r="O736" s="3" t="str">
        <f>_xlfn.XLOOKUP(D:D,MappingTable[Brand],MappingTable[Brand Type], "not found")</f>
        <v>Malt</v>
      </c>
      <c r="P736" t="str">
        <f>_xlfn.XLOOKUP(L:L,MappingTable2[Month],MappingTable2[Quarters],"NIL")</f>
        <v>Q1</v>
      </c>
      <c r="Q736" s="1"/>
    </row>
    <row r="737" spans="1:17" x14ac:dyDescent="0.2">
      <c r="A737" s="1">
        <v>10836</v>
      </c>
      <c r="B737" s="1" t="s">
        <v>13</v>
      </c>
      <c r="C737" s="1" t="s">
        <v>14</v>
      </c>
      <c r="D737" s="1" t="s">
        <v>15</v>
      </c>
      <c r="E737" s="3">
        <v>150</v>
      </c>
      <c r="F737" s="3">
        <v>200</v>
      </c>
      <c r="G737" s="13">
        <v>870</v>
      </c>
      <c r="H737" s="3">
        <v>174000</v>
      </c>
      <c r="I737" s="3">
        <v>43500</v>
      </c>
      <c r="J737" s="1" t="s">
        <v>16</v>
      </c>
      <c r="K737" s="1" t="s">
        <v>35</v>
      </c>
      <c r="L737" s="1" t="s">
        <v>36</v>
      </c>
      <c r="M737" s="1">
        <v>2017</v>
      </c>
      <c r="N737" s="1" t="str">
        <f t="shared" si="11"/>
        <v>Anglophone</v>
      </c>
      <c r="O737" s="3" t="str">
        <f>_xlfn.XLOOKUP(D:D,MappingTable[Brand],MappingTable[Brand Type], "not found")</f>
        <v>Beer</v>
      </c>
      <c r="P737" t="str">
        <f>_xlfn.XLOOKUP(L:L,MappingTable2[Month],MappingTable2[Quarters],"NIL")</f>
        <v>Q2</v>
      </c>
      <c r="Q737" s="1"/>
    </row>
    <row r="738" spans="1:17" x14ac:dyDescent="0.2">
      <c r="A738" s="1">
        <v>10837</v>
      </c>
      <c r="B738" s="1" t="s">
        <v>19</v>
      </c>
      <c r="C738" s="1" t="s">
        <v>20</v>
      </c>
      <c r="D738" s="1" t="s">
        <v>21</v>
      </c>
      <c r="E738" s="3">
        <v>250</v>
      </c>
      <c r="F738" s="3">
        <v>500</v>
      </c>
      <c r="G738" s="13">
        <v>922</v>
      </c>
      <c r="H738" s="3">
        <v>461000</v>
      </c>
      <c r="I738" s="3">
        <v>230500</v>
      </c>
      <c r="J738" s="1" t="s">
        <v>22</v>
      </c>
      <c r="K738" s="1" t="s">
        <v>41</v>
      </c>
      <c r="L738" s="1" t="s">
        <v>42</v>
      </c>
      <c r="M738" s="1">
        <v>2018</v>
      </c>
      <c r="N738" s="1" t="str">
        <f t="shared" si="11"/>
        <v>Anglophone</v>
      </c>
      <c r="O738" s="3" t="str">
        <f>_xlfn.XLOOKUP(D:D,MappingTable[Brand],MappingTable[Brand Type], "not found")</f>
        <v>Beer</v>
      </c>
      <c r="P738" t="str">
        <f>_xlfn.XLOOKUP(L:L,MappingTable2[Month],MappingTable2[Quarters],"NIL")</f>
        <v>Q2</v>
      </c>
      <c r="Q738" s="1"/>
    </row>
    <row r="739" spans="1:17" x14ac:dyDescent="0.2">
      <c r="A739" s="1">
        <v>10838</v>
      </c>
      <c r="B739" s="1" t="s">
        <v>25</v>
      </c>
      <c r="C739" s="1" t="s">
        <v>26</v>
      </c>
      <c r="D739" s="1" t="s">
        <v>27</v>
      </c>
      <c r="E739" s="3">
        <v>180</v>
      </c>
      <c r="F739" s="3">
        <v>450</v>
      </c>
      <c r="G739" s="13">
        <v>856</v>
      </c>
      <c r="H739" s="3">
        <v>385200</v>
      </c>
      <c r="I739" s="3">
        <v>231120</v>
      </c>
      <c r="J739" s="1" t="s">
        <v>28</v>
      </c>
      <c r="K739" s="1" t="s">
        <v>44</v>
      </c>
      <c r="L739" s="1" t="s">
        <v>45</v>
      </c>
      <c r="M739" s="1">
        <v>2018</v>
      </c>
      <c r="N739" s="1" t="str">
        <f t="shared" si="11"/>
        <v>Francophone</v>
      </c>
      <c r="O739" s="3" t="str">
        <f>_xlfn.XLOOKUP(D:D,MappingTable[Brand],MappingTable[Brand Type], "not found")</f>
        <v>Beer</v>
      </c>
      <c r="P739" t="str">
        <f>_xlfn.XLOOKUP(L:L,MappingTable2[Month],MappingTable2[Quarters],"NIL")</f>
        <v>Q2</v>
      </c>
      <c r="Q739" s="1"/>
    </row>
    <row r="740" spans="1:17" x14ac:dyDescent="0.2">
      <c r="A740" s="1">
        <v>10839</v>
      </c>
      <c r="B740" s="1" t="s">
        <v>31</v>
      </c>
      <c r="C740" s="1" t="s">
        <v>32</v>
      </c>
      <c r="D740" s="1" t="s">
        <v>33</v>
      </c>
      <c r="E740" s="3">
        <v>170</v>
      </c>
      <c r="F740" s="3">
        <v>250</v>
      </c>
      <c r="G740" s="13">
        <v>852</v>
      </c>
      <c r="H740" s="3">
        <v>213000</v>
      </c>
      <c r="I740" s="3">
        <v>68160</v>
      </c>
      <c r="J740" s="1" t="s">
        <v>34</v>
      </c>
      <c r="K740" s="1" t="s">
        <v>17</v>
      </c>
      <c r="L740" s="1" t="s">
        <v>49</v>
      </c>
      <c r="M740" s="1">
        <v>2018</v>
      </c>
      <c r="N740" s="1" t="str">
        <f t="shared" si="11"/>
        <v>Francophone</v>
      </c>
      <c r="O740" s="3" t="str">
        <f>_xlfn.XLOOKUP(D:D,MappingTable[Brand],MappingTable[Brand Type], "not found")</f>
        <v>Beer</v>
      </c>
      <c r="P740" t="str">
        <f>_xlfn.XLOOKUP(L:L,MappingTable2[Month],MappingTable2[Quarters],"NIL")</f>
        <v>Q3</v>
      </c>
      <c r="Q740" s="1"/>
    </row>
    <row r="741" spans="1:17" x14ac:dyDescent="0.2">
      <c r="A741" s="1">
        <v>10840</v>
      </c>
      <c r="B741" s="1" t="s">
        <v>37</v>
      </c>
      <c r="C741" s="1" t="s">
        <v>38</v>
      </c>
      <c r="D741" s="1" t="s">
        <v>39</v>
      </c>
      <c r="E741" s="3">
        <v>150</v>
      </c>
      <c r="F741" s="3">
        <v>200</v>
      </c>
      <c r="G741" s="13">
        <v>981</v>
      </c>
      <c r="H741" s="3">
        <v>196200</v>
      </c>
      <c r="I741" s="3">
        <v>49050</v>
      </c>
      <c r="J741" s="1" t="s">
        <v>40</v>
      </c>
      <c r="K741" s="1" t="s">
        <v>23</v>
      </c>
      <c r="L741" s="1" t="s">
        <v>50</v>
      </c>
      <c r="M741" s="1">
        <v>2018</v>
      </c>
      <c r="N741" s="1" t="str">
        <f t="shared" si="11"/>
        <v>Francophone</v>
      </c>
      <c r="O741" s="3" t="str">
        <f>_xlfn.XLOOKUP(D:D,MappingTable[Brand],MappingTable[Brand Type], "not found")</f>
        <v>Beer</v>
      </c>
      <c r="P741" t="str">
        <f>_xlfn.XLOOKUP(L:L,MappingTable2[Month],MappingTable2[Quarters],"NIL")</f>
        <v>Q3</v>
      </c>
      <c r="Q741" s="1"/>
    </row>
    <row r="742" spans="1:17" x14ac:dyDescent="0.2">
      <c r="A742" s="1">
        <v>10841</v>
      </c>
      <c r="B742" s="1" t="s">
        <v>13</v>
      </c>
      <c r="C742" s="1" t="s">
        <v>14</v>
      </c>
      <c r="D742" s="1" t="s">
        <v>43</v>
      </c>
      <c r="E742" s="3">
        <v>80</v>
      </c>
      <c r="F742" s="3">
        <v>150</v>
      </c>
      <c r="G742" s="13">
        <v>910</v>
      </c>
      <c r="H742" s="3">
        <v>136500</v>
      </c>
      <c r="I742" s="3">
        <v>63700</v>
      </c>
      <c r="J742" s="1" t="s">
        <v>16</v>
      </c>
      <c r="K742" s="1" t="s">
        <v>29</v>
      </c>
      <c r="L742" s="1" t="s">
        <v>53</v>
      </c>
      <c r="M742" s="1">
        <v>2017</v>
      </c>
      <c r="N742" s="1" t="str">
        <f t="shared" si="11"/>
        <v>Anglophone</v>
      </c>
      <c r="O742" s="3" t="str">
        <f>_xlfn.XLOOKUP(D:D,MappingTable[Brand],MappingTable[Brand Type], "not found")</f>
        <v>Malt</v>
      </c>
      <c r="P742" t="str">
        <f>_xlfn.XLOOKUP(L:L,MappingTable2[Month],MappingTable2[Quarters],"NIL")</f>
        <v>Q3</v>
      </c>
      <c r="Q742" s="1"/>
    </row>
    <row r="743" spans="1:17" x14ac:dyDescent="0.2">
      <c r="A743" s="1">
        <v>10842</v>
      </c>
      <c r="B743" s="1" t="s">
        <v>46</v>
      </c>
      <c r="C743" s="1" t="s">
        <v>47</v>
      </c>
      <c r="D743" s="1" t="s">
        <v>48</v>
      </c>
      <c r="E743" s="3">
        <v>90</v>
      </c>
      <c r="F743" s="3">
        <v>150</v>
      </c>
      <c r="G743" s="13">
        <v>805</v>
      </c>
      <c r="H743" s="3">
        <v>120750</v>
      </c>
      <c r="I743" s="3">
        <v>48300</v>
      </c>
      <c r="J743" s="1" t="s">
        <v>22</v>
      </c>
      <c r="K743" s="1" t="s">
        <v>35</v>
      </c>
      <c r="L743" s="1" t="s">
        <v>56</v>
      </c>
      <c r="M743" s="1">
        <v>2018</v>
      </c>
      <c r="N743" s="1" t="str">
        <f t="shared" si="11"/>
        <v>Anglophone</v>
      </c>
      <c r="O743" s="3" t="str">
        <f>_xlfn.XLOOKUP(D:D,MappingTable[Brand],MappingTable[Brand Type], "not found")</f>
        <v>Malt</v>
      </c>
      <c r="P743" t="str">
        <f>_xlfn.XLOOKUP(L:L,MappingTable2[Month],MappingTable2[Quarters],"NIL")</f>
        <v>Q4</v>
      </c>
      <c r="Q743" s="1"/>
    </row>
    <row r="744" spans="1:17" x14ac:dyDescent="0.2">
      <c r="A744" s="1">
        <v>10843</v>
      </c>
      <c r="B744" s="1" t="s">
        <v>31</v>
      </c>
      <c r="C744" s="1" t="s">
        <v>32</v>
      </c>
      <c r="D744" s="1" t="s">
        <v>15</v>
      </c>
      <c r="E744" s="3">
        <v>150</v>
      </c>
      <c r="F744" s="3">
        <v>200</v>
      </c>
      <c r="G744" s="13">
        <v>932</v>
      </c>
      <c r="H744" s="3">
        <v>186400</v>
      </c>
      <c r="I744" s="3">
        <v>46600</v>
      </c>
      <c r="J744" s="1" t="s">
        <v>28</v>
      </c>
      <c r="K744" s="1" t="s">
        <v>41</v>
      </c>
      <c r="L744" s="1" t="s">
        <v>59</v>
      </c>
      <c r="M744" s="1">
        <v>2018</v>
      </c>
      <c r="N744" s="1" t="str">
        <f t="shared" si="11"/>
        <v>Francophone</v>
      </c>
      <c r="O744" s="3" t="str">
        <f>_xlfn.XLOOKUP(D:D,MappingTable[Brand],MappingTable[Brand Type], "not found")</f>
        <v>Beer</v>
      </c>
      <c r="P744" t="str">
        <f>_xlfn.XLOOKUP(L:L,MappingTable2[Month],MappingTable2[Quarters],"NIL")</f>
        <v>Q4</v>
      </c>
      <c r="Q744" s="1"/>
    </row>
    <row r="745" spans="1:17" x14ac:dyDescent="0.2">
      <c r="A745" s="1">
        <v>10844</v>
      </c>
      <c r="B745" s="1" t="s">
        <v>51</v>
      </c>
      <c r="C745" s="1" t="s">
        <v>52</v>
      </c>
      <c r="D745" s="1" t="s">
        <v>21</v>
      </c>
      <c r="E745" s="3">
        <v>250</v>
      </c>
      <c r="F745" s="3">
        <v>500</v>
      </c>
      <c r="G745" s="13">
        <v>891</v>
      </c>
      <c r="H745" s="3">
        <v>445500</v>
      </c>
      <c r="I745" s="3">
        <v>222750</v>
      </c>
      <c r="J745" s="1" t="s">
        <v>34</v>
      </c>
      <c r="K745" s="1" t="s">
        <v>44</v>
      </c>
      <c r="L745" s="1" t="s">
        <v>60</v>
      </c>
      <c r="M745" s="1">
        <v>2018</v>
      </c>
      <c r="N745" s="1" t="str">
        <f t="shared" si="11"/>
        <v>Francophone</v>
      </c>
      <c r="O745" s="3" t="str">
        <f>_xlfn.XLOOKUP(D:D,MappingTable[Brand],MappingTable[Brand Type], "not found")</f>
        <v>Beer</v>
      </c>
      <c r="P745" t="str">
        <f>_xlfn.XLOOKUP(L:L,MappingTable2[Month],MappingTable2[Quarters],"NIL")</f>
        <v>Q4</v>
      </c>
      <c r="Q745" s="1"/>
    </row>
    <row r="746" spans="1:17" x14ac:dyDescent="0.2">
      <c r="A746" s="1">
        <v>10845</v>
      </c>
      <c r="B746" s="1" t="s">
        <v>54</v>
      </c>
      <c r="C746" s="1" t="s">
        <v>55</v>
      </c>
      <c r="D746" s="1" t="s">
        <v>27</v>
      </c>
      <c r="E746" s="3">
        <v>180</v>
      </c>
      <c r="F746" s="3">
        <v>450</v>
      </c>
      <c r="G746" s="13">
        <v>803</v>
      </c>
      <c r="H746" s="3">
        <v>361350</v>
      </c>
      <c r="I746" s="3">
        <v>216810</v>
      </c>
      <c r="J746" s="1" t="s">
        <v>40</v>
      </c>
      <c r="K746" s="1" t="s">
        <v>17</v>
      </c>
      <c r="L746" s="1" t="s">
        <v>18</v>
      </c>
      <c r="M746" s="1">
        <v>2018</v>
      </c>
      <c r="N746" s="1" t="str">
        <f t="shared" si="11"/>
        <v>Francophone</v>
      </c>
      <c r="O746" s="3" t="str">
        <f>_xlfn.XLOOKUP(D:D,MappingTable[Brand],MappingTable[Brand Type], "not found")</f>
        <v>Beer</v>
      </c>
      <c r="P746" t="str">
        <f>_xlfn.XLOOKUP(L:L,MappingTable2[Month],MappingTable2[Quarters],"NIL")</f>
        <v>Q1</v>
      </c>
      <c r="Q746" s="1"/>
    </row>
    <row r="747" spans="1:17" x14ac:dyDescent="0.2">
      <c r="A747" s="1">
        <v>10846</v>
      </c>
      <c r="B747" s="1" t="s">
        <v>57</v>
      </c>
      <c r="C747" s="1" t="s">
        <v>58</v>
      </c>
      <c r="D747" s="1" t="s">
        <v>33</v>
      </c>
      <c r="E747" s="3">
        <v>170</v>
      </c>
      <c r="F747" s="3">
        <v>250</v>
      </c>
      <c r="G747" s="13">
        <v>818</v>
      </c>
      <c r="H747" s="3">
        <v>204500</v>
      </c>
      <c r="I747" s="3">
        <v>65440</v>
      </c>
      <c r="J747" s="1" t="s">
        <v>16</v>
      </c>
      <c r="K747" s="1" t="s">
        <v>23</v>
      </c>
      <c r="L747" s="1" t="s">
        <v>24</v>
      </c>
      <c r="M747" s="1">
        <v>2017</v>
      </c>
      <c r="N747" s="1" t="str">
        <f t="shared" si="11"/>
        <v>Anglophone</v>
      </c>
      <c r="O747" s="3" t="str">
        <f>_xlfn.XLOOKUP(D:D,MappingTable[Brand],MappingTable[Brand Type], "not found")</f>
        <v>Beer</v>
      </c>
      <c r="P747" t="str">
        <f>_xlfn.XLOOKUP(L:L,MappingTable2[Month],MappingTable2[Quarters],"NIL")</f>
        <v>Q1</v>
      </c>
      <c r="Q747" s="1"/>
    </row>
    <row r="748" spans="1:17" x14ac:dyDescent="0.2">
      <c r="A748" s="1">
        <v>10847</v>
      </c>
      <c r="B748" s="1" t="s">
        <v>31</v>
      </c>
      <c r="C748" s="1" t="s">
        <v>32</v>
      </c>
      <c r="D748" s="1" t="s">
        <v>39</v>
      </c>
      <c r="E748" s="3">
        <v>150</v>
      </c>
      <c r="F748" s="3">
        <v>200</v>
      </c>
      <c r="G748" s="13">
        <v>932</v>
      </c>
      <c r="H748" s="3">
        <v>186400</v>
      </c>
      <c r="I748" s="3">
        <v>46600</v>
      </c>
      <c r="J748" s="1" t="s">
        <v>22</v>
      </c>
      <c r="K748" s="1" t="s">
        <v>29</v>
      </c>
      <c r="L748" s="1" t="s">
        <v>30</v>
      </c>
      <c r="M748" s="1">
        <v>2019</v>
      </c>
      <c r="N748" s="1" t="str">
        <f t="shared" si="11"/>
        <v>Anglophone</v>
      </c>
      <c r="O748" s="3" t="str">
        <f>_xlfn.XLOOKUP(D:D,MappingTable[Brand],MappingTable[Brand Type], "not found")</f>
        <v>Beer</v>
      </c>
      <c r="P748" t="str">
        <f>_xlfn.XLOOKUP(L:L,MappingTable2[Month],MappingTable2[Quarters],"NIL")</f>
        <v>Q1</v>
      </c>
      <c r="Q748" s="1"/>
    </row>
    <row r="749" spans="1:17" x14ac:dyDescent="0.2">
      <c r="A749" s="1">
        <v>10848</v>
      </c>
      <c r="B749" s="1" t="s">
        <v>61</v>
      </c>
      <c r="C749" s="1" t="s">
        <v>62</v>
      </c>
      <c r="D749" s="1" t="s">
        <v>43</v>
      </c>
      <c r="E749" s="3">
        <v>80</v>
      </c>
      <c r="F749" s="3">
        <v>150</v>
      </c>
      <c r="G749" s="13">
        <v>893</v>
      </c>
      <c r="H749" s="3">
        <v>133950</v>
      </c>
      <c r="I749" s="3">
        <v>62510</v>
      </c>
      <c r="J749" s="1" t="s">
        <v>28</v>
      </c>
      <c r="K749" s="1" t="s">
        <v>35</v>
      </c>
      <c r="L749" s="1" t="s">
        <v>36</v>
      </c>
      <c r="M749" s="1">
        <v>2019</v>
      </c>
      <c r="N749" s="1" t="str">
        <f t="shared" si="11"/>
        <v>Francophone</v>
      </c>
      <c r="O749" s="3" t="str">
        <f>_xlfn.XLOOKUP(D:D,MappingTable[Brand],MappingTable[Brand Type], "not found")</f>
        <v>Malt</v>
      </c>
      <c r="P749" t="str">
        <f>_xlfn.XLOOKUP(L:L,MappingTable2[Month],MappingTable2[Quarters],"NIL")</f>
        <v>Q2</v>
      </c>
      <c r="Q749" s="1"/>
    </row>
    <row r="750" spans="1:17" x14ac:dyDescent="0.2">
      <c r="A750" s="1">
        <v>10849</v>
      </c>
      <c r="B750" s="1" t="s">
        <v>31</v>
      </c>
      <c r="C750" s="1" t="s">
        <v>32</v>
      </c>
      <c r="D750" s="1" t="s">
        <v>48</v>
      </c>
      <c r="E750" s="3">
        <v>90</v>
      </c>
      <c r="F750" s="3">
        <v>150</v>
      </c>
      <c r="G750" s="13">
        <v>824</v>
      </c>
      <c r="H750" s="3">
        <v>123600</v>
      </c>
      <c r="I750" s="3">
        <v>49440</v>
      </c>
      <c r="J750" s="1" t="s">
        <v>34</v>
      </c>
      <c r="K750" s="1" t="s">
        <v>41</v>
      </c>
      <c r="L750" s="1" t="s">
        <v>42</v>
      </c>
      <c r="M750" s="1">
        <v>2019</v>
      </c>
      <c r="N750" s="1" t="str">
        <f t="shared" si="11"/>
        <v>Francophone</v>
      </c>
      <c r="O750" s="3" t="str">
        <f>_xlfn.XLOOKUP(D:D,MappingTable[Brand],MappingTable[Brand Type], "not found")</f>
        <v>Malt</v>
      </c>
      <c r="P750" t="str">
        <f>_xlfn.XLOOKUP(L:L,MappingTable2[Month],MappingTable2[Quarters],"NIL")</f>
        <v>Q2</v>
      </c>
      <c r="Q750" s="1"/>
    </row>
    <row r="751" spans="1:17" x14ac:dyDescent="0.2">
      <c r="A751" s="1">
        <v>10850</v>
      </c>
      <c r="B751" s="1" t="s">
        <v>13</v>
      </c>
      <c r="C751" s="1" t="s">
        <v>14</v>
      </c>
      <c r="D751" s="1" t="s">
        <v>15</v>
      </c>
      <c r="E751" s="3">
        <v>150</v>
      </c>
      <c r="F751" s="3">
        <v>200</v>
      </c>
      <c r="G751" s="13">
        <v>931</v>
      </c>
      <c r="H751" s="3">
        <v>186200</v>
      </c>
      <c r="I751" s="3">
        <v>46550</v>
      </c>
      <c r="J751" s="1" t="s">
        <v>40</v>
      </c>
      <c r="K751" s="1" t="s">
        <v>44</v>
      </c>
      <c r="L751" s="1" t="s">
        <v>45</v>
      </c>
      <c r="M751" s="1">
        <v>2019</v>
      </c>
      <c r="N751" s="1" t="str">
        <f t="shared" si="11"/>
        <v>Francophone</v>
      </c>
      <c r="O751" s="3" t="str">
        <f>_xlfn.XLOOKUP(D:D,MappingTable[Brand],MappingTable[Brand Type], "not found")</f>
        <v>Beer</v>
      </c>
      <c r="P751" t="str">
        <f>_xlfn.XLOOKUP(L:L,MappingTable2[Month],MappingTable2[Quarters],"NIL")</f>
        <v>Q2</v>
      </c>
      <c r="Q751" s="1"/>
    </row>
    <row r="752" spans="1:17" x14ac:dyDescent="0.2">
      <c r="A752" s="1">
        <v>10851</v>
      </c>
      <c r="B752" s="1" t="s">
        <v>19</v>
      </c>
      <c r="C752" s="1" t="s">
        <v>20</v>
      </c>
      <c r="D752" s="1" t="s">
        <v>21</v>
      </c>
      <c r="E752" s="3">
        <v>250</v>
      </c>
      <c r="F752" s="3">
        <v>500</v>
      </c>
      <c r="G752" s="13">
        <v>783</v>
      </c>
      <c r="H752" s="3">
        <v>391500</v>
      </c>
      <c r="I752" s="3">
        <v>195750</v>
      </c>
      <c r="J752" s="1" t="s">
        <v>16</v>
      </c>
      <c r="K752" s="1" t="s">
        <v>17</v>
      </c>
      <c r="L752" s="1" t="s">
        <v>49</v>
      </c>
      <c r="M752" s="1">
        <v>2019</v>
      </c>
      <c r="N752" s="1" t="str">
        <f t="shared" si="11"/>
        <v>Anglophone</v>
      </c>
      <c r="O752" s="3" t="str">
        <f>_xlfn.XLOOKUP(D:D,MappingTable[Brand],MappingTable[Brand Type], "not found")</f>
        <v>Beer</v>
      </c>
      <c r="P752" t="str">
        <f>_xlfn.XLOOKUP(L:L,MappingTable2[Month],MappingTable2[Quarters],"NIL")</f>
        <v>Q3</v>
      </c>
      <c r="Q752" s="1"/>
    </row>
    <row r="753" spans="1:17" x14ac:dyDescent="0.2">
      <c r="A753" s="1">
        <v>10852</v>
      </c>
      <c r="B753" s="1" t="s">
        <v>25</v>
      </c>
      <c r="C753" s="1" t="s">
        <v>26</v>
      </c>
      <c r="D753" s="1" t="s">
        <v>27</v>
      </c>
      <c r="E753" s="3">
        <v>180</v>
      </c>
      <c r="F753" s="3">
        <v>450</v>
      </c>
      <c r="G753" s="13">
        <v>708</v>
      </c>
      <c r="H753" s="3">
        <v>318600</v>
      </c>
      <c r="I753" s="3">
        <v>191160</v>
      </c>
      <c r="J753" s="1" t="s">
        <v>22</v>
      </c>
      <c r="K753" s="1" t="s">
        <v>23</v>
      </c>
      <c r="L753" s="1" t="s">
        <v>50</v>
      </c>
      <c r="M753" s="1">
        <v>2017</v>
      </c>
      <c r="N753" s="1" t="str">
        <f t="shared" si="11"/>
        <v>Anglophone</v>
      </c>
      <c r="O753" s="3" t="str">
        <f>_xlfn.XLOOKUP(D:D,MappingTable[Brand],MappingTable[Brand Type], "not found")</f>
        <v>Beer</v>
      </c>
      <c r="P753" t="str">
        <f>_xlfn.XLOOKUP(L:L,MappingTable2[Month],MappingTable2[Quarters],"NIL")</f>
        <v>Q3</v>
      </c>
      <c r="Q753" s="1"/>
    </row>
    <row r="754" spans="1:17" x14ac:dyDescent="0.2">
      <c r="A754" s="1">
        <v>10853</v>
      </c>
      <c r="B754" s="1" t="s">
        <v>31</v>
      </c>
      <c r="C754" s="1" t="s">
        <v>32</v>
      </c>
      <c r="D754" s="1" t="s">
        <v>33</v>
      </c>
      <c r="E754" s="3">
        <v>170</v>
      </c>
      <c r="F754" s="3">
        <v>250</v>
      </c>
      <c r="G754" s="13">
        <v>861</v>
      </c>
      <c r="H754" s="3">
        <v>215250</v>
      </c>
      <c r="I754" s="3">
        <v>68880</v>
      </c>
      <c r="J754" s="1" t="s">
        <v>28</v>
      </c>
      <c r="K754" s="1" t="s">
        <v>29</v>
      </c>
      <c r="L754" s="1" t="s">
        <v>53</v>
      </c>
      <c r="M754" s="1">
        <v>2017</v>
      </c>
      <c r="N754" s="1" t="str">
        <f t="shared" si="11"/>
        <v>Francophone</v>
      </c>
      <c r="O754" s="3" t="str">
        <f>_xlfn.XLOOKUP(D:D,MappingTable[Brand],MappingTable[Brand Type], "not found")</f>
        <v>Beer</v>
      </c>
      <c r="P754" t="str">
        <f>_xlfn.XLOOKUP(L:L,MappingTable2[Month],MappingTable2[Quarters],"NIL")</f>
        <v>Q3</v>
      </c>
      <c r="Q754" s="1"/>
    </row>
    <row r="755" spans="1:17" x14ac:dyDescent="0.2">
      <c r="A755" s="1">
        <v>10854</v>
      </c>
      <c r="B755" s="1" t="s">
        <v>37</v>
      </c>
      <c r="C755" s="1" t="s">
        <v>38</v>
      </c>
      <c r="D755" s="1" t="s">
        <v>39</v>
      </c>
      <c r="E755" s="3">
        <v>150</v>
      </c>
      <c r="F755" s="3">
        <v>200</v>
      </c>
      <c r="G755" s="13">
        <v>798</v>
      </c>
      <c r="H755" s="3">
        <v>159600</v>
      </c>
      <c r="I755" s="3">
        <v>39900</v>
      </c>
      <c r="J755" s="1" t="s">
        <v>34</v>
      </c>
      <c r="K755" s="1" t="s">
        <v>35</v>
      </c>
      <c r="L755" s="1" t="s">
        <v>56</v>
      </c>
      <c r="M755" s="1">
        <v>2017</v>
      </c>
      <c r="N755" s="1" t="str">
        <f t="shared" si="11"/>
        <v>Francophone</v>
      </c>
      <c r="O755" s="3" t="str">
        <f>_xlfn.XLOOKUP(D:D,MappingTable[Brand],MappingTable[Brand Type], "not found")</f>
        <v>Beer</v>
      </c>
      <c r="P755" t="str">
        <f>_xlfn.XLOOKUP(L:L,MappingTable2[Month],MappingTable2[Quarters],"NIL")</f>
        <v>Q4</v>
      </c>
      <c r="Q755" s="1"/>
    </row>
    <row r="756" spans="1:17" x14ac:dyDescent="0.2">
      <c r="A756" s="1">
        <v>10855</v>
      </c>
      <c r="B756" s="1" t="s">
        <v>13</v>
      </c>
      <c r="C756" s="1" t="s">
        <v>14</v>
      </c>
      <c r="D756" s="1" t="s">
        <v>43</v>
      </c>
      <c r="E756" s="3">
        <v>80</v>
      </c>
      <c r="F756" s="3">
        <v>150</v>
      </c>
      <c r="G756" s="13">
        <v>934</v>
      </c>
      <c r="H756" s="3">
        <v>140100</v>
      </c>
      <c r="I756" s="3">
        <v>65380</v>
      </c>
      <c r="J756" s="1" t="s">
        <v>40</v>
      </c>
      <c r="K756" s="1" t="s">
        <v>41</v>
      </c>
      <c r="L756" s="1" t="s">
        <v>59</v>
      </c>
      <c r="M756" s="1">
        <v>2019</v>
      </c>
      <c r="N756" s="1" t="str">
        <f t="shared" si="11"/>
        <v>Francophone</v>
      </c>
      <c r="O756" s="3" t="str">
        <f>_xlfn.XLOOKUP(D:D,MappingTable[Brand],MappingTable[Brand Type], "not found")</f>
        <v>Malt</v>
      </c>
      <c r="P756" t="str">
        <f>_xlfn.XLOOKUP(L:L,MappingTable2[Month],MappingTable2[Quarters],"NIL")</f>
        <v>Q4</v>
      </c>
      <c r="Q756" s="1"/>
    </row>
    <row r="757" spans="1:17" x14ac:dyDescent="0.2">
      <c r="A757" s="1">
        <v>10856</v>
      </c>
      <c r="B757" s="1" t="s">
        <v>46</v>
      </c>
      <c r="C757" s="1" t="s">
        <v>47</v>
      </c>
      <c r="D757" s="1" t="s">
        <v>48</v>
      </c>
      <c r="E757" s="3">
        <v>90</v>
      </c>
      <c r="F757" s="3">
        <v>150</v>
      </c>
      <c r="G757" s="13">
        <v>950</v>
      </c>
      <c r="H757" s="3">
        <v>142500</v>
      </c>
      <c r="I757" s="3">
        <v>57000</v>
      </c>
      <c r="J757" s="1" t="s">
        <v>16</v>
      </c>
      <c r="K757" s="1" t="s">
        <v>44</v>
      </c>
      <c r="L757" s="1" t="s">
        <v>60</v>
      </c>
      <c r="M757" s="1">
        <v>2017</v>
      </c>
      <c r="N757" s="1" t="str">
        <f t="shared" si="11"/>
        <v>Anglophone</v>
      </c>
      <c r="O757" s="3" t="str">
        <f>_xlfn.XLOOKUP(D:D,MappingTable[Brand],MappingTable[Brand Type], "not found")</f>
        <v>Malt</v>
      </c>
      <c r="P757" t="str">
        <f>_xlfn.XLOOKUP(L:L,MappingTable2[Month],MappingTable2[Quarters],"NIL")</f>
        <v>Q4</v>
      </c>
      <c r="Q757" s="1"/>
    </row>
    <row r="758" spans="1:17" x14ac:dyDescent="0.2">
      <c r="A758" s="1">
        <v>10857</v>
      </c>
      <c r="B758" s="1" t="s">
        <v>31</v>
      </c>
      <c r="C758" s="1" t="s">
        <v>32</v>
      </c>
      <c r="D758" s="1" t="s">
        <v>15</v>
      </c>
      <c r="E758" s="3">
        <v>150</v>
      </c>
      <c r="F758" s="3">
        <v>200</v>
      </c>
      <c r="G758" s="13">
        <v>986</v>
      </c>
      <c r="H758" s="3">
        <v>197200</v>
      </c>
      <c r="I758" s="3">
        <v>49300</v>
      </c>
      <c r="J758" s="1" t="s">
        <v>22</v>
      </c>
      <c r="K758" s="1" t="s">
        <v>17</v>
      </c>
      <c r="L758" s="1" t="s">
        <v>18</v>
      </c>
      <c r="M758" s="1">
        <v>2018</v>
      </c>
      <c r="N758" s="1" t="str">
        <f t="shared" si="11"/>
        <v>Anglophone</v>
      </c>
      <c r="O758" s="3" t="str">
        <f>_xlfn.XLOOKUP(D:D,MappingTable[Brand],MappingTable[Brand Type], "not found")</f>
        <v>Beer</v>
      </c>
      <c r="P758" t="str">
        <f>_xlfn.XLOOKUP(L:L,MappingTable2[Month],MappingTable2[Quarters],"NIL")</f>
        <v>Q1</v>
      </c>
      <c r="Q758" s="1"/>
    </row>
    <row r="759" spans="1:17" x14ac:dyDescent="0.2">
      <c r="A759" s="1">
        <v>10858</v>
      </c>
      <c r="B759" s="1" t="s">
        <v>51</v>
      </c>
      <c r="C759" s="1" t="s">
        <v>52</v>
      </c>
      <c r="D759" s="1" t="s">
        <v>21</v>
      </c>
      <c r="E759" s="3">
        <v>250</v>
      </c>
      <c r="F759" s="3">
        <v>500</v>
      </c>
      <c r="G759" s="13">
        <v>767</v>
      </c>
      <c r="H759" s="3">
        <v>383500</v>
      </c>
      <c r="I759" s="3">
        <v>191750</v>
      </c>
      <c r="J759" s="1" t="s">
        <v>28</v>
      </c>
      <c r="K759" s="1" t="s">
        <v>23</v>
      </c>
      <c r="L759" s="1" t="s">
        <v>24</v>
      </c>
      <c r="M759" s="1">
        <v>2017</v>
      </c>
      <c r="N759" s="1" t="str">
        <f t="shared" si="11"/>
        <v>Francophone</v>
      </c>
      <c r="O759" s="3" t="str">
        <f>_xlfn.XLOOKUP(D:D,MappingTable[Brand],MappingTable[Brand Type], "not found")</f>
        <v>Beer</v>
      </c>
      <c r="P759" t="str">
        <f>_xlfn.XLOOKUP(L:L,MappingTable2[Month],MappingTable2[Quarters],"NIL")</f>
        <v>Q1</v>
      </c>
      <c r="Q759" s="1"/>
    </row>
    <row r="760" spans="1:17" x14ac:dyDescent="0.2">
      <c r="A760" s="1">
        <v>10859</v>
      </c>
      <c r="B760" s="1" t="s">
        <v>54</v>
      </c>
      <c r="C760" s="1" t="s">
        <v>55</v>
      </c>
      <c r="D760" s="1" t="s">
        <v>27</v>
      </c>
      <c r="E760" s="3">
        <v>180</v>
      </c>
      <c r="F760" s="3">
        <v>450</v>
      </c>
      <c r="G760" s="13">
        <v>898</v>
      </c>
      <c r="H760" s="3">
        <v>404100</v>
      </c>
      <c r="I760" s="3">
        <v>242460</v>
      </c>
      <c r="J760" s="1" t="s">
        <v>34</v>
      </c>
      <c r="K760" s="1" t="s">
        <v>29</v>
      </c>
      <c r="L760" s="1" t="s">
        <v>30</v>
      </c>
      <c r="M760" s="1">
        <v>2017</v>
      </c>
      <c r="N760" s="1" t="str">
        <f t="shared" si="11"/>
        <v>Francophone</v>
      </c>
      <c r="O760" s="3" t="str">
        <f>_xlfn.XLOOKUP(D:D,MappingTable[Brand],MappingTable[Brand Type], "not found")</f>
        <v>Beer</v>
      </c>
      <c r="P760" t="str">
        <f>_xlfn.XLOOKUP(L:L,MappingTable2[Month],MappingTable2[Quarters],"NIL")</f>
        <v>Q1</v>
      </c>
      <c r="Q760" s="1"/>
    </row>
    <row r="761" spans="1:17" x14ac:dyDescent="0.2">
      <c r="A761" s="1">
        <v>10860</v>
      </c>
      <c r="B761" s="1" t="s">
        <v>57</v>
      </c>
      <c r="C761" s="1" t="s">
        <v>58</v>
      </c>
      <c r="D761" s="1" t="s">
        <v>33</v>
      </c>
      <c r="E761" s="3">
        <v>170</v>
      </c>
      <c r="F761" s="3">
        <v>250</v>
      </c>
      <c r="G761" s="13">
        <v>859</v>
      </c>
      <c r="H761" s="3">
        <v>214750</v>
      </c>
      <c r="I761" s="3">
        <v>68720</v>
      </c>
      <c r="J761" s="1" t="s">
        <v>40</v>
      </c>
      <c r="K761" s="1" t="s">
        <v>35</v>
      </c>
      <c r="L761" s="1" t="s">
        <v>36</v>
      </c>
      <c r="M761" s="1">
        <v>2018</v>
      </c>
      <c r="N761" s="1" t="str">
        <f t="shared" si="11"/>
        <v>Francophone</v>
      </c>
      <c r="O761" s="3" t="str">
        <f>_xlfn.XLOOKUP(D:D,MappingTable[Brand],MappingTable[Brand Type], "not found")</f>
        <v>Beer</v>
      </c>
      <c r="P761" t="str">
        <f>_xlfn.XLOOKUP(L:L,MappingTable2[Month],MappingTable2[Quarters],"NIL")</f>
        <v>Q2</v>
      </c>
      <c r="Q761" s="1"/>
    </row>
    <row r="762" spans="1:17" x14ac:dyDescent="0.2">
      <c r="A762" s="1">
        <v>10861</v>
      </c>
      <c r="B762" s="1" t="s">
        <v>31</v>
      </c>
      <c r="C762" s="1" t="s">
        <v>32</v>
      </c>
      <c r="D762" s="1" t="s">
        <v>39</v>
      </c>
      <c r="E762" s="3">
        <v>150</v>
      </c>
      <c r="F762" s="3">
        <v>200</v>
      </c>
      <c r="G762" s="13">
        <v>934</v>
      </c>
      <c r="H762" s="3">
        <v>186800</v>
      </c>
      <c r="I762" s="3">
        <v>46700</v>
      </c>
      <c r="J762" s="1" t="s">
        <v>16</v>
      </c>
      <c r="K762" s="1" t="s">
        <v>41</v>
      </c>
      <c r="L762" s="1" t="s">
        <v>42</v>
      </c>
      <c r="M762" s="1">
        <v>2019</v>
      </c>
      <c r="N762" s="1" t="str">
        <f t="shared" si="11"/>
        <v>Anglophone</v>
      </c>
      <c r="O762" s="3" t="str">
        <f>_xlfn.XLOOKUP(D:D,MappingTable[Brand],MappingTable[Brand Type], "not found")</f>
        <v>Beer</v>
      </c>
      <c r="P762" t="str">
        <f>_xlfn.XLOOKUP(L:L,MappingTable2[Month],MappingTable2[Quarters],"NIL")</f>
        <v>Q2</v>
      </c>
      <c r="Q762" s="1"/>
    </row>
    <row r="763" spans="1:17" x14ac:dyDescent="0.2">
      <c r="A763" s="1">
        <v>10862</v>
      </c>
      <c r="B763" s="1" t="s">
        <v>61</v>
      </c>
      <c r="C763" s="1" t="s">
        <v>62</v>
      </c>
      <c r="D763" s="1" t="s">
        <v>43</v>
      </c>
      <c r="E763" s="3">
        <v>80</v>
      </c>
      <c r="F763" s="3">
        <v>150</v>
      </c>
      <c r="G763" s="13">
        <v>879</v>
      </c>
      <c r="H763" s="3">
        <v>131850</v>
      </c>
      <c r="I763" s="3">
        <v>61530</v>
      </c>
      <c r="J763" s="1" t="s">
        <v>22</v>
      </c>
      <c r="K763" s="1" t="s">
        <v>44</v>
      </c>
      <c r="L763" s="1" t="s">
        <v>45</v>
      </c>
      <c r="M763" s="1">
        <v>2017</v>
      </c>
      <c r="N763" s="1" t="str">
        <f t="shared" si="11"/>
        <v>Anglophone</v>
      </c>
      <c r="O763" s="3" t="str">
        <f>_xlfn.XLOOKUP(D:D,MappingTable[Brand],MappingTable[Brand Type], "not found")</f>
        <v>Malt</v>
      </c>
      <c r="P763" t="str">
        <f>_xlfn.XLOOKUP(L:L,MappingTable2[Month],MappingTable2[Quarters],"NIL")</f>
        <v>Q2</v>
      </c>
      <c r="Q763" s="1"/>
    </row>
    <row r="764" spans="1:17" x14ac:dyDescent="0.2">
      <c r="A764" s="1">
        <v>10863</v>
      </c>
      <c r="B764" s="1" t="s">
        <v>31</v>
      </c>
      <c r="C764" s="1" t="s">
        <v>32</v>
      </c>
      <c r="D764" s="1" t="s">
        <v>48</v>
      </c>
      <c r="E764" s="3">
        <v>90</v>
      </c>
      <c r="F764" s="3">
        <v>150</v>
      </c>
      <c r="G764" s="13">
        <v>872</v>
      </c>
      <c r="H764" s="3">
        <v>130800</v>
      </c>
      <c r="I764" s="3">
        <v>52320</v>
      </c>
      <c r="J764" s="1" t="s">
        <v>28</v>
      </c>
      <c r="K764" s="1" t="s">
        <v>17</v>
      </c>
      <c r="L764" s="1" t="s">
        <v>49</v>
      </c>
      <c r="M764" s="1">
        <v>2017</v>
      </c>
      <c r="N764" s="1" t="str">
        <f t="shared" si="11"/>
        <v>Francophone</v>
      </c>
      <c r="O764" s="3" t="str">
        <f>_xlfn.XLOOKUP(D:D,MappingTable[Brand],MappingTable[Brand Type], "not found")</f>
        <v>Malt</v>
      </c>
      <c r="P764" t="str">
        <f>_xlfn.XLOOKUP(L:L,MappingTable2[Month],MappingTable2[Quarters],"NIL")</f>
        <v>Q3</v>
      </c>
      <c r="Q764" s="1"/>
    </row>
    <row r="765" spans="1:17" x14ac:dyDescent="0.2">
      <c r="A765" s="1">
        <v>10864</v>
      </c>
      <c r="B765" s="1" t="s">
        <v>51</v>
      </c>
      <c r="C765" s="1" t="s">
        <v>52</v>
      </c>
      <c r="D765" s="1" t="s">
        <v>15</v>
      </c>
      <c r="E765" s="3">
        <v>150</v>
      </c>
      <c r="F765" s="3">
        <v>200</v>
      </c>
      <c r="G765" s="13">
        <v>991</v>
      </c>
      <c r="H765" s="3">
        <v>198200</v>
      </c>
      <c r="I765" s="3">
        <v>49550</v>
      </c>
      <c r="J765" s="1" t="s">
        <v>34</v>
      </c>
      <c r="K765" s="1" t="s">
        <v>23</v>
      </c>
      <c r="L765" s="1" t="s">
        <v>50</v>
      </c>
      <c r="M765" s="1">
        <v>2018</v>
      </c>
      <c r="N765" s="1" t="str">
        <f t="shared" si="11"/>
        <v>Francophone</v>
      </c>
      <c r="O765" s="3" t="str">
        <f>_xlfn.XLOOKUP(D:D,MappingTable[Brand],MappingTable[Brand Type], "not found")</f>
        <v>Beer</v>
      </c>
      <c r="P765" t="str">
        <f>_xlfn.XLOOKUP(L:L,MappingTable2[Month],MappingTable2[Quarters],"NIL")</f>
        <v>Q3</v>
      </c>
      <c r="Q765" s="1"/>
    </row>
    <row r="766" spans="1:17" x14ac:dyDescent="0.2">
      <c r="A766" s="1">
        <v>10865</v>
      </c>
      <c r="B766" s="1" t="s">
        <v>31</v>
      </c>
      <c r="C766" s="1" t="s">
        <v>32</v>
      </c>
      <c r="D766" s="1" t="s">
        <v>21</v>
      </c>
      <c r="E766" s="3">
        <v>250</v>
      </c>
      <c r="F766" s="3">
        <v>500</v>
      </c>
      <c r="G766" s="13">
        <v>738</v>
      </c>
      <c r="H766" s="3">
        <v>369000</v>
      </c>
      <c r="I766" s="3">
        <v>184500</v>
      </c>
      <c r="J766" s="1" t="s">
        <v>40</v>
      </c>
      <c r="K766" s="1" t="s">
        <v>29</v>
      </c>
      <c r="L766" s="1" t="s">
        <v>53</v>
      </c>
      <c r="M766" s="1">
        <v>2018</v>
      </c>
      <c r="N766" s="1" t="str">
        <f t="shared" si="11"/>
        <v>Francophone</v>
      </c>
      <c r="O766" s="3" t="str">
        <f>_xlfn.XLOOKUP(D:D,MappingTable[Brand],MappingTable[Brand Type], "not found")</f>
        <v>Beer</v>
      </c>
      <c r="P766" t="str">
        <f>_xlfn.XLOOKUP(L:L,MappingTable2[Month],MappingTable2[Quarters],"NIL")</f>
        <v>Q3</v>
      </c>
      <c r="Q766" s="1"/>
    </row>
    <row r="767" spans="1:17" x14ac:dyDescent="0.2">
      <c r="A767" s="1">
        <v>10866</v>
      </c>
      <c r="B767" s="1" t="s">
        <v>57</v>
      </c>
      <c r="C767" s="1" t="s">
        <v>58</v>
      </c>
      <c r="D767" s="1" t="s">
        <v>27</v>
      </c>
      <c r="E767" s="3">
        <v>180</v>
      </c>
      <c r="F767" s="3">
        <v>450</v>
      </c>
      <c r="G767" s="13">
        <v>849</v>
      </c>
      <c r="H767" s="3">
        <v>382050</v>
      </c>
      <c r="I767" s="3">
        <v>229230</v>
      </c>
      <c r="J767" s="1" t="s">
        <v>16</v>
      </c>
      <c r="K767" s="1" t="s">
        <v>35</v>
      </c>
      <c r="L767" s="1" t="s">
        <v>56</v>
      </c>
      <c r="M767" s="1">
        <v>2018</v>
      </c>
      <c r="N767" s="1" t="str">
        <f t="shared" si="11"/>
        <v>Anglophone</v>
      </c>
      <c r="O767" s="3" t="str">
        <f>_xlfn.XLOOKUP(D:D,MappingTable[Brand],MappingTable[Brand Type], "not found")</f>
        <v>Beer</v>
      </c>
      <c r="P767" t="str">
        <f>_xlfn.XLOOKUP(L:L,MappingTable2[Month],MappingTable2[Quarters],"NIL")</f>
        <v>Q4</v>
      </c>
      <c r="Q767" s="1"/>
    </row>
    <row r="768" spans="1:17" x14ac:dyDescent="0.2">
      <c r="A768" s="1">
        <v>10867</v>
      </c>
      <c r="B768" s="1" t="s">
        <v>63</v>
      </c>
      <c r="C768" s="1" t="s">
        <v>64</v>
      </c>
      <c r="D768" s="1" t="s">
        <v>33</v>
      </c>
      <c r="E768" s="3">
        <v>170</v>
      </c>
      <c r="F768" s="3">
        <v>250</v>
      </c>
      <c r="G768" s="13">
        <v>997</v>
      </c>
      <c r="H768" s="3">
        <v>249250</v>
      </c>
      <c r="I768" s="3">
        <v>79760</v>
      </c>
      <c r="J768" s="1" t="s">
        <v>22</v>
      </c>
      <c r="K768" s="1" t="s">
        <v>41</v>
      </c>
      <c r="L768" s="1" t="s">
        <v>59</v>
      </c>
      <c r="M768" s="1">
        <v>2017</v>
      </c>
      <c r="N768" s="1" t="str">
        <f t="shared" si="11"/>
        <v>Anglophone</v>
      </c>
      <c r="O768" s="3" t="str">
        <f>_xlfn.XLOOKUP(D:D,MappingTable[Brand],MappingTable[Brand Type], "not found")</f>
        <v>Beer</v>
      </c>
      <c r="P768" t="str">
        <f>_xlfn.XLOOKUP(L:L,MappingTable2[Month],MappingTable2[Quarters],"NIL")</f>
        <v>Q4</v>
      </c>
      <c r="Q768" s="1"/>
    </row>
    <row r="769" spans="1:17" x14ac:dyDescent="0.2">
      <c r="A769" s="1">
        <v>10868</v>
      </c>
      <c r="B769" s="1" t="s">
        <v>61</v>
      </c>
      <c r="C769" s="1" t="s">
        <v>62</v>
      </c>
      <c r="D769" s="1" t="s">
        <v>39</v>
      </c>
      <c r="E769" s="3">
        <v>150</v>
      </c>
      <c r="F769" s="3">
        <v>200</v>
      </c>
      <c r="G769" s="13">
        <v>842</v>
      </c>
      <c r="H769" s="3">
        <v>168400</v>
      </c>
      <c r="I769" s="3">
        <v>42100</v>
      </c>
      <c r="J769" s="1" t="s">
        <v>28</v>
      </c>
      <c r="K769" s="1" t="s">
        <v>44</v>
      </c>
      <c r="L769" s="1" t="s">
        <v>60</v>
      </c>
      <c r="M769" s="1">
        <v>2017</v>
      </c>
      <c r="N769" s="1" t="str">
        <f t="shared" si="11"/>
        <v>Francophone</v>
      </c>
      <c r="O769" s="3" t="str">
        <f>_xlfn.XLOOKUP(D:D,MappingTable[Brand],MappingTable[Brand Type], "not found")</f>
        <v>Beer</v>
      </c>
      <c r="P769" t="str">
        <f>_xlfn.XLOOKUP(L:L,MappingTable2[Month],MappingTable2[Quarters],"NIL")</f>
        <v>Q4</v>
      </c>
      <c r="Q769" s="1"/>
    </row>
    <row r="770" spans="1:17" x14ac:dyDescent="0.2">
      <c r="A770" s="1">
        <v>10869</v>
      </c>
      <c r="B770" s="1" t="s">
        <v>57</v>
      </c>
      <c r="C770" s="1" t="s">
        <v>58</v>
      </c>
      <c r="D770" s="1" t="s">
        <v>43</v>
      </c>
      <c r="E770" s="3">
        <v>80</v>
      </c>
      <c r="F770" s="3">
        <v>150</v>
      </c>
      <c r="G770" s="13">
        <v>866</v>
      </c>
      <c r="H770" s="3">
        <v>129900</v>
      </c>
      <c r="I770" s="3">
        <v>60620</v>
      </c>
      <c r="J770" s="1" t="s">
        <v>34</v>
      </c>
      <c r="K770" s="1" t="s">
        <v>17</v>
      </c>
      <c r="L770" s="1" t="s">
        <v>18</v>
      </c>
      <c r="M770" s="1">
        <v>2019</v>
      </c>
      <c r="N770" s="1" t="str">
        <f t="shared" ref="N770:N833" si="12">IF(ISNUMBER(MATCH(J770,$S$7:$S$8,0)), "Anglophone","Francophone")</f>
        <v>Francophone</v>
      </c>
      <c r="O770" s="3" t="str">
        <f>_xlfn.XLOOKUP(D:D,MappingTable[Brand],MappingTable[Brand Type], "not found")</f>
        <v>Malt</v>
      </c>
      <c r="P770" t="str">
        <f>_xlfn.XLOOKUP(L:L,MappingTable2[Month],MappingTable2[Quarters],"NIL")</f>
        <v>Q1</v>
      </c>
      <c r="Q770" s="1"/>
    </row>
    <row r="771" spans="1:17" x14ac:dyDescent="0.2">
      <c r="A771" s="1">
        <v>10870</v>
      </c>
      <c r="B771" s="1" t="s">
        <v>19</v>
      </c>
      <c r="C771" s="1" t="s">
        <v>20</v>
      </c>
      <c r="D771" s="1" t="s">
        <v>48</v>
      </c>
      <c r="E771" s="3">
        <v>90</v>
      </c>
      <c r="F771" s="3">
        <v>150</v>
      </c>
      <c r="G771" s="13">
        <v>904</v>
      </c>
      <c r="H771" s="3">
        <v>135600</v>
      </c>
      <c r="I771" s="3">
        <v>54240</v>
      </c>
      <c r="J771" s="1" t="s">
        <v>40</v>
      </c>
      <c r="K771" s="1" t="s">
        <v>23</v>
      </c>
      <c r="L771" s="1" t="s">
        <v>24</v>
      </c>
      <c r="M771" s="1">
        <v>2018</v>
      </c>
      <c r="N771" s="1" t="str">
        <f t="shared" si="12"/>
        <v>Francophone</v>
      </c>
      <c r="O771" s="3" t="str">
        <f>_xlfn.XLOOKUP(D:D,MappingTable[Brand],MappingTable[Brand Type], "not found")</f>
        <v>Malt</v>
      </c>
      <c r="P771" t="str">
        <f>_xlfn.XLOOKUP(L:L,MappingTable2[Month],MappingTable2[Quarters],"NIL")</f>
        <v>Q1</v>
      </c>
      <c r="Q771" s="1"/>
    </row>
    <row r="772" spans="1:17" x14ac:dyDescent="0.2">
      <c r="A772" s="1">
        <v>10871</v>
      </c>
      <c r="B772" s="1" t="s">
        <v>61</v>
      </c>
      <c r="C772" s="1" t="s">
        <v>62</v>
      </c>
      <c r="D772" s="1" t="s">
        <v>15</v>
      </c>
      <c r="E772" s="3">
        <v>150</v>
      </c>
      <c r="F772" s="3">
        <v>200</v>
      </c>
      <c r="G772" s="13">
        <v>977</v>
      </c>
      <c r="H772" s="3">
        <v>195400</v>
      </c>
      <c r="I772" s="3">
        <v>48850</v>
      </c>
      <c r="J772" s="1" t="s">
        <v>16</v>
      </c>
      <c r="K772" s="1" t="s">
        <v>29</v>
      </c>
      <c r="L772" s="1" t="s">
        <v>30</v>
      </c>
      <c r="M772" s="1">
        <v>2018</v>
      </c>
      <c r="N772" s="1" t="str">
        <f t="shared" si="12"/>
        <v>Anglophone</v>
      </c>
      <c r="O772" s="3" t="str">
        <f>_xlfn.XLOOKUP(D:D,MappingTable[Brand],MappingTable[Brand Type], "not found")</f>
        <v>Beer</v>
      </c>
      <c r="P772" t="str">
        <f>_xlfn.XLOOKUP(L:L,MappingTable2[Month],MappingTable2[Quarters],"NIL")</f>
        <v>Q1</v>
      </c>
      <c r="Q772" s="1"/>
    </row>
    <row r="773" spans="1:17" x14ac:dyDescent="0.2">
      <c r="A773" s="1">
        <v>10872</v>
      </c>
      <c r="B773" s="1" t="s">
        <v>31</v>
      </c>
      <c r="C773" s="1" t="s">
        <v>32</v>
      </c>
      <c r="D773" s="1" t="s">
        <v>21</v>
      </c>
      <c r="E773" s="3">
        <v>250</v>
      </c>
      <c r="F773" s="3">
        <v>500</v>
      </c>
      <c r="G773" s="13">
        <v>848</v>
      </c>
      <c r="H773" s="3">
        <v>424000</v>
      </c>
      <c r="I773" s="3">
        <v>212000</v>
      </c>
      <c r="J773" s="1" t="s">
        <v>22</v>
      </c>
      <c r="K773" s="1" t="s">
        <v>35</v>
      </c>
      <c r="L773" s="1" t="s">
        <v>36</v>
      </c>
      <c r="M773" s="1">
        <v>2017</v>
      </c>
      <c r="N773" s="1" t="str">
        <f t="shared" si="12"/>
        <v>Anglophone</v>
      </c>
      <c r="O773" s="3" t="str">
        <f>_xlfn.XLOOKUP(D:D,MappingTable[Brand],MappingTable[Brand Type], "not found")</f>
        <v>Beer</v>
      </c>
      <c r="P773" t="str">
        <f>_xlfn.XLOOKUP(L:L,MappingTable2[Month],MappingTable2[Quarters],"NIL")</f>
        <v>Q2</v>
      </c>
      <c r="Q773" s="1"/>
    </row>
    <row r="774" spans="1:17" x14ac:dyDescent="0.2">
      <c r="A774" s="1">
        <v>10873</v>
      </c>
      <c r="B774" s="1" t="s">
        <v>25</v>
      </c>
      <c r="C774" s="1" t="s">
        <v>26</v>
      </c>
      <c r="D774" s="1" t="s">
        <v>27</v>
      </c>
      <c r="E774" s="3">
        <v>180</v>
      </c>
      <c r="F774" s="3">
        <v>450</v>
      </c>
      <c r="G774" s="13">
        <v>924</v>
      </c>
      <c r="H774" s="3">
        <v>415800</v>
      </c>
      <c r="I774" s="3">
        <v>249480</v>
      </c>
      <c r="J774" s="1" t="s">
        <v>28</v>
      </c>
      <c r="K774" s="1" t="s">
        <v>41</v>
      </c>
      <c r="L774" s="1" t="s">
        <v>42</v>
      </c>
      <c r="M774" s="1">
        <v>2017</v>
      </c>
      <c r="N774" s="1" t="str">
        <f t="shared" si="12"/>
        <v>Francophone</v>
      </c>
      <c r="O774" s="3" t="str">
        <f>_xlfn.XLOOKUP(D:D,MappingTable[Brand],MappingTable[Brand Type], "not found")</f>
        <v>Beer</v>
      </c>
      <c r="P774" t="str">
        <f>_xlfn.XLOOKUP(L:L,MappingTable2[Month],MappingTable2[Quarters],"NIL")</f>
        <v>Q2</v>
      </c>
      <c r="Q774" s="1"/>
    </row>
    <row r="775" spans="1:17" x14ac:dyDescent="0.2">
      <c r="A775" s="1">
        <v>10874</v>
      </c>
      <c r="B775" s="1" t="s">
        <v>13</v>
      </c>
      <c r="C775" s="1" t="s">
        <v>14</v>
      </c>
      <c r="D775" s="1" t="s">
        <v>33</v>
      </c>
      <c r="E775" s="3">
        <v>170</v>
      </c>
      <c r="F775" s="3">
        <v>250</v>
      </c>
      <c r="G775" s="13">
        <v>977</v>
      </c>
      <c r="H775" s="3">
        <v>244250</v>
      </c>
      <c r="I775" s="3">
        <v>78160</v>
      </c>
      <c r="J775" s="1" t="s">
        <v>34</v>
      </c>
      <c r="K775" s="1" t="s">
        <v>44</v>
      </c>
      <c r="L775" s="1" t="s">
        <v>45</v>
      </c>
      <c r="M775" s="1">
        <v>2019</v>
      </c>
      <c r="N775" s="1" t="str">
        <f t="shared" si="12"/>
        <v>Francophone</v>
      </c>
      <c r="O775" s="3" t="str">
        <f>_xlfn.XLOOKUP(D:D,MappingTable[Brand],MappingTable[Brand Type], "not found")</f>
        <v>Beer</v>
      </c>
      <c r="P775" t="str">
        <f>_xlfn.XLOOKUP(L:L,MappingTable2[Month],MappingTable2[Quarters],"NIL")</f>
        <v>Q2</v>
      </c>
      <c r="Q775" s="1"/>
    </row>
    <row r="776" spans="1:17" x14ac:dyDescent="0.2">
      <c r="A776" s="1">
        <v>10875</v>
      </c>
      <c r="B776" s="1" t="s">
        <v>37</v>
      </c>
      <c r="C776" s="1" t="s">
        <v>38</v>
      </c>
      <c r="D776" s="1" t="s">
        <v>39</v>
      </c>
      <c r="E776" s="3">
        <v>150</v>
      </c>
      <c r="F776" s="3">
        <v>200</v>
      </c>
      <c r="G776" s="13">
        <v>771</v>
      </c>
      <c r="H776" s="3">
        <v>154200</v>
      </c>
      <c r="I776" s="3">
        <v>38550</v>
      </c>
      <c r="J776" s="1" t="s">
        <v>40</v>
      </c>
      <c r="K776" s="1" t="s">
        <v>17</v>
      </c>
      <c r="L776" s="1" t="s">
        <v>49</v>
      </c>
      <c r="M776" s="1">
        <v>2017</v>
      </c>
      <c r="N776" s="1" t="str">
        <f t="shared" si="12"/>
        <v>Francophone</v>
      </c>
      <c r="O776" s="3" t="str">
        <f>_xlfn.XLOOKUP(D:D,MappingTable[Brand],MappingTable[Brand Type], "not found")</f>
        <v>Beer</v>
      </c>
      <c r="P776" t="str">
        <f>_xlfn.XLOOKUP(L:L,MappingTable2[Month],MappingTable2[Quarters],"NIL")</f>
        <v>Q3</v>
      </c>
      <c r="Q776" s="1"/>
    </row>
    <row r="777" spans="1:17" x14ac:dyDescent="0.2">
      <c r="A777" s="1">
        <v>10876</v>
      </c>
      <c r="B777" s="1" t="s">
        <v>54</v>
      </c>
      <c r="C777" s="1" t="s">
        <v>55</v>
      </c>
      <c r="D777" s="1" t="s">
        <v>43</v>
      </c>
      <c r="E777" s="3">
        <v>80</v>
      </c>
      <c r="F777" s="3">
        <v>150</v>
      </c>
      <c r="G777" s="13">
        <v>862</v>
      </c>
      <c r="H777" s="3">
        <v>129300</v>
      </c>
      <c r="I777" s="3">
        <v>60340</v>
      </c>
      <c r="J777" s="1" t="s">
        <v>16</v>
      </c>
      <c r="K777" s="1" t="s">
        <v>23</v>
      </c>
      <c r="L777" s="1" t="s">
        <v>50</v>
      </c>
      <c r="M777" s="1">
        <v>2017</v>
      </c>
      <c r="N777" s="1" t="str">
        <f t="shared" si="12"/>
        <v>Anglophone</v>
      </c>
      <c r="O777" s="3" t="str">
        <f>_xlfn.XLOOKUP(D:D,MappingTable[Brand],MappingTable[Brand Type], "not found")</f>
        <v>Malt</v>
      </c>
      <c r="P777" t="str">
        <f>_xlfn.XLOOKUP(L:L,MappingTable2[Month],MappingTable2[Quarters],"NIL")</f>
        <v>Q3</v>
      </c>
      <c r="Q777" s="1"/>
    </row>
    <row r="778" spans="1:17" x14ac:dyDescent="0.2">
      <c r="A778" s="1">
        <v>10877</v>
      </c>
      <c r="B778" s="1" t="s">
        <v>19</v>
      </c>
      <c r="C778" s="1" t="s">
        <v>20</v>
      </c>
      <c r="D778" s="1" t="s">
        <v>48</v>
      </c>
      <c r="E778" s="3">
        <v>90</v>
      </c>
      <c r="F778" s="3">
        <v>150</v>
      </c>
      <c r="G778" s="13">
        <v>716</v>
      </c>
      <c r="H778" s="3">
        <v>107400</v>
      </c>
      <c r="I778" s="3">
        <v>42960</v>
      </c>
      <c r="J778" s="1" t="s">
        <v>22</v>
      </c>
      <c r="K778" s="1" t="s">
        <v>29</v>
      </c>
      <c r="L778" s="1" t="s">
        <v>53</v>
      </c>
      <c r="M778" s="1">
        <v>2019</v>
      </c>
      <c r="N778" s="1" t="str">
        <f t="shared" si="12"/>
        <v>Anglophone</v>
      </c>
      <c r="O778" s="3" t="str">
        <f>_xlfn.XLOOKUP(D:D,MappingTable[Brand],MappingTable[Brand Type], "not found")</f>
        <v>Malt</v>
      </c>
      <c r="P778" t="str">
        <f>_xlfn.XLOOKUP(L:L,MappingTable2[Month],MappingTable2[Quarters],"NIL")</f>
        <v>Q3</v>
      </c>
      <c r="Q778" s="1"/>
    </row>
    <row r="779" spans="1:17" x14ac:dyDescent="0.2">
      <c r="A779" s="1">
        <v>10878</v>
      </c>
      <c r="B779" s="1" t="s">
        <v>19</v>
      </c>
      <c r="C779" s="1" t="s">
        <v>20</v>
      </c>
      <c r="D779" s="1" t="s">
        <v>15</v>
      </c>
      <c r="E779" s="3">
        <v>150</v>
      </c>
      <c r="F779" s="3">
        <v>200</v>
      </c>
      <c r="G779" s="13">
        <v>923</v>
      </c>
      <c r="H779" s="3">
        <v>184600</v>
      </c>
      <c r="I779" s="3">
        <v>46150</v>
      </c>
      <c r="J779" s="1" t="s">
        <v>28</v>
      </c>
      <c r="K779" s="1" t="s">
        <v>35</v>
      </c>
      <c r="L779" s="1" t="s">
        <v>56</v>
      </c>
      <c r="M779" s="1">
        <v>2017</v>
      </c>
      <c r="N779" s="1" t="str">
        <f t="shared" si="12"/>
        <v>Francophone</v>
      </c>
      <c r="O779" s="3" t="str">
        <f>_xlfn.XLOOKUP(D:D,MappingTable[Brand],MappingTable[Brand Type], "not found")</f>
        <v>Beer</v>
      </c>
      <c r="P779" t="str">
        <f>_xlfn.XLOOKUP(L:L,MappingTable2[Month],MappingTable2[Quarters],"NIL")</f>
        <v>Q4</v>
      </c>
      <c r="Q779" s="1"/>
    </row>
    <row r="780" spans="1:17" x14ac:dyDescent="0.2">
      <c r="A780" s="1">
        <v>10879</v>
      </c>
      <c r="B780" s="1" t="s">
        <v>63</v>
      </c>
      <c r="C780" s="1" t="s">
        <v>64</v>
      </c>
      <c r="D780" s="1" t="s">
        <v>21</v>
      </c>
      <c r="E780" s="3">
        <v>250</v>
      </c>
      <c r="F780" s="3">
        <v>500</v>
      </c>
      <c r="G780" s="13">
        <v>729</v>
      </c>
      <c r="H780" s="3">
        <v>364500</v>
      </c>
      <c r="I780" s="3">
        <v>182250</v>
      </c>
      <c r="J780" s="1" t="s">
        <v>34</v>
      </c>
      <c r="K780" s="1" t="s">
        <v>41</v>
      </c>
      <c r="L780" s="1" t="s">
        <v>59</v>
      </c>
      <c r="M780" s="1">
        <v>2018</v>
      </c>
      <c r="N780" s="1" t="str">
        <f t="shared" si="12"/>
        <v>Francophone</v>
      </c>
      <c r="O780" s="3" t="str">
        <f>_xlfn.XLOOKUP(D:D,MappingTable[Brand],MappingTable[Brand Type], "not found")</f>
        <v>Beer</v>
      </c>
      <c r="P780" t="str">
        <f>_xlfn.XLOOKUP(L:L,MappingTable2[Month],MappingTable2[Quarters],"NIL")</f>
        <v>Q4</v>
      </c>
      <c r="Q780" s="1"/>
    </row>
    <row r="781" spans="1:17" x14ac:dyDescent="0.2">
      <c r="A781" s="1">
        <v>10880</v>
      </c>
      <c r="B781" s="1" t="s">
        <v>31</v>
      </c>
      <c r="C781" s="1" t="s">
        <v>32</v>
      </c>
      <c r="D781" s="1" t="s">
        <v>27</v>
      </c>
      <c r="E781" s="3">
        <v>180</v>
      </c>
      <c r="F781" s="3">
        <v>450</v>
      </c>
      <c r="G781" s="13">
        <v>766</v>
      </c>
      <c r="H781" s="3">
        <v>344700</v>
      </c>
      <c r="I781" s="3">
        <v>206820</v>
      </c>
      <c r="J781" s="1" t="s">
        <v>40</v>
      </c>
      <c r="K781" s="1" t="s">
        <v>44</v>
      </c>
      <c r="L781" s="1" t="s">
        <v>60</v>
      </c>
      <c r="M781" s="1">
        <v>2017</v>
      </c>
      <c r="N781" s="1" t="str">
        <f t="shared" si="12"/>
        <v>Francophone</v>
      </c>
      <c r="O781" s="3" t="str">
        <f>_xlfn.XLOOKUP(D:D,MappingTable[Brand],MappingTable[Brand Type], "not found")</f>
        <v>Beer</v>
      </c>
      <c r="P781" t="str">
        <f>_xlfn.XLOOKUP(L:L,MappingTable2[Month],MappingTable2[Quarters],"NIL")</f>
        <v>Q4</v>
      </c>
      <c r="Q781" s="1"/>
    </row>
    <row r="782" spans="1:17" x14ac:dyDescent="0.2">
      <c r="A782" s="1">
        <v>10881</v>
      </c>
      <c r="B782" s="1" t="s">
        <v>51</v>
      </c>
      <c r="C782" s="1" t="s">
        <v>52</v>
      </c>
      <c r="D782" s="1" t="s">
        <v>33</v>
      </c>
      <c r="E782" s="3">
        <v>170</v>
      </c>
      <c r="F782" s="3">
        <v>250</v>
      </c>
      <c r="G782" s="13">
        <v>704</v>
      </c>
      <c r="H782" s="3">
        <v>176000</v>
      </c>
      <c r="I782" s="3">
        <v>56320</v>
      </c>
      <c r="J782" s="1" t="s">
        <v>16</v>
      </c>
      <c r="K782" s="1" t="s">
        <v>17</v>
      </c>
      <c r="L782" s="1" t="s">
        <v>18</v>
      </c>
      <c r="M782" s="1">
        <v>2019</v>
      </c>
      <c r="N782" s="1" t="str">
        <f t="shared" si="12"/>
        <v>Anglophone</v>
      </c>
      <c r="O782" s="3" t="str">
        <f>_xlfn.XLOOKUP(D:D,MappingTable[Brand],MappingTable[Brand Type], "not found")</f>
        <v>Beer</v>
      </c>
      <c r="P782" t="str">
        <f>_xlfn.XLOOKUP(L:L,MappingTable2[Month],MappingTable2[Quarters],"NIL")</f>
        <v>Q1</v>
      </c>
      <c r="Q782" s="1"/>
    </row>
    <row r="783" spans="1:17" x14ac:dyDescent="0.2">
      <c r="A783" s="1">
        <v>10882</v>
      </c>
      <c r="B783" s="1" t="s">
        <v>63</v>
      </c>
      <c r="C783" s="1" t="s">
        <v>64</v>
      </c>
      <c r="D783" s="1" t="s">
        <v>39</v>
      </c>
      <c r="E783" s="3">
        <v>150</v>
      </c>
      <c r="F783" s="3">
        <v>200</v>
      </c>
      <c r="G783" s="13">
        <v>823</v>
      </c>
      <c r="H783" s="3">
        <v>164600</v>
      </c>
      <c r="I783" s="3">
        <v>41150</v>
      </c>
      <c r="J783" s="1" t="s">
        <v>22</v>
      </c>
      <c r="K783" s="1" t="s">
        <v>23</v>
      </c>
      <c r="L783" s="1" t="s">
        <v>24</v>
      </c>
      <c r="M783" s="1">
        <v>2018</v>
      </c>
      <c r="N783" s="1" t="str">
        <f t="shared" si="12"/>
        <v>Anglophone</v>
      </c>
      <c r="O783" s="3" t="str">
        <f>_xlfn.XLOOKUP(D:D,MappingTable[Brand],MappingTable[Brand Type], "not found")</f>
        <v>Beer</v>
      </c>
      <c r="P783" t="str">
        <f>_xlfn.XLOOKUP(L:L,MappingTable2[Month],MappingTable2[Quarters],"NIL")</f>
        <v>Q1</v>
      </c>
      <c r="Q783" s="1"/>
    </row>
    <row r="784" spans="1:17" x14ac:dyDescent="0.2">
      <c r="A784" s="1">
        <v>10883</v>
      </c>
      <c r="B784" s="1" t="s">
        <v>25</v>
      </c>
      <c r="C784" s="1" t="s">
        <v>26</v>
      </c>
      <c r="D784" s="1" t="s">
        <v>43</v>
      </c>
      <c r="E784" s="3">
        <v>80</v>
      </c>
      <c r="F784" s="3">
        <v>150</v>
      </c>
      <c r="G784" s="13">
        <v>869</v>
      </c>
      <c r="H784" s="3">
        <v>130350</v>
      </c>
      <c r="I784" s="3">
        <v>60830</v>
      </c>
      <c r="J784" s="1" t="s">
        <v>28</v>
      </c>
      <c r="K784" s="1" t="s">
        <v>29</v>
      </c>
      <c r="L784" s="1" t="s">
        <v>30</v>
      </c>
      <c r="M784" s="1">
        <v>2017</v>
      </c>
      <c r="N784" s="1" t="str">
        <f t="shared" si="12"/>
        <v>Francophone</v>
      </c>
      <c r="O784" s="3" t="str">
        <f>_xlfn.XLOOKUP(D:D,MappingTable[Brand],MappingTable[Brand Type], "not found")</f>
        <v>Malt</v>
      </c>
      <c r="P784" t="str">
        <f>_xlfn.XLOOKUP(L:L,MappingTable2[Month],MappingTable2[Quarters],"NIL")</f>
        <v>Q1</v>
      </c>
      <c r="Q784" s="1"/>
    </row>
    <row r="785" spans="1:17" x14ac:dyDescent="0.2">
      <c r="A785" s="1">
        <v>10884</v>
      </c>
      <c r="B785" s="1" t="s">
        <v>19</v>
      </c>
      <c r="C785" s="1" t="s">
        <v>20</v>
      </c>
      <c r="D785" s="1" t="s">
        <v>48</v>
      </c>
      <c r="E785" s="3">
        <v>90</v>
      </c>
      <c r="F785" s="3">
        <v>150</v>
      </c>
      <c r="G785" s="13">
        <v>928</v>
      </c>
      <c r="H785" s="3">
        <v>139200</v>
      </c>
      <c r="I785" s="3">
        <v>55680</v>
      </c>
      <c r="J785" s="1" t="s">
        <v>34</v>
      </c>
      <c r="K785" s="1" t="s">
        <v>35</v>
      </c>
      <c r="L785" s="1" t="s">
        <v>36</v>
      </c>
      <c r="M785" s="1">
        <v>2019</v>
      </c>
      <c r="N785" s="1" t="str">
        <f t="shared" si="12"/>
        <v>Francophone</v>
      </c>
      <c r="O785" s="3" t="str">
        <f>_xlfn.XLOOKUP(D:D,MappingTable[Brand],MappingTable[Brand Type], "not found")</f>
        <v>Malt</v>
      </c>
      <c r="P785" t="str">
        <f>_xlfn.XLOOKUP(L:L,MappingTable2[Month],MappingTable2[Quarters],"NIL")</f>
        <v>Q2</v>
      </c>
      <c r="Q785" s="1"/>
    </row>
    <row r="786" spans="1:17" x14ac:dyDescent="0.2">
      <c r="A786" s="1">
        <v>10885</v>
      </c>
      <c r="B786" s="1" t="s">
        <v>25</v>
      </c>
      <c r="C786" s="1" t="s">
        <v>26</v>
      </c>
      <c r="D786" s="1" t="s">
        <v>15</v>
      </c>
      <c r="E786" s="3">
        <v>150</v>
      </c>
      <c r="F786" s="3">
        <v>200</v>
      </c>
      <c r="G786" s="13">
        <v>903</v>
      </c>
      <c r="H786" s="3">
        <v>180600</v>
      </c>
      <c r="I786" s="3">
        <v>45150</v>
      </c>
      <c r="J786" s="1" t="s">
        <v>40</v>
      </c>
      <c r="K786" s="1" t="s">
        <v>41</v>
      </c>
      <c r="L786" s="1" t="s">
        <v>42</v>
      </c>
      <c r="M786" s="1">
        <v>2019</v>
      </c>
      <c r="N786" s="1" t="str">
        <f t="shared" si="12"/>
        <v>Francophone</v>
      </c>
      <c r="O786" s="3" t="str">
        <f>_xlfn.XLOOKUP(D:D,MappingTable[Brand],MappingTable[Brand Type], "not found")</f>
        <v>Beer</v>
      </c>
      <c r="P786" t="str">
        <f>_xlfn.XLOOKUP(L:L,MappingTable2[Month],MappingTable2[Quarters],"NIL")</f>
        <v>Q2</v>
      </c>
      <c r="Q786" s="1"/>
    </row>
    <row r="787" spans="1:17" x14ac:dyDescent="0.2">
      <c r="A787" s="1">
        <v>10886</v>
      </c>
      <c r="B787" s="1" t="s">
        <v>46</v>
      </c>
      <c r="C787" s="1" t="s">
        <v>47</v>
      </c>
      <c r="D787" s="1" t="s">
        <v>21</v>
      </c>
      <c r="E787" s="3">
        <v>250</v>
      </c>
      <c r="F787" s="3">
        <v>500</v>
      </c>
      <c r="G787" s="13">
        <v>916</v>
      </c>
      <c r="H787" s="3">
        <v>458000</v>
      </c>
      <c r="I787" s="3">
        <v>229000</v>
      </c>
      <c r="J787" s="1" t="s">
        <v>16</v>
      </c>
      <c r="K787" s="1" t="s">
        <v>44</v>
      </c>
      <c r="L787" s="1" t="s">
        <v>45</v>
      </c>
      <c r="M787" s="1">
        <v>2018</v>
      </c>
      <c r="N787" s="1" t="str">
        <f t="shared" si="12"/>
        <v>Anglophone</v>
      </c>
      <c r="O787" s="3" t="str">
        <f>_xlfn.XLOOKUP(D:D,MappingTable[Brand],MappingTable[Brand Type], "not found")</f>
        <v>Beer</v>
      </c>
      <c r="P787" t="str">
        <f>_xlfn.XLOOKUP(L:L,MappingTable2[Month],MappingTable2[Quarters],"NIL")</f>
        <v>Q2</v>
      </c>
      <c r="Q787" s="1"/>
    </row>
    <row r="788" spans="1:17" x14ac:dyDescent="0.2">
      <c r="A788" s="1">
        <v>10887</v>
      </c>
      <c r="B788" s="1" t="s">
        <v>37</v>
      </c>
      <c r="C788" s="1" t="s">
        <v>38</v>
      </c>
      <c r="D788" s="1" t="s">
        <v>27</v>
      </c>
      <c r="E788" s="3">
        <v>180</v>
      </c>
      <c r="F788" s="3">
        <v>450</v>
      </c>
      <c r="G788" s="13">
        <v>988</v>
      </c>
      <c r="H788" s="3">
        <v>444600</v>
      </c>
      <c r="I788" s="3">
        <v>266760</v>
      </c>
      <c r="J788" s="1" t="s">
        <v>22</v>
      </c>
      <c r="K788" s="1" t="s">
        <v>17</v>
      </c>
      <c r="L788" s="1" t="s">
        <v>49</v>
      </c>
      <c r="M788" s="1">
        <v>2018</v>
      </c>
      <c r="N788" s="1" t="str">
        <f t="shared" si="12"/>
        <v>Anglophone</v>
      </c>
      <c r="O788" s="3" t="str">
        <f>_xlfn.XLOOKUP(D:D,MappingTable[Brand],MappingTable[Brand Type], "not found")</f>
        <v>Beer</v>
      </c>
      <c r="P788" t="str">
        <f>_xlfn.XLOOKUP(L:L,MappingTable2[Month],MappingTable2[Quarters],"NIL")</f>
        <v>Q3</v>
      </c>
      <c r="Q788" s="1"/>
    </row>
    <row r="789" spans="1:17" x14ac:dyDescent="0.2">
      <c r="A789" s="1">
        <v>10888</v>
      </c>
      <c r="B789" s="1" t="s">
        <v>13</v>
      </c>
      <c r="C789" s="1" t="s">
        <v>14</v>
      </c>
      <c r="D789" s="1" t="s">
        <v>33</v>
      </c>
      <c r="E789" s="3">
        <v>170</v>
      </c>
      <c r="F789" s="3">
        <v>250</v>
      </c>
      <c r="G789" s="13">
        <v>905</v>
      </c>
      <c r="H789" s="3">
        <v>226250</v>
      </c>
      <c r="I789" s="3">
        <v>72400</v>
      </c>
      <c r="J789" s="1" t="s">
        <v>28</v>
      </c>
      <c r="K789" s="1" t="s">
        <v>23</v>
      </c>
      <c r="L789" s="1" t="s">
        <v>50</v>
      </c>
      <c r="M789" s="1">
        <v>2017</v>
      </c>
      <c r="N789" s="1" t="str">
        <f t="shared" si="12"/>
        <v>Francophone</v>
      </c>
      <c r="O789" s="3" t="str">
        <f>_xlfn.XLOOKUP(D:D,MappingTable[Brand],MappingTable[Brand Type], "not found")</f>
        <v>Beer</v>
      </c>
      <c r="P789" t="str">
        <f>_xlfn.XLOOKUP(L:L,MappingTable2[Month],MappingTable2[Quarters],"NIL")</f>
        <v>Q3</v>
      </c>
      <c r="Q789" s="1"/>
    </row>
    <row r="790" spans="1:17" x14ac:dyDescent="0.2">
      <c r="A790" s="1">
        <v>10889</v>
      </c>
      <c r="B790" s="1" t="s">
        <v>13</v>
      </c>
      <c r="C790" s="1" t="s">
        <v>14</v>
      </c>
      <c r="D790" s="1" t="s">
        <v>39</v>
      </c>
      <c r="E790" s="3">
        <v>150</v>
      </c>
      <c r="F790" s="3">
        <v>200</v>
      </c>
      <c r="G790" s="13">
        <v>947</v>
      </c>
      <c r="H790" s="3">
        <v>189400</v>
      </c>
      <c r="I790" s="3">
        <v>47350</v>
      </c>
      <c r="J790" s="1" t="s">
        <v>34</v>
      </c>
      <c r="K790" s="1" t="s">
        <v>29</v>
      </c>
      <c r="L790" s="1" t="s">
        <v>53</v>
      </c>
      <c r="M790" s="1">
        <v>2018</v>
      </c>
      <c r="N790" s="1" t="str">
        <f t="shared" si="12"/>
        <v>Francophone</v>
      </c>
      <c r="O790" s="3" t="str">
        <f>_xlfn.XLOOKUP(D:D,MappingTable[Brand],MappingTable[Brand Type], "not found")</f>
        <v>Beer</v>
      </c>
      <c r="P790" t="str">
        <f>_xlfn.XLOOKUP(L:L,MappingTable2[Month],MappingTable2[Quarters],"NIL")</f>
        <v>Q3</v>
      </c>
      <c r="Q790" s="1"/>
    </row>
    <row r="791" spans="1:17" x14ac:dyDescent="0.2">
      <c r="A791" s="1">
        <v>10890</v>
      </c>
      <c r="B791" s="1" t="s">
        <v>37</v>
      </c>
      <c r="C791" s="1" t="s">
        <v>38</v>
      </c>
      <c r="D791" s="1" t="s">
        <v>43</v>
      </c>
      <c r="E791" s="3">
        <v>80</v>
      </c>
      <c r="F791" s="3">
        <v>150</v>
      </c>
      <c r="G791" s="13">
        <v>926</v>
      </c>
      <c r="H791" s="3">
        <v>138900</v>
      </c>
      <c r="I791" s="3">
        <v>64820</v>
      </c>
      <c r="J791" s="1" t="s">
        <v>40</v>
      </c>
      <c r="K791" s="1" t="s">
        <v>35</v>
      </c>
      <c r="L791" s="1" t="s">
        <v>56</v>
      </c>
      <c r="M791" s="1">
        <v>2017</v>
      </c>
      <c r="N791" s="1" t="str">
        <f t="shared" si="12"/>
        <v>Francophone</v>
      </c>
      <c r="O791" s="3" t="str">
        <f>_xlfn.XLOOKUP(D:D,MappingTable[Brand],MappingTable[Brand Type], "not found")</f>
        <v>Malt</v>
      </c>
      <c r="P791" t="str">
        <f>_xlfn.XLOOKUP(L:L,MappingTable2[Month],MappingTable2[Quarters],"NIL")</f>
        <v>Q4</v>
      </c>
      <c r="Q791" s="1"/>
    </row>
    <row r="792" spans="1:17" x14ac:dyDescent="0.2">
      <c r="A792" s="1">
        <v>10891</v>
      </c>
      <c r="B792" s="1" t="s">
        <v>13</v>
      </c>
      <c r="C792" s="1" t="s">
        <v>14</v>
      </c>
      <c r="D792" s="1" t="s">
        <v>48</v>
      </c>
      <c r="E792" s="3">
        <v>90</v>
      </c>
      <c r="F792" s="3">
        <v>150</v>
      </c>
      <c r="G792" s="13">
        <v>907</v>
      </c>
      <c r="H792" s="3">
        <v>136050</v>
      </c>
      <c r="I792" s="3">
        <v>54420</v>
      </c>
      <c r="J792" s="1" t="s">
        <v>16</v>
      </c>
      <c r="K792" s="1" t="s">
        <v>41</v>
      </c>
      <c r="L792" s="1" t="s">
        <v>59</v>
      </c>
      <c r="M792" s="1">
        <v>2019</v>
      </c>
      <c r="N792" s="1" t="str">
        <f t="shared" si="12"/>
        <v>Anglophone</v>
      </c>
      <c r="O792" s="3" t="str">
        <f>_xlfn.XLOOKUP(D:D,MappingTable[Brand],MappingTable[Brand Type], "not found")</f>
        <v>Malt</v>
      </c>
      <c r="P792" t="str">
        <f>_xlfn.XLOOKUP(L:L,MappingTable2[Month],MappingTable2[Quarters],"NIL")</f>
        <v>Q4</v>
      </c>
      <c r="Q792" s="1"/>
    </row>
    <row r="793" spans="1:17" x14ac:dyDescent="0.2">
      <c r="A793" s="1">
        <v>10892</v>
      </c>
      <c r="B793" s="1" t="s">
        <v>19</v>
      </c>
      <c r="C793" s="1" t="s">
        <v>20</v>
      </c>
      <c r="D793" s="1" t="s">
        <v>15</v>
      </c>
      <c r="E793" s="3">
        <v>150</v>
      </c>
      <c r="F793" s="3">
        <v>200</v>
      </c>
      <c r="G793" s="13">
        <v>848</v>
      </c>
      <c r="H793" s="3">
        <v>169600</v>
      </c>
      <c r="I793" s="3">
        <v>42400</v>
      </c>
      <c r="J793" s="1" t="s">
        <v>22</v>
      </c>
      <c r="K793" s="1" t="s">
        <v>44</v>
      </c>
      <c r="L793" s="1" t="s">
        <v>60</v>
      </c>
      <c r="M793" s="1">
        <v>2019</v>
      </c>
      <c r="N793" s="1" t="str">
        <f t="shared" si="12"/>
        <v>Anglophone</v>
      </c>
      <c r="O793" s="3" t="str">
        <f>_xlfn.XLOOKUP(D:D,MappingTable[Brand],MappingTable[Brand Type], "not found")</f>
        <v>Beer</v>
      </c>
      <c r="P793" t="str">
        <f>_xlfn.XLOOKUP(L:L,MappingTable2[Month],MappingTable2[Quarters],"NIL")</f>
        <v>Q4</v>
      </c>
      <c r="Q793" s="1"/>
    </row>
    <row r="794" spans="1:17" x14ac:dyDescent="0.2">
      <c r="A794" s="1">
        <v>10893</v>
      </c>
      <c r="B794" s="1" t="s">
        <v>25</v>
      </c>
      <c r="C794" s="1" t="s">
        <v>26</v>
      </c>
      <c r="D794" s="1" t="s">
        <v>21</v>
      </c>
      <c r="E794" s="3">
        <v>250</v>
      </c>
      <c r="F794" s="3">
        <v>500</v>
      </c>
      <c r="G794" s="13">
        <v>878</v>
      </c>
      <c r="H794" s="3">
        <v>439000</v>
      </c>
      <c r="I794" s="3">
        <v>219500</v>
      </c>
      <c r="J794" s="1" t="s">
        <v>28</v>
      </c>
      <c r="K794" s="1" t="s">
        <v>17</v>
      </c>
      <c r="L794" s="1" t="s">
        <v>18</v>
      </c>
      <c r="M794" s="1">
        <v>2017</v>
      </c>
      <c r="N794" s="1" t="str">
        <f t="shared" si="12"/>
        <v>Francophone</v>
      </c>
      <c r="O794" s="3" t="str">
        <f>_xlfn.XLOOKUP(D:D,MappingTable[Brand],MappingTable[Brand Type], "not found")</f>
        <v>Beer</v>
      </c>
      <c r="P794" t="str">
        <f>_xlfn.XLOOKUP(L:L,MappingTable2[Month],MappingTable2[Quarters],"NIL")</f>
        <v>Q1</v>
      </c>
      <c r="Q794" s="1"/>
    </row>
    <row r="795" spans="1:17" x14ac:dyDescent="0.2">
      <c r="A795" s="1">
        <v>10894</v>
      </c>
      <c r="B795" s="1" t="s">
        <v>31</v>
      </c>
      <c r="C795" s="1" t="s">
        <v>32</v>
      </c>
      <c r="D795" s="1" t="s">
        <v>27</v>
      </c>
      <c r="E795" s="3">
        <v>180</v>
      </c>
      <c r="F795" s="3">
        <v>450</v>
      </c>
      <c r="G795" s="13">
        <v>706</v>
      </c>
      <c r="H795" s="3">
        <v>317700</v>
      </c>
      <c r="I795" s="3">
        <v>190620</v>
      </c>
      <c r="J795" s="1" t="s">
        <v>34</v>
      </c>
      <c r="K795" s="1" t="s">
        <v>23</v>
      </c>
      <c r="L795" s="1" t="s">
        <v>24</v>
      </c>
      <c r="M795" s="1">
        <v>2018</v>
      </c>
      <c r="N795" s="1" t="str">
        <f t="shared" si="12"/>
        <v>Francophone</v>
      </c>
      <c r="O795" s="3" t="str">
        <f>_xlfn.XLOOKUP(D:D,MappingTable[Brand],MappingTable[Brand Type], "not found")</f>
        <v>Beer</v>
      </c>
      <c r="P795" t="str">
        <f>_xlfn.XLOOKUP(L:L,MappingTable2[Month],MappingTable2[Quarters],"NIL")</f>
        <v>Q1</v>
      </c>
      <c r="Q795" s="1"/>
    </row>
    <row r="796" spans="1:17" x14ac:dyDescent="0.2">
      <c r="A796" s="1">
        <v>10895</v>
      </c>
      <c r="B796" s="1" t="s">
        <v>37</v>
      </c>
      <c r="C796" s="1" t="s">
        <v>38</v>
      </c>
      <c r="D796" s="1" t="s">
        <v>33</v>
      </c>
      <c r="E796" s="3">
        <v>170</v>
      </c>
      <c r="F796" s="3">
        <v>250</v>
      </c>
      <c r="G796" s="13">
        <v>781</v>
      </c>
      <c r="H796" s="3">
        <v>195250</v>
      </c>
      <c r="I796" s="3">
        <v>62480</v>
      </c>
      <c r="J796" s="1" t="s">
        <v>40</v>
      </c>
      <c r="K796" s="1" t="s">
        <v>29</v>
      </c>
      <c r="L796" s="1" t="s">
        <v>30</v>
      </c>
      <c r="M796" s="1">
        <v>2019</v>
      </c>
      <c r="N796" s="1" t="str">
        <f t="shared" si="12"/>
        <v>Francophone</v>
      </c>
      <c r="O796" s="3" t="str">
        <f>_xlfn.XLOOKUP(D:D,MappingTable[Brand],MappingTable[Brand Type], "not found")</f>
        <v>Beer</v>
      </c>
      <c r="P796" t="str">
        <f>_xlfn.XLOOKUP(L:L,MappingTable2[Month],MappingTable2[Quarters],"NIL")</f>
        <v>Q1</v>
      </c>
      <c r="Q796" s="1"/>
    </row>
    <row r="797" spans="1:17" x14ac:dyDescent="0.2">
      <c r="A797" s="1">
        <v>10896</v>
      </c>
      <c r="B797" s="1" t="s">
        <v>13</v>
      </c>
      <c r="C797" s="1" t="s">
        <v>14</v>
      </c>
      <c r="D797" s="1" t="s">
        <v>39</v>
      </c>
      <c r="E797" s="3">
        <v>150</v>
      </c>
      <c r="F797" s="3">
        <v>200</v>
      </c>
      <c r="G797" s="13">
        <v>818</v>
      </c>
      <c r="H797" s="3">
        <v>163600</v>
      </c>
      <c r="I797" s="3">
        <v>40900</v>
      </c>
      <c r="J797" s="1" t="s">
        <v>16</v>
      </c>
      <c r="K797" s="1" t="s">
        <v>35</v>
      </c>
      <c r="L797" s="1" t="s">
        <v>36</v>
      </c>
      <c r="M797" s="1">
        <v>2017</v>
      </c>
      <c r="N797" s="1" t="str">
        <f t="shared" si="12"/>
        <v>Anglophone</v>
      </c>
      <c r="O797" s="3" t="str">
        <f>_xlfn.XLOOKUP(D:D,MappingTable[Brand],MappingTable[Brand Type], "not found")</f>
        <v>Beer</v>
      </c>
      <c r="P797" t="str">
        <f>_xlfn.XLOOKUP(L:L,MappingTable2[Month],MappingTable2[Quarters],"NIL")</f>
        <v>Q2</v>
      </c>
      <c r="Q797" s="1"/>
    </row>
    <row r="798" spans="1:17" x14ac:dyDescent="0.2">
      <c r="A798" s="1">
        <v>10897</v>
      </c>
      <c r="B798" s="1" t="s">
        <v>46</v>
      </c>
      <c r="C798" s="1" t="s">
        <v>47</v>
      </c>
      <c r="D798" s="1" t="s">
        <v>43</v>
      </c>
      <c r="E798" s="3">
        <v>80</v>
      </c>
      <c r="F798" s="3">
        <v>150</v>
      </c>
      <c r="G798" s="13">
        <v>852</v>
      </c>
      <c r="H798" s="3">
        <v>127800</v>
      </c>
      <c r="I798" s="3">
        <v>59640</v>
      </c>
      <c r="J798" s="1" t="s">
        <v>22</v>
      </c>
      <c r="K798" s="1" t="s">
        <v>41</v>
      </c>
      <c r="L798" s="1" t="s">
        <v>42</v>
      </c>
      <c r="M798" s="1">
        <v>2017</v>
      </c>
      <c r="N798" s="1" t="str">
        <f t="shared" si="12"/>
        <v>Anglophone</v>
      </c>
      <c r="O798" s="3" t="str">
        <f>_xlfn.XLOOKUP(D:D,MappingTable[Brand],MappingTable[Brand Type], "not found")</f>
        <v>Malt</v>
      </c>
      <c r="P798" t="str">
        <f>_xlfn.XLOOKUP(L:L,MappingTable2[Month],MappingTable2[Quarters],"NIL")</f>
        <v>Q2</v>
      </c>
      <c r="Q798" s="1"/>
    </row>
    <row r="799" spans="1:17" x14ac:dyDescent="0.2">
      <c r="A799" s="1">
        <v>10898</v>
      </c>
      <c r="B799" s="1" t="s">
        <v>31</v>
      </c>
      <c r="C799" s="1" t="s">
        <v>32</v>
      </c>
      <c r="D799" s="1" t="s">
        <v>48</v>
      </c>
      <c r="E799" s="3">
        <v>90</v>
      </c>
      <c r="F799" s="3">
        <v>150</v>
      </c>
      <c r="G799" s="13">
        <v>786</v>
      </c>
      <c r="H799" s="3">
        <v>117900</v>
      </c>
      <c r="I799" s="3">
        <v>47160</v>
      </c>
      <c r="J799" s="1" t="s">
        <v>28</v>
      </c>
      <c r="K799" s="1" t="s">
        <v>44</v>
      </c>
      <c r="L799" s="1" t="s">
        <v>45</v>
      </c>
      <c r="M799" s="1">
        <v>2019</v>
      </c>
      <c r="N799" s="1" t="str">
        <f t="shared" si="12"/>
        <v>Francophone</v>
      </c>
      <c r="O799" s="3" t="str">
        <f>_xlfn.XLOOKUP(D:D,MappingTable[Brand],MappingTable[Brand Type], "not found")</f>
        <v>Malt</v>
      </c>
      <c r="P799" t="str">
        <f>_xlfn.XLOOKUP(L:L,MappingTable2[Month],MappingTable2[Quarters],"NIL")</f>
        <v>Q2</v>
      </c>
      <c r="Q799" s="1"/>
    </row>
    <row r="800" spans="1:17" x14ac:dyDescent="0.2">
      <c r="A800" s="1">
        <v>10899</v>
      </c>
      <c r="B800" s="1" t="s">
        <v>51</v>
      </c>
      <c r="C800" s="1" t="s">
        <v>52</v>
      </c>
      <c r="D800" s="1" t="s">
        <v>15</v>
      </c>
      <c r="E800" s="3">
        <v>150</v>
      </c>
      <c r="F800" s="3">
        <v>200</v>
      </c>
      <c r="G800" s="13">
        <v>1000</v>
      </c>
      <c r="H800" s="3">
        <v>200000</v>
      </c>
      <c r="I800" s="3">
        <v>50000</v>
      </c>
      <c r="J800" s="1" t="s">
        <v>34</v>
      </c>
      <c r="K800" s="1" t="s">
        <v>17</v>
      </c>
      <c r="L800" s="1" t="s">
        <v>49</v>
      </c>
      <c r="M800" s="1">
        <v>2018</v>
      </c>
      <c r="N800" s="1" t="str">
        <f t="shared" si="12"/>
        <v>Francophone</v>
      </c>
      <c r="O800" s="3" t="str">
        <f>_xlfn.XLOOKUP(D:D,MappingTable[Brand],MappingTable[Brand Type], "not found")</f>
        <v>Beer</v>
      </c>
      <c r="P800" t="str">
        <f>_xlfn.XLOOKUP(L:L,MappingTable2[Month],MappingTable2[Quarters],"NIL")</f>
        <v>Q3</v>
      </c>
      <c r="Q800" s="1"/>
    </row>
    <row r="801" spans="1:17" x14ac:dyDescent="0.2">
      <c r="A801" s="1">
        <v>10900</v>
      </c>
      <c r="B801" s="1" t="s">
        <v>54</v>
      </c>
      <c r="C801" s="1" t="s">
        <v>55</v>
      </c>
      <c r="D801" s="1" t="s">
        <v>21</v>
      </c>
      <c r="E801" s="3">
        <v>250</v>
      </c>
      <c r="F801" s="3">
        <v>500</v>
      </c>
      <c r="G801" s="13">
        <v>952</v>
      </c>
      <c r="H801" s="3">
        <v>476000</v>
      </c>
      <c r="I801" s="3">
        <v>238000</v>
      </c>
      <c r="J801" s="1" t="s">
        <v>40</v>
      </c>
      <c r="K801" s="1" t="s">
        <v>23</v>
      </c>
      <c r="L801" s="1" t="s">
        <v>50</v>
      </c>
      <c r="M801" s="1">
        <v>2017</v>
      </c>
      <c r="N801" s="1" t="str">
        <f t="shared" si="12"/>
        <v>Francophone</v>
      </c>
      <c r="O801" s="3" t="str">
        <f>_xlfn.XLOOKUP(D:D,MappingTable[Brand],MappingTable[Brand Type], "not found")</f>
        <v>Beer</v>
      </c>
      <c r="P801" t="str">
        <f>_xlfn.XLOOKUP(L:L,MappingTable2[Month],MappingTable2[Quarters],"NIL")</f>
        <v>Q3</v>
      </c>
      <c r="Q801" s="1"/>
    </row>
    <row r="802" spans="1:17" x14ac:dyDescent="0.2">
      <c r="A802" s="1">
        <v>10901</v>
      </c>
      <c r="B802" s="1" t="s">
        <v>57</v>
      </c>
      <c r="C802" s="1" t="s">
        <v>58</v>
      </c>
      <c r="D802" s="1" t="s">
        <v>27</v>
      </c>
      <c r="E802" s="3">
        <v>180</v>
      </c>
      <c r="F802" s="3">
        <v>450</v>
      </c>
      <c r="G802" s="13">
        <v>839</v>
      </c>
      <c r="H802" s="3">
        <v>377550</v>
      </c>
      <c r="I802" s="3">
        <v>226530</v>
      </c>
      <c r="J802" s="1" t="s">
        <v>16</v>
      </c>
      <c r="K802" s="1" t="s">
        <v>29</v>
      </c>
      <c r="L802" s="1" t="s">
        <v>53</v>
      </c>
      <c r="M802" s="1">
        <v>2018</v>
      </c>
      <c r="N802" s="1" t="str">
        <f t="shared" si="12"/>
        <v>Anglophone</v>
      </c>
      <c r="O802" s="3" t="str">
        <f>_xlfn.XLOOKUP(D:D,MappingTable[Brand],MappingTable[Brand Type], "not found")</f>
        <v>Beer</v>
      </c>
      <c r="P802" t="str">
        <f>_xlfn.XLOOKUP(L:L,MappingTable2[Month],MappingTable2[Quarters],"NIL")</f>
        <v>Q3</v>
      </c>
      <c r="Q802" s="1"/>
    </row>
    <row r="803" spans="1:17" x14ac:dyDescent="0.2">
      <c r="A803" s="1">
        <v>10902</v>
      </c>
      <c r="B803" s="1" t="s">
        <v>31</v>
      </c>
      <c r="C803" s="1" t="s">
        <v>32</v>
      </c>
      <c r="D803" s="1" t="s">
        <v>33</v>
      </c>
      <c r="E803" s="3">
        <v>170</v>
      </c>
      <c r="F803" s="3">
        <v>250</v>
      </c>
      <c r="G803" s="13">
        <v>952</v>
      </c>
      <c r="H803" s="3">
        <v>238000</v>
      </c>
      <c r="I803" s="3">
        <v>76160</v>
      </c>
      <c r="J803" s="1" t="s">
        <v>22</v>
      </c>
      <c r="K803" s="1" t="s">
        <v>35</v>
      </c>
      <c r="L803" s="1" t="s">
        <v>56</v>
      </c>
      <c r="M803" s="1">
        <v>2017</v>
      </c>
      <c r="N803" s="1" t="str">
        <f t="shared" si="12"/>
        <v>Anglophone</v>
      </c>
      <c r="O803" s="3" t="str">
        <f>_xlfn.XLOOKUP(D:D,MappingTable[Brand],MappingTable[Brand Type], "not found")</f>
        <v>Beer</v>
      </c>
      <c r="P803" t="str">
        <f>_xlfn.XLOOKUP(L:L,MappingTable2[Month],MappingTable2[Quarters],"NIL")</f>
        <v>Q4</v>
      </c>
      <c r="Q803" s="1"/>
    </row>
    <row r="804" spans="1:17" x14ac:dyDescent="0.2">
      <c r="A804" s="1">
        <v>10903</v>
      </c>
      <c r="B804" s="1" t="s">
        <v>61</v>
      </c>
      <c r="C804" s="1" t="s">
        <v>62</v>
      </c>
      <c r="D804" s="1" t="s">
        <v>39</v>
      </c>
      <c r="E804" s="3">
        <v>150</v>
      </c>
      <c r="F804" s="3">
        <v>200</v>
      </c>
      <c r="G804" s="13">
        <v>777</v>
      </c>
      <c r="H804" s="3">
        <v>155400</v>
      </c>
      <c r="I804" s="3">
        <v>38850</v>
      </c>
      <c r="J804" s="1" t="s">
        <v>28</v>
      </c>
      <c r="K804" s="1" t="s">
        <v>41</v>
      </c>
      <c r="L804" s="1" t="s">
        <v>59</v>
      </c>
      <c r="M804" s="1">
        <v>2017</v>
      </c>
      <c r="N804" s="1" t="str">
        <f t="shared" si="12"/>
        <v>Francophone</v>
      </c>
      <c r="O804" s="3" t="str">
        <f>_xlfn.XLOOKUP(D:D,MappingTable[Brand],MappingTable[Brand Type], "not found")</f>
        <v>Beer</v>
      </c>
      <c r="P804" t="str">
        <f>_xlfn.XLOOKUP(L:L,MappingTable2[Month],MappingTable2[Quarters],"NIL")</f>
        <v>Q4</v>
      </c>
      <c r="Q804" s="1"/>
    </row>
    <row r="805" spans="1:17" x14ac:dyDescent="0.2">
      <c r="A805" s="1">
        <v>10904</v>
      </c>
      <c r="B805" s="1" t="s">
        <v>31</v>
      </c>
      <c r="C805" s="1" t="s">
        <v>32</v>
      </c>
      <c r="D805" s="1" t="s">
        <v>43</v>
      </c>
      <c r="E805" s="3">
        <v>80</v>
      </c>
      <c r="F805" s="3">
        <v>150</v>
      </c>
      <c r="G805" s="13">
        <v>864</v>
      </c>
      <c r="H805" s="3">
        <v>129600</v>
      </c>
      <c r="I805" s="3">
        <v>60480</v>
      </c>
      <c r="J805" s="1" t="s">
        <v>34</v>
      </c>
      <c r="K805" s="1" t="s">
        <v>44</v>
      </c>
      <c r="L805" s="1" t="s">
        <v>60</v>
      </c>
      <c r="M805" s="1">
        <v>2018</v>
      </c>
      <c r="N805" s="1" t="str">
        <f t="shared" si="12"/>
        <v>Francophone</v>
      </c>
      <c r="O805" s="3" t="str">
        <f>_xlfn.XLOOKUP(D:D,MappingTable[Brand],MappingTable[Brand Type], "not found")</f>
        <v>Malt</v>
      </c>
      <c r="P805" t="str">
        <f>_xlfn.XLOOKUP(L:L,MappingTable2[Month],MappingTable2[Quarters],"NIL")</f>
        <v>Q4</v>
      </c>
      <c r="Q805" s="1"/>
    </row>
    <row r="806" spans="1:17" x14ac:dyDescent="0.2">
      <c r="A806" s="1">
        <v>10905</v>
      </c>
      <c r="B806" s="1" t="s">
        <v>51</v>
      </c>
      <c r="C806" s="1" t="s">
        <v>52</v>
      </c>
      <c r="D806" s="1" t="s">
        <v>48</v>
      </c>
      <c r="E806" s="3">
        <v>90</v>
      </c>
      <c r="F806" s="3">
        <v>150</v>
      </c>
      <c r="G806" s="13">
        <v>934</v>
      </c>
      <c r="H806" s="3">
        <v>140100</v>
      </c>
      <c r="I806" s="3">
        <v>56040</v>
      </c>
      <c r="J806" s="1" t="s">
        <v>40</v>
      </c>
      <c r="K806" s="1" t="s">
        <v>17</v>
      </c>
      <c r="L806" s="1" t="s">
        <v>18</v>
      </c>
      <c r="M806" s="1">
        <v>2017</v>
      </c>
      <c r="N806" s="1" t="str">
        <f t="shared" si="12"/>
        <v>Francophone</v>
      </c>
      <c r="O806" s="3" t="str">
        <f>_xlfn.XLOOKUP(D:D,MappingTable[Brand],MappingTable[Brand Type], "not found")</f>
        <v>Malt</v>
      </c>
      <c r="P806" t="str">
        <f>_xlfn.XLOOKUP(L:L,MappingTable2[Month],MappingTable2[Quarters],"NIL")</f>
        <v>Q1</v>
      </c>
      <c r="Q806" s="1"/>
    </row>
    <row r="807" spans="1:17" x14ac:dyDescent="0.2">
      <c r="A807" s="1">
        <v>10906</v>
      </c>
      <c r="B807" s="1" t="s">
        <v>31</v>
      </c>
      <c r="C807" s="1" t="s">
        <v>32</v>
      </c>
      <c r="D807" s="1" t="s">
        <v>15</v>
      </c>
      <c r="E807" s="3">
        <v>150</v>
      </c>
      <c r="F807" s="3">
        <v>200</v>
      </c>
      <c r="G807" s="13">
        <v>902</v>
      </c>
      <c r="H807" s="3">
        <v>180400</v>
      </c>
      <c r="I807" s="3">
        <v>45100</v>
      </c>
      <c r="J807" s="1" t="s">
        <v>16</v>
      </c>
      <c r="K807" s="1" t="s">
        <v>23</v>
      </c>
      <c r="L807" s="1" t="s">
        <v>24</v>
      </c>
      <c r="M807" s="1">
        <v>2018</v>
      </c>
      <c r="N807" s="1" t="str">
        <f t="shared" si="12"/>
        <v>Anglophone</v>
      </c>
      <c r="O807" s="3" t="str">
        <f>_xlfn.XLOOKUP(D:D,MappingTable[Brand],MappingTable[Brand Type], "not found")</f>
        <v>Beer</v>
      </c>
      <c r="P807" t="str">
        <f>_xlfn.XLOOKUP(L:L,MappingTable2[Month],MappingTable2[Quarters],"NIL")</f>
        <v>Q1</v>
      </c>
      <c r="Q807" s="1"/>
    </row>
    <row r="808" spans="1:17" x14ac:dyDescent="0.2">
      <c r="A808" s="1">
        <v>10907</v>
      </c>
      <c r="B808" s="1" t="s">
        <v>57</v>
      </c>
      <c r="C808" s="1" t="s">
        <v>58</v>
      </c>
      <c r="D808" s="1" t="s">
        <v>21</v>
      </c>
      <c r="E808" s="3">
        <v>250</v>
      </c>
      <c r="F808" s="3">
        <v>500</v>
      </c>
      <c r="G808" s="13">
        <v>793</v>
      </c>
      <c r="H808" s="3">
        <v>396500</v>
      </c>
      <c r="I808" s="3">
        <v>198250</v>
      </c>
      <c r="J808" s="1" t="s">
        <v>22</v>
      </c>
      <c r="K808" s="1" t="s">
        <v>29</v>
      </c>
      <c r="L808" s="1" t="s">
        <v>30</v>
      </c>
      <c r="M808" s="1">
        <v>2017</v>
      </c>
      <c r="N808" s="1" t="str">
        <f t="shared" si="12"/>
        <v>Anglophone</v>
      </c>
      <c r="O808" s="3" t="str">
        <f>_xlfn.XLOOKUP(D:D,MappingTable[Brand],MappingTable[Brand Type], "not found")</f>
        <v>Beer</v>
      </c>
      <c r="P808" t="str">
        <f>_xlfn.XLOOKUP(L:L,MappingTable2[Month],MappingTable2[Quarters],"NIL")</f>
        <v>Q1</v>
      </c>
      <c r="Q808" s="1"/>
    </row>
    <row r="809" spans="1:17" x14ac:dyDescent="0.2">
      <c r="A809" s="1">
        <v>10908</v>
      </c>
      <c r="B809" s="1" t="s">
        <v>63</v>
      </c>
      <c r="C809" s="1" t="s">
        <v>64</v>
      </c>
      <c r="D809" s="1" t="s">
        <v>27</v>
      </c>
      <c r="E809" s="3">
        <v>180</v>
      </c>
      <c r="F809" s="3">
        <v>450</v>
      </c>
      <c r="G809" s="13">
        <v>735</v>
      </c>
      <c r="H809" s="3">
        <v>330750</v>
      </c>
      <c r="I809" s="3">
        <v>198450</v>
      </c>
      <c r="J809" s="1" t="s">
        <v>28</v>
      </c>
      <c r="K809" s="1" t="s">
        <v>35</v>
      </c>
      <c r="L809" s="1" t="s">
        <v>36</v>
      </c>
      <c r="M809" s="1">
        <v>2019</v>
      </c>
      <c r="N809" s="1" t="str">
        <f t="shared" si="12"/>
        <v>Francophone</v>
      </c>
      <c r="O809" s="3" t="str">
        <f>_xlfn.XLOOKUP(D:D,MappingTable[Brand],MappingTable[Brand Type], "not found")</f>
        <v>Beer</v>
      </c>
      <c r="P809" t="str">
        <f>_xlfn.XLOOKUP(L:L,MappingTable2[Month],MappingTable2[Quarters],"NIL")</f>
        <v>Q2</v>
      </c>
      <c r="Q809" s="1"/>
    </row>
    <row r="810" spans="1:17" x14ac:dyDescent="0.2">
      <c r="A810" s="1">
        <v>10909</v>
      </c>
      <c r="B810" s="1" t="s">
        <v>61</v>
      </c>
      <c r="C810" s="1" t="s">
        <v>62</v>
      </c>
      <c r="D810" s="1" t="s">
        <v>33</v>
      </c>
      <c r="E810" s="3">
        <v>170</v>
      </c>
      <c r="F810" s="3">
        <v>250</v>
      </c>
      <c r="G810" s="13">
        <v>890</v>
      </c>
      <c r="H810" s="3">
        <v>222500</v>
      </c>
      <c r="I810" s="3">
        <v>71200</v>
      </c>
      <c r="J810" s="1" t="s">
        <v>34</v>
      </c>
      <c r="K810" s="1" t="s">
        <v>41</v>
      </c>
      <c r="L810" s="1" t="s">
        <v>42</v>
      </c>
      <c r="M810" s="1">
        <v>2018</v>
      </c>
      <c r="N810" s="1" t="str">
        <f t="shared" si="12"/>
        <v>Francophone</v>
      </c>
      <c r="O810" s="3" t="str">
        <f>_xlfn.XLOOKUP(D:D,MappingTable[Brand],MappingTable[Brand Type], "not found")</f>
        <v>Beer</v>
      </c>
      <c r="P810" t="str">
        <f>_xlfn.XLOOKUP(L:L,MappingTable2[Month],MappingTable2[Quarters],"NIL")</f>
        <v>Q2</v>
      </c>
      <c r="Q810" s="1"/>
    </row>
    <row r="811" spans="1:17" x14ac:dyDescent="0.2">
      <c r="A811" s="1">
        <v>10910</v>
      </c>
      <c r="B811" s="1" t="s">
        <v>57</v>
      </c>
      <c r="C811" s="1" t="s">
        <v>58</v>
      </c>
      <c r="D811" s="1" t="s">
        <v>39</v>
      </c>
      <c r="E811" s="3">
        <v>150</v>
      </c>
      <c r="F811" s="3">
        <v>200</v>
      </c>
      <c r="G811" s="13">
        <v>969</v>
      </c>
      <c r="H811" s="3">
        <v>193800</v>
      </c>
      <c r="I811" s="3">
        <v>48450</v>
      </c>
      <c r="J811" s="1" t="s">
        <v>40</v>
      </c>
      <c r="K811" s="1" t="s">
        <v>44</v>
      </c>
      <c r="L811" s="1" t="s">
        <v>45</v>
      </c>
      <c r="M811" s="1">
        <v>2018</v>
      </c>
      <c r="N811" s="1" t="str">
        <f t="shared" si="12"/>
        <v>Francophone</v>
      </c>
      <c r="O811" s="3" t="str">
        <f>_xlfn.XLOOKUP(D:D,MappingTable[Brand],MappingTable[Brand Type], "not found")</f>
        <v>Beer</v>
      </c>
      <c r="P811" t="str">
        <f>_xlfn.XLOOKUP(L:L,MappingTable2[Month],MappingTable2[Quarters],"NIL")</f>
        <v>Q2</v>
      </c>
      <c r="Q811" s="1"/>
    </row>
    <row r="812" spans="1:17" x14ac:dyDescent="0.2">
      <c r="A812" s="1">
        <v>10911</v>
      </c>
      <c r="B812" s="1" t="s">
        <v>19</v>
      </c>
      <c r="C812" s="1" t="s">
        <v>20</v>
      </c>
      <c r="D812" s="1" t="s">
        <v>43</v>
      </c>
      <c r="E812" s="3">
        <v>80</v>
      </c>
      <c r="F812" s="3">
        <v>150</v>
      </c>
      <c r="G812" s="13">
        <v>978</v>
      </c>
      <c r="H812" s="3">
        <v>146700</v>
      </c>
      <c r="I812" s="3">
        <v>68460</v>
      </c>
      <c r="J812" s="1" t="s">
        <v>16</v>
      </c>
      <c r="K812" s="1" t="s">
        <v>17</v>
      </c>
      <c r="L812" s="1" t="s">
        <v>49</v>
      </c>
      <c r="M812" s="1">
        <v>2019</v>
      </c>
      <c r="N812" s="1" t="str">
        <f t="shared" si="12"/>
        <v>Anglophone</v>
      </c>
      <c r="O812" s="3" t="str">
        <f>_xlfn.XLOOKUP(D:D,MappingTable[Brand],MappingTable[Brand Type], "not found")</f>
        <v>Malt</v>
      </c>
      <c r="P812" t="str">
        <f>_xlfn.XLOOKUP(L:L,MappingTable2[Month],MappingTable2[Quarters],"NIL")</f>
        <v>Q3</v>
      </c>
      <c r="Q812" s="1"/>
    </row>
    <row r="813" spans="1:17" x14ac:dyDescent="0.2">
      <c r="A813" s="1">
        <v>10912</v>
      </c>
      <c r="B813" s="1" t="s">
        <v>61</v>
      </c>
      <c r="C813" s="1" t="s">
        <v>62</v>
      </c>
      <c r="D813" s="1" t="s">
        <v>48</v>
      </c>
      <c r="E813" s="3">
        <v>90</v>
      </c>
      <c r="F813" s="3">
        <v>150</v>
      </c>
      <c r="G813" s="13">
        <v>855</v>
      </c>
      <c r="H813" s="3">
        <v>128250</v>
      </c>
      <c r="I813" s="3">
        <v>51300</v>
      </c>
      <c r="J813" s="1" t="s">
        <v>22</v>
      </c>
      <c r="K813" s="1" t="s">
        <v>23</v>
      </c>
      <c r="L813" s="1" t="s">
        <v>50</v>
      </c>
      <c r="M813" s="1">
        <v>2017</v>
      </c>
      <c r="N813" s="1" t="str">
        <f t="shared" si="12"/>
        <v>Anglophone</v>
      </c>
      <c r="O813" s="3" t="str">
        <f>_xlfn.XLOOKUP(D:D,MappingTable[Brand],MappingTable[Brand Type], "not found")</f>
        <v>Malt</v>
      </c>
      <c r="P813" t="str">
        <f>_xlfn.XLOOKUP(L:L,MappingTable2[Month],MappingTable2[Quarters],"NIL")</f>
        <v>Q3</v>
      </c>
      <c r="Q813" s="1"/>
    </row>
    <row r="814" spans="1:17" x14ac:dyDescent="0.2">
      <c r="A814" s="1">
        <v>10913</v>
      </c>
      <c r="B814" s="1" t="s">
        <v>31</v>
      </c>
      <c r="C814" s="1" t="s">
        <v>32</v>
      </c>
      <c r="D814" s="1" t="s">
        <v>15</v>
      </c>
      <c r="E814" s="3">
        <v>150</v>
      </c>
      <c r="F814" s="3">
        <v>200</v>
      </c>
      <c r="G814" s="13">
        <v>835</v>
      </c>
      <c r="H814" s="3">
        <v>167000</v>
      </c>
      <c r="I814" s="3">
        <v>41750</v>
      </c>
      <c r="J814" s="1" t="s">
        <v>28</v>
      </c>
      <c r="K814" s="1" t="s">
        <v>29</v>
      </c>
      <c r="L814" s="1" t="s">
        <v>53</v>
      </c>
      <c r="M814" s="1">
        <v>2017</v>
      </c>
      <c r="N814" s="1" t="str">
        <f t="shared" si="12"/>
        <v>Francophone</v>
      </c>
      <c r="O814" s="3" t="str">
        <f>_xlfn.XLOOKUP(D:D,MappingTable[Brand],MappingTable[Brand Type], "not found")</f>
        <v>Beer</v>
      </c>
      <c r="P814" t="str">
        <f>_xlfn.XLOOKUP(L:L,MappingTable2[Month],MappingTable2[Quarters],"NIL")</f>
        <v>Q3</v>
      </c>
      <c r="Q814" s="1"/>
    </row>
    <row r="815" spans="1:17" x14ac:dyDescent="0.2">
      <c r="A815" s="1">
        <v>10914</v>
      </c>
      <c r="B815" s="1" t="s">
        <v>25</v>
      </c>
      <c r="C815" s="1" t="s">
        <v>26</v>
      </c>
      <c r="D815" s="1" t="s">
        <v>21</v>
      </c>
      <c r="E815" s="3">
        <v>250</v>
      </c>
      <c r="F815" s="3">
        <v>500</v>
      </c>
      <c r="G815" s="13">
        <v>835</v>
      </c>
      <c r="H815" s="3">
        <v>417500</v>
      </c>
      <c r="I815" s="3">
        <v>208750</v>
      </c>
      <c r="J815" s="1" t="s">
        <v>34</v>
      </c>
      <c r="K815" s="1" t="s">
        <v>35</v>
      </c>
      <c r="L815" s="1" t="s">
        <v>56</v>
      </c>
      <c r="M815" s="1">
        <v>2019</v>
      </c>
      <c r="N815" s="1" t="str">
        <f t="shared" si="12"/>
        <v>Francophone</v>
      </c>
      <c r="O815" s="3" t="str">
        <f>_xlfn.XLOOKUP(D:D,MappingTable[Brand],MappingTable[Brand Type], "not found")</f>
        <v>Beer</v>
      </c>
      <c r="P815" t="str">
        <f>_xlfn.XLOOKUP(L:L,MappingTable2[Month],MappingTable2[Quarters],"NIL")</f>
        <v>Q4</v>
      </c>
      <c r="Q815" s="1"/>
    </row>
    <row r="816" spans="1:17" x14ac:dyDescent="0.2">
      <c r="A816" s="1">
        <v>10915</v>
      </c>
      <c r="B816" s="1" t="s">
        <v>13</v>
      </c>
      <c r="C816" s="1" t="s">
        <v>14</v>
      </c>
      <c r="D816" s="1" t="s">
        <v>27</v>
      </c>
      <c r="E816" s="3">
        <v>180</v>
      </c>
      <c r="F816" s="3">
        <v>450</v>
      </c>
      <c r="G816" s="13">
        <v>992</v>
      </c>
      <c r="H816" s="3">
        <v>446400</v>
      </c>
      <c r="I816" s="3">
        <v>267840</v>
      </c>
      <c r="J816" s="1" t="s">
        <v>40</v>
      </c>
      <c r="K816" s="1" t="s">
        <v>41</v>
      </c>
      <c r="L816" s="1" t="s">
        <v>59</v>
      </c>
      <c r="M816" s="1">
        <v>2018</v>
      </c>
      <c r="N816" s="1" t="str">
        <f t="shared" si="12"/>
        <v>Francophone</v>
      </c>
      <c r="O816" s="3" t="str">
        <f>_xlfn.XLOOKUP(D:D,MappingTable[Brand],MappingTable[Brand Type], "not found")</f>
        <v>Beer</v>
      </c>
      <c r="P816" t="str">
        <f>_xlfn.XLOOKUP(L:L,MappingTable2[Month],MappingTable2[Quarters],"NIL")</f>
        <v>Q4</v>
      </c>
      <c r="Q816" s="1"/>
    </row>
    <row r="817" spans="1:17" x14ac:dyDescent="0.2">
      <c r="A817" s="1">
        <v>10916</v>
      </c>
      <c r="B817" s="1" t="s">
        <v>37</v>
      </c>
      <c r="C817" s="1" t="s">
        <v>38</v>
      </c>
      <c r="D817" s="1" t="s">
        <v>33</v>
      </c>
      <c r="E817" s="3">
        <v>170</v>
      </c>
      <c r="F817" s="3">
        <v>250</v>
      </c>
      <c r="G817" s="13">
        <v>702</v>
      </c>
      <c r="H817" s="3">
        <v>175500</v>
      </c>
      <c r="I817" s="3">
        <v>56160</v>
      </c>
      <c r="J817" s="1" t="s">
        <v>16</v>
      </c>
      <c r="K817" s="1" t="s">
        <v>44</v>
      </c>
      <c r="L817" s="1" t="s">
        <v>60</v>
      </c>
      <c r="M817" s="1">
        <v>2017</v>
      </c>
      <c r="N817" s="1" t="str">
        <f t="shared" si="12"/>
        <v>Anglophone</v>
      </c>
      <c r="O817" s="3" t="str">
        <f>_xlfn.XLOOKUP(D:D,MappingTable[Brand],MappingTable[Brand Type], "not found")</f>
        <v>Beer</v>
      </c>
      <c r="P817" t="str">
        <f>_xlfn.XLOOKUP(L:L,MappingTable2[Month],MappingTable2[Quarters],"NIL")</f>
        <v>Q4</v>
      </c>
      <c r="Q817" s="1"/>
    </row>
    <row r="818" spans="1:17" x14ac:dyDescent="0.2">
      <c r="A818" s="1">
        <v>10917</v>
      </c>
      <c r="B818" s="1" t="s">
        <v>54</v>
      </c>
      <c r="C818" s="1" t="s">
        <v>55</v>
      </c>
      <c r="D818" s="1" t="s">
        <v>39</v>
      </c>
      <c r="E818" s="3">
        <v>150</v>
      </c>
      <c r="F818" s="3">
        <v>200</v>
      </c>
      <c r="G818" s="13">
        <v>925</v>
      </c>
      <c r="H818" s="3">
        <v>185000</v>
      </c>
      <c r="I818" s="3">
        <v>46250</v>
      </c>
      <c r="J818" s="1" t="s">
        <v>22</v>
      </c>
      <c r="K818" s="1" t="s">
        <v>17</v>
      </c>
      <c r="L818" s="1" t="s">
        <v>18</v>
      </c>
      <c r="M818" s="1">
        <v>2019</v>
      </c>
      <c r="N818" s="1" t="str">
        <f t="shared" si="12"/>
        <v>Anglophone</v>
      </c>
      <c r="O818" s="3" t="str">
        <f>_xlfn.XLOOKUP(D:D,MappingTable[Brand],MappingTable[Brand Type], "not found")</f>
        <v>Beer</v>
      </c>
      <c r="P818" t="str">
        <f>_xlfn.XLOOKUP(L:L,MappingTable2[Month],MappingTable2[Quarters],"NIL")</f>
        <v>Q1</v>
      </c>
      <c r="Q818" s="1"/>
    </row>
    <row r="819" spans="1:17" x14ac:dyDescent="0.2">
      <c r="A819" s="1">
        <v>10918</v>
      </c>
      <c r="B819" s="1" t="s">
        <v>19</v>
      </c>
      <c r="C819" s="1" t="s">
        <v>20</v>
      </c>
      <c r="D819" s="1" t="s">
        <v>43</v>
      </c>
      <c r="E819" s="3">
        <v>80</v>
      </c>
      <c r="F819" s="3">
        <v>150</v>
      </c>
      <c r="G819" s="13">
        <v>997</v>
      </c>
      <c r="H819" s="3">
        <v>149550</v>
      </c>
      <c r="I819" s="3">
        <v>69790</v>
      </c>
      <c r="J819" s="1" t="s">
        <v>28</v>
      </c>
      <c r="K819" s="1" t="s">
        <v>23</v>
      </c>
      <c r="L819" s="1" t="s">
        <v>24</v>
      </c>
      <c r="M819" s="1">
        <v>2017</v>
      </c>
      <c r="N819" s="1" t="str">
        <f t="shared" si="12"/>
        <v>Francophone</v>
      </c>
      <c r="O819" s="3" t="str">
        <f>_xlfn.XLOOKUP(D:D,MappingTable[Brand],MappingTable[Brand Type], "not found")</f>
        <v>Malt</v>
      </c>
      <c r="P819" t="str">
        <f>_xlfn.XLOOKUP(L:L,MappingTable2[Month],MappingTable2[Quarters],"NIL")</f>
        <v>Q1</v>
      </c>
      <c r="Q819" s="1"/>
    </row>
    <row r="820" spans="1:17" x14ac:dyDescent="0.2">
      <c r="A820" s="1">
        <v>10919</v>
      </c>
      <c r="B820" s="1" t="s">
        <v>19</v>
      </c>
      <c r="C820" s="1" t="s">
        <v>20</v>
      </c>
      <c r="D820" s="1" t="s">
        <v>48</v>
      </c>
      <c r="E820" s="3">
        <v>90</v>
      </c>
      <c r="F820" s="3">
        <v>150</v>
      </c>
      <c r="G820" s="13">
        <v>796</v>
      </c>
      <c r="H820" s="3">
        <v>119400</v>
      </c>
      <c r="I820" s="3">
        <v>47760</v>
      </c>
      <c r="J820" s="1" t="s">
        <v>34</v>
      </c>
      <c r="K820" s="1" t="s">
        <v>29</v>
      </c>
      <c r="L820" s="1" t="s">
        <v>30</v>
      </c>
      <c r="M820" s="1">
        <v>2019</v>
      </c>
      <c r="N820" s="1" t="str">
        <f t="shared" si="12"/>
        <v>Francophone</v>
      </c>
      <c r="O820" s="3" t="str">
        <f>_xlfn.XLOOKUP(D:D,MappingTable[Brand],MappingTable[Brand Type], "not found")</f>
        <v>Malt</v>
      </c>
      <c r="P820" t="str">
        <f>_xlfn.XLOOKUP(L:L,MappingTable2[Month],MappingTable2[Quarters],"NIL")</f>
        <v>Q1</v>
      </c>
      <c r="Q820" s="1"/>
    </row>
    <row r="821" spans="1:17" x14ac:dyDescent="0.2">
      <c r="A821" s="1">
        <v>10920</v>
      </c>
      <c r="B821" s="1" t="s">
        <v>63</v>
      </c>
      <c r="C821" s="1" t="s">
        <v>64</v>
      </c>
      <c r="D821" s="1" t="s">
        <v>15</v>
      </c>
      <c r="E821" s="3">
        <v>150</v>
      </c>
      <c r="F821" s="3">
        <v>200</v>
      </c>
      <c r="G821" s="13">
        <v>741</v>
      </c>
      <c r="H821" s="3">
        <v>148200</v>
      </c>
      <c r="I821" s="3">
        <v>37050</v>
      </c>
      <c r="J821" s="1" t="s">
        <v>40</v>
      </c>
      <c r="K821" s="1" t="s">
        <v>35</v>
      </c>
      <c r="L821" s="1" t="s">
        <v>36</v>
      </c>
      <c r="M821" s="1">
        <v>2019</v>
      </c>
      <c r="N821" s="1" t="str">
        <f t="shared" si="12"/>
        <v>Francophone</v>
      </c>
      <c r="O821" s="3" t="str">
        <f>_xlfn.XLOOKUP(D:D,MappingTable[Brand],MappingTable[Brand Type], "not found")</f>
        <v>Beer</v>
      </c>
      <c r="P821" t="str">
        <f>_xlfn.XLOOKUP(L:L,MappingTable2[Month],MappingTable2[Quarters],"NIL")</f>
        <v>Q2</v>
      </c>
      <c r="Q821" s="1"/>
    </row>
    <row r="822" spans="1:17" x14ac:dyDescent="0.2">
      <c r="A822" s="1">
        <v>10921</v>
      </c>
      <c r="B822" s="1" t="s">
        <v>31</v>
      </c>
      <c r="C822" s="1" t="s">
        <v>32</v>
      </c>
      <c r="D822" s="1" t="s">
        <v>21</v>
      </c>
      <c r="E822" s="3">
        <v>250</v>
      </c>
      <c r="F822" s="3">
        <v>500</v>
      </c>
      <c r="G822" s="13">
        <v>827</v>
      </c>
      <c r="H822" s="3">
        <v>413500</v>
      </c>
      <c r="I822" s="3">
        <v>206750</v>
      </c>
      <c r="J822" s="1" t="s">
        <v>16</v>
      </c>
      <c r="K822" s="1" t="s">
        <v>41</v>
      </c>
      <c r="L822" s="1" t="s">
        <v>42</v>
      </c>
      <c r="M822" s="1">
        <v>2018</v>
      </c>
      <c r="N822" s="1" t="str">
        <f t="shared" si="12"/>
        <v>Anglophone</v>
      </c>
      <c r="O822" s="3" t="str">
        <f>_xlfn.XLOOKUP(D:D,MappingTable[Brand],MappingTable[Brand Type], "not found")</f>
        <v>Beer</v>
      </c>
      <c r="P822" t="str">
        <f>_xlfn.XLOOKUP(L:L,MappingTable2[Month],MappingTable2[Quarters],"NIL")</f>
        <v>Q2</v>
      </c>
      <c r="Q822" s="1"/>
    </row>
    <row r="823" spans="1:17" x14ac:dyDescent="0.2">
      <c r="A823" s="1">
        <v>10922</v>
      </c>
      <c r="B823" s="1" t="s">
        <v>51</v>
      </c>
      <c r="C823" s="1" t="s">
        <v>52</v>
      </c>
      <c r="D823" s="1" t="s">
        <v>27</v>
      </c>
      <c r="E823" s="3">
        <v>180</v>
      </c>
      <c r="F823" s="3">
        <v>450</v>
      </c>
      <c r="G823" s="13">
        <v>849</v>
      </c>
      <c r="H823" s="3">
        <v>382050</v>
      </c>
      <c r="I823" s="3">
        <v>229230</v>
      </c>
      <c r="J823" s="1" t="s">
        <v>22</v>
      </c>
      <c r="K823" s="1" t="s">
        <v>44</v>
      </c>
      <c r="L823" s="1" t="s">
        <v>45</v>
      </c>
      <c r="M823" s="1">
        <v>2018</v>
      </c>
      <c r="N823" s="1" t="str">
        <f t="shared" si="12"/>
        <v>Anglophone</v>
      </c>
      <c r="O823" s="3" t="str">
        <f>_xlfn.XLOOKUP(D:D,MappingTable[Brand],MappingTable[Brand Type], "not found")</f>
        <v>Beer</v>
      </c>
      <c r="P823" t="str">
        <f>_xlfn.XLOOKUP(L:L,MappingTable2[Month],MappingTable2[Quarters],"NIL")</f>
        <v>Q2</v>
      </c>
      <c r="Q823" s="1"/>
    </row>
    <row r="824" spans="1:17" x14ac:dyDescent="0.2">
      <c r="A824" s="1">
        <v>10923</v>
      </c>
      <c r="B824" s="1" t="s">
        <v>63</v>
      </c>
      <c r="C824" s="1" t="s">
        <v>64</v>
      </c>
      <c r="D824" s="1" t="s">
        <v>33</v>
      </c>
      <c r="E824" s="3">
        <v>170</v>
      </c>
      <c r="F824" s="3">
        <v>250</v>
      </c>
      <c r="G824" s="13">
        <v>742</v>
      </c>
      <c r="H824" s="3">
        <v>185500</v>
      </c>
      <c r="I824" s="3">
        <v>59360</v>
      </c>
      <c r="J824" s="1" t="s">
        <v>28</v>
      </c>
      <c r="K824" s="1" t="s">
        <v>17</v>
      </c>
      <c r="L824" s="1" t="s">
        <v>49</v>
      </c>
      <c r="M824" s="1">
        <v>2019</v>
      </c>
      <c r="N824" s="1" t="str">
        <f t="shared" si="12"/>
        <v>Francophone</v>
      </c>
      <c r="O824" s="3" t="str">
        <f>_xlfn.XLOOKUP(D:D,MappingTable[Brand],MappingTable[Brand Type], "not found")</f>
        <v>Beer</v>
      </c>
      <c r="P824" t="str">
        <f>_xlfn.XLOOKUP(L:L,MappingTable2[Month],MappingTable2[Quarters],"NIL")</f>
        <v>Q3</v>
      </c>
      <c r="Q824" s="1"/>
    </row>
    <row r="825" spans="1:17" x14ac:dyDescent="0.2">
      <c r="A825" s="1">
        <v>10924</v>
      </c>
      <c r="B825" s="1" t="s">
        <v>25</v>
      </c>
      <c r="C825" s="1" t="s">
        <v>26</v>
      </c>
      <c r="D825" s="1" t="s">
        <v>39</v>
      </c>
      <c r="E825" s="3">
        <v>150</v>
      </c>
      <c r="F825" s="3">
        <v>200</v>
      </c>
      <c r="G825" s="13">
        <v>965</v>
      </c>
      <c r="H825" s="3">
        <v>193000</v>
      </c>
      <c r="I825" s="3">
        <v>48250</v>
      </c>
      <c r="J825" s="1" t="s">
        <v>34</v>
      </c>
      <c r="K825" s="1" t="s">
        <v>23</v>
      </c>
      <c r="L825" s="1" t="s">
        <v>50</v>
      </c>
      <c r="M825" s="1">
        <v>2017</v>
      </c>
      <c r="N825" s="1" t="str">
        <f t="shared" si="12"/>
        <v>Francophone</v>
      </c>
      <c r="O825" s="3" t="str">
        <f>_xlfn.XLOOKUP(D:D,MappingTable[Brand],MappingTable[Brand Type], "not found")</f>
        <v>Beer</v>
      </c>
      <c r="P825" t="str">
        <f>_xlfn.XLOOKUP(L:L,MappingTable2[Month],MappingTable2[Quarters],"NIL")</f>
        <v>Q3</v>
      </c>
      <c r="Q825" s="1"/>
    </row>
    <row r="826" spans="1:17" x14ac:dyDescent="0.2">
      <c r="A826" s="1">
        <v>10925</v>
      </c>
      <c r="B826" s="1" t="s">
        <v>19</v>
      </c>
      <c r="C826" s="1" t="s">
        <v>20</v>
      </c>
      <c r="D826" s="1" t="s">
        <v>43</v>
      </c>
      <c r="E826" s="3">
        <v>80</v>
      </c>
      <c r="F826" s="3">
        <v>150</v>
      </c>
      <c r="G826" s="13">
        <v>983</v>
      </c>
      <c r="H826" s="3">
        <v>147450</v>
      </c>
      <c r="I826" s="3">
        <v>68810</v>
      </c>
      <c r="J826" s="1" t="s">
        <v>40</v>
      </c>
      <c r="K826" s="1" t="s">
        <v>29</v>
      </c>
      <c r="L826" s="1" t="s">
        <v>53</v>
      </c>
      <c r="M826" s="1">
        <v>2019</v>
      </c>
      <c r="N826" s="1" t="str">
        <f t="shared" si="12"/>
        <v>Francophone</v>
      </c>
      <c r="O826" s="3" t="str">
        <f>_xlfn.XLOOKUP(D:D,MappingTable[Brand],MappingTable[Brand Type], "not found")</f>
        <v>Malt</v>
      </c>
      <c r="P826" t="str">
        <f>_xlfn.XLOOKUP(L:L,MappingTable2[Month],MappingTable2[Quarters],"NIL")</f>
        <v>Q3</v>
      </c>
      <c r="Q826" s="1"/>
    </row>
    <row r="827" spans="1:17" x14ac:dyDescent="0.2">
      <c r="A827" s="1">
        <v>10926</v>
      </c>
      <c r="B827" s="1" t="s">
        <v>25</v>
      </c>
      <c r="C827" s="1" t="s">
        <v>26</v>
      </c>
      <c r="D827" s="1" t="s">
        <v>48</v>
      </c>
      <c r="E827" s="3">
        <v>90</v>
      </c>
      <c r="F827" s="3">
        <v>150</v>
      </c>
      <c r="G827" s="13">
        <v>820</v>
      </c>
      <c r="H827" s="3">
        <v>123000</v>
      </c>
      <c r="I827" s="3">
        <v>49200</v>
      </c>
      <c r="J827" s="1" t="s">
        <v>16</v>
      </c>
      <c r="K827" s="1" t="s">
        <v>35</v>
      </c>
      <c r="L827" s="1" t="s">
        <v>56</v>
      </c>
      <c r="M827" s="1">
        <v>2017</v>
      </c>
      <c r="N827" s="1" t="str">
        <f t="shared" si="12"/>
        <v>Anglophone</v>
      </c>
      <c r="O827" s="3" t="str">
        <f>_xlfn.XLOOKUP(D:D,MappingTable[Brand],MappingTable[Brand Type], "not found")</f>
        <v>Malt</v>
      </c>
      <c r="P827" t="str">
        <f>_xlfn.XLOOKUP(L:L,MappingTable2[Month],MappingTable2[Quarters],"NIL")</f>
        <v>Q4</v>
      </c>
      <c r="Q827" s="1"/>
    </row>
    <row r="828" spans="1:17" x14ac:dyDescent="0.2">
      <c r="A828" s="1">
        <v>10927</v>
      </c>
      <c r="B828" s="1" t="s">
        <v>46</v>
      </c>
      <c r="C828" s="1" t="s">
        <v>47</v>
      </c>
      <c r="D828" s="1" t="s">
        <v>15</v>
      </c>
      <c r="E828" s="3">
        <v>150</v>
      </c>
      <c r="F828" s="3">
        <v>200</v>
      </c>
      <c r="G828" s="13">
        <v>854</v>
      </c>
      <c r="H828" s="3">
        <v>170800</v>
      </c>
      <c r="I828" s="3">
        <v>42700</v>
      </c>
      <c r="J828" s="1" t="s">
        <v>22</v>
      </c>
      <c r="K828" s="1" t="s">
        <v>41</v>
      </c>
      <c r="L828" s="1" t="s">
        <v>59</v>
      </c>
      <c r="M828" s="1">
        <v>2018</v>
      </c>
      <c r="N828" s="1" t="str">
        <f t="shared" si="12"/>
        <v>Anglophone</v>
      </c>
      <c r="O828" s="3" t="str">
        <f>_xlfn.XLOOKUP(D:D,MappingTable[Brand],MappingTable[Brand Type], "not found")</f>
        <v>Beer</v>
      </c>
      <c r="P828" t="str">
        <f>_xlfn.XLOOKUP(L:L,MappingTable2[Month],MappingTable2[Quarters],"NIL")</f>
        <v>Q4</v>
      </c>
      <c r="Q828" s="1"/>
    </row>
    <row r="829" spans="1:17" x14ac:dyDescent="0.2">
      <c r="A829" s="1">
        <v>10928</v>
      </c>
      <c r="B829" s="1" t="s">
        <v>37</v>
      </c>
      <c r="C829" s="1" t="s">
        <v>38</v>
      </c>
      <c r="D829" s="1" t="s">
        <v>21</v>
      </c>
      <c r="E829" s="3">
        <v>250</v>
      </c>
      <c r="F829" s="3">
        <v>500</v>
      </c>
      <c r="G829" s="13">
        <v>768</v>
      </c>
      <c r="H829" s="3">
        <v>384000</v>
      </c>
      <c r="I829" s="3">
        <v>192000</v>
      </c>
      <c r="J829" s="1" t="s">
        <v>28</v>
      </c>
      <c r="K829" s="1" t="s">
        <v>44</v>
      </c>
      <c r="L829" s="1" t="s">
        <v>60</v>
      </c>
      <c r="M829" s="1">
        <v>2019</v>
      </c>
      <c r="N829" s="1" t="str">
        <f t="shared" si="12"/>
        <v>Francophone</v>
      </c>
      <c r="O829" s="3" t="str">
        <f>_xlfn.XLOOKUP(D:D,MappingTable[Brand],MappingTable[Brand Type], "not found")</f>
        <v>Beer</v>
      </c>
      <c r="P829" t="str">
        <f>_xlfn.XLOOKUP(L:L,MappingTable2[Month],MappingTable2[Quarters],"NIL")</f>
        <v>Q4</v>
      </c>
      <c r="Q829" s="1"/>
    </row>
    <row r="830" spans="1:17" x14ac:dyDescent="0.2">
      <c r="A830" s="1">
        <v>10929</v>
      </c>
      <c r="B830" s="1" t="s">
        <v>13</v>
      </c>
      <c r="C830" s="1" t="s">
        <v>14</v>
      </c>
      <c r="D830" s="1" t="s">
        <v>27</v>
      </c>
      <c r="E830" s="3">
        <v>180</v>
      </c>
      <c r="F830" s="3">
        <v>450</v>
      </c>
      <c r="G830" s="13">
        <v>786</v>
      </c>
      <c r="H830" s="3">
        <v>353700</v>
      </c>
      <c r="I830" s="3">
        <v>212220</v>
      </c>
      <c r="J830" s="1" t="s">
        <v>34</v>
      </c>
      <c r="K830" s="1" t="s">
        <v>17</v>
      </c>
      <c r="L830" s="1" t="s">
        <v>18</v>
      </c>
      <c r="M830" s="1">
        <v>2019</v>
      </c>
      <c r="N830" s="1" t="str">
        <f t="shared" si="12"/>
        <v>Francophone</v>
      </c>
      <c r="O830" s="3" t="str">
        <f>_xlfn.XLOOKUP(D:D,MappingTable[Brand],MappingTable[Brand Type], "not found")</f>
        <v>Beer</v>
      </c>
      <c r="P830" t="str">
        <f>_xlfn.XLOOKUP(L:L,MappingTable2[Month],MappingTable2[Quarters],"NIL")</f>
        <v>Q1</v>
      </c>
      <c r="Q830" s="1"/>
    </row>
    <row r="831" spans="1:17" x14ac:dyDescent="0.2">
      <c r="A831" s="1">
        <v>10930</v>
      </c>
      <c r="B831" s="1" t="s">
        <v>13</v>
      </c>
      <c r="C831" s="1" t="s">
        <v>14</v>
      </c>
      <c r="D831" s="1" t="s">
        <v>33</v>
      </c>
      <c r="E831" s="3">
        <v>170</v>
      </c>
      <c r="F831" s="3">
        <v>250</v>
      </c>
      <c r="G831" s="13">
        <v>856</v>
      </c>
      <c r="H831" s="3">
        <v>214000</v>
      </c>
      <c r="I831" s="3">
        <v>68480</v>
      </c>
      <c r="J831" s="1" t="s">
        <v>40</v>
      </c>
      <c r="K831" s="1" t="s">
        <v>23</v>
      </c>
      <c r="L831" s="1" t="s">
        <v>24</v>
      </c>
      <c r="M831" s="1">
        <v>2019</v>
      </c>
      <c r="N831" s="1" t="str">
        <f t="shared" si="12"/>
        <v>Francophone</v>
      </c>
      <c r="O831" s="3" t="str">
        <f>_xlfn.XLOOKUP(D:D,MappingTable[Brand],MappingTable[Brand Type], "not found")</f>
        <v>Beer</v>
      </c>
      <c r="P831" t="str">
        <f>_xlfn.XLOOKUP(L:L,MappingTable2[Month],MappingTable2[Quarters],"NIL")</f>
        <v>Q1</v>
      </c>
      <c r="Q831" s="1"/>
    </row>
    <row r="832" spans="1:17" x14ac:dyDescent="0.2">
      <c r="A832" s="1">
        <v>10931</v>
      </c>
      <c r="B832" s="1" t="s">
        <v>37</v>
      </c>
      <c r="C832" s="1" t="s">
        <v>38</v>
      </c>
      <c r="D832" s="1" t="s">
        <v>39</v>
      </c>
      <c r="E832" s="3">
        <v>150</v>
      </c>
      <c r="F832" s="3">
        <v>200</v>
      </c>
      <c r="G832" s="13">
        <v>919</v>
      </c>
      <c r="H832" s="3">
        <v>183800</v>
      </c>
      <c r="I832" s="3">
        <v>45950</v>
      </c>
      <c r="J832" s="1" t="s">
        <v>16</v>
      </c>
      <c r="K832" s="1" t="s">
        <v>29</v>
      </c>
      <c r="L832" s="1" t="s">
        <v>30</v>
      </c>
      <c r="M832" s="1">
        <v>2018</v>
      </c>
      <c r="N832" s="1" t="str">
        <f t="shared" si="12"/>
        <v>Anglophone</v>
      </c>
      <c r="O832" s="3" t="str">
        <f>_xlfn.XLOOKUP(D:D,MappingTable[Brand],MappingTable[Brand Type], "not found")</f>
        <v>Beer</v>
      </c>
      <c r="P832" t="str">
        <f>_xlfn.XLOOKUP(L:L,MappingTable2[Month],MappingTable2[Quarters],"NIL")</f>
        <v>Q1</v>
      </c>
      <c r="Q832" s="1"/>
    </row>
    <row r="833" spans="1:17" x14ac:dyDescent="0.2">
      <c r="A833" s="1">
        <v>10932</v>
      </c>
      <c r="B833" s="1" t="s">
        <v>31</v>
      </c>
      <c r="C833" s="1" t="s">
        <v>32</v>
      </c>
      <c r="D833" s="1" t="s">
        <v>43</v>
      </c>
      <c r="E833" s="3">
        <v>80</v>
      </c>
      <c r="F833" s="3">
        <v>150</v>
      </c>
      <c r="G833" s="13">
        <v>802</v>
      </c>
      <c r="H833" s="3">
        <v>120300</v>
      </c>
      <c r="I833" s="3">
        <v>56140</v>
      </c>
      <c r="J833" s="1" t="s">
        <v>22</v>
      </c>
      <c r="K833" s="1" t="s">
        <v>35</v>
      </c>
      <c r="L833" s="1" t="s">
        <v>36</v>
      </c>
      <c r="M833" s="1">
        <v>2019</v>
      </c>
      <c r="N833" s="1" t="str">
        <f t="shared" si="12"/>
        <v>Anglophone</v>
      </c>
      <c r="O833" s="3" t="str">
        <f>_xlfn.XLOOKUP(D:D,MappingTable[Brand],MappingTable[Brand Type], "not found")</f>
        <v>Malt</v>
      </c>
      <c r="P833" t="str">
        <f>_xlfn.XLOOKUP(L:L,MappingTable2[Month],MappingTable2[Quarters],"NIL")</f>
        <v>Q2</v>
      </c>
      <c r="Q833" s="1"/>
    </row>
    <row r="834" spans="1:17" x14ac:dyDescent="0.2">
      <c r="A834" s="1">
        <v>10933</v>
      </c>
      <c r="B834" s="1" t="s">
        <v>51</v>
      </c>
      <c r="C834" s="1" t="s">
        <v>52</v>
      </c>
      <c r="D834" s="1" t="s">
        <v>48</v>
      </c>
      <c r="E834" s="3">
        <v>90</v>
      </c>
      <c r="F834" s="3">
        <v>150</v>
      </c>
      <c r="G834" s="13">
        <v>864</v>
      </c>
      <c r="H834" s="3">
        <v>129600</v>
      </c>
      <c r="I834" s="3">
        <v>51840</v>
      </c>
      <c r="J834" s="1" t="s">
        <v>28</v>
      </c>
      <c r="K834" s="1" t="s">
        <v>41</v>
      </c>
      <c r="L834" s="1" t="s">
        <v>42</v>
      </c>
      <c r="M834" s="1">
        <v>2017</v>
      </c>
      <c r="N834" s="1" t="str">
        <f t="shared" ref="N834:N897" si="13">IF(ISNUMBER(MATCH(J834,$S$7:$S$8,0)), "Anglophone","Francophone")</f>
        <v>Francophone</v>
      </c>
      <c r="O834" s="3" t="str">
        <f>_xlfn.XLOOKUP(D:D,MappingTable[Brand],MappingTable[Brand Type], "not found")</f>
        <v>Malt</v>
      </c>
      <c r="P834" t="str">
        <f>_xlfn.XLOOKUP(L:L,MappingTable2[Month],MappingTable2[Quarters],"NIL")</f>
        <v>Q2</v>
      </c>
      <c r="Q834" s="1"/>
    </row>
    <row r="835" spans="1:17" x14ac:dyDescent="0.2">
      <c r="A835" s="1">
        <v>10934</v>
      </c>
      <c r="B835" s="1" t="s">
        <v>63</v>
      </c>
      <c r="C835" s="1" t="s">
        <v>64</v>
      </c>
      <c r="D835" s="1" t="s">
        <v>15</v>
      </c>
      <c r="E835" s="3">
        <v>150</v>
      </c>
      <c r="F835" s="3">
        <v>200</v>
      </c>
      <c r="G835" s="13">
        <v>993</v>
      </c>
      <c r="H835" s="3">
        <v>198600</v>
      </c>
      <c r="I835" s="3">
        <v>49650</v>
      </c>
      <c r="J835" s="1" t="s">
        <v>34</v>
      </c>
      <c r="K835" s="1" t="s">
        <v>44</v>
      </c>
      <c r="L835" s="1" t="s">
        <v>45</v>
      </c>
      <c r="M835" s="1">
        <v>2018</v>
      </c>
      <c r="N835" s="1" t="str">
        <f t="shared" si="13"/>
        <v>Francophone</v>
      </c>
      <c r="O835" s="3" t="str">
        <f>_xlfn.XLOOKUP(D:D,MappingTable[Brand],MappingTable[Brand Type], "not found")</f>
        <v>Beer</v>
      </c>
      <c r="P835" t="str">
        <f>_xlfn.XLOOKUP(L:L,MappingTable2[Month],MappingTable2[Quarters],"NIL")</f>
        <v>Q2</v>
      </c>
      <c r="Q835" s="1"/>
    </row>
    <row r="836" spans="1:17" x14ac:dyDescent="0.2">
      <c r="A836" s="1">
        <v>10935</v>
      </c>
      <c r="B836" s="1" t="s">
        <v>25</v>
      </c>
      <c r="C836" s="1" t="s">
        <v>26</v>
      </c>
      <c r="D836" s="1" t="s">
        <v>21</v>
      </c>
      <c r="E836" s="3">
        <v>250</v>
      </c>
      <c r="F836" s="3">
        <v>500</v>
      </c>
      <c r="G836" s="13">
        <v>796</v>
      </c>
      <c r="H836" s="3">
        <v>398000</v>
      </c>
      <c r="I836" s="3">
        <v>199000</v>
      </c>
      <c r="J836" s="1" t="s">
        <v>40</v>
      </c>
      <c r="K836" s="1" t="s">
        <v>17</v>
      </c>
      <c r="L836" s="1" t="s">
        <v>49</v>
      </c>
      <c r="M836" s="1">
        <v>2017</v>
      </c>
      <c r="N836" s="1" t="str">
        <f t="shared" si="13"/>
        <v>Francophone</v>
      </c>
      <c r="O836" s="3" t="str">
        <f>_xlfn.XLOOKUP(D:D,MappingTable[Brand],MappingTable[Brand Type], "not found")</f>
        <v>Beer</v>
      </c>
      <c r="P836" t="str">
        <f>_xlfn.XLOOKUP(L:L,MappingTable2[Month],MappingTable2[Quarters],"NIL")</f>
        <v>Q3</v>
      </c>
      <c r="Q836" s="1"/>
    </row>
    <row r="837" spans="1:17" x14ac:dyDescent="0.2">
      <c r="A837" s="1">
        <v>10936</v>
      </c>
      <c r="B837" s="1" t="s">
        <v>19</v>
      </c>
      <c r="C837" s="1" t="s">
        <v>20</v>
      </c>
      <c r="D837" s="1" t="s">
        <v>27</v>
      </c>
      <c r="E837" s="3">
        <v>180</v>
      </c>
      <c r="F837" s="3">
        <v>450</v>
      </c>
      <c r="G837" s="13">
        <v>923</v>
      </c>
      <c r="H837" s="3">
        <v>415350</v>
      </c>
      <c r="I837" s="3">
        <v>249210</v>
      </c>
      <c r="J837" s="1" t="s">
        <v>16</v>
      </c>
      <c r="K837" s="1" t="s">
        <v>23</v>
      </c>
      <c r="L837" s="1" t="s">
        <v>50</v>
      </c>
      <c r="M837" s="1">
        <v>2019</v>
      </c>
      <c r="N837" s="1" t="str">
        <f t="shared" si="13"/>
        <v>Anglophone</v>
      </c>
      <c r="O837" s="3" t="str">
        <f>_xlfn.XLOOKUP(D:D,MappingTable[Brand],MappingTable[Brand Type], "not found")</f>
        <v>Beer</v>
      </c>
      <c r="P837" t="str">
        <f>_xlfn.XLOOKUP(L:L,MappingTable2[Month],MappingTable2[Quarters],"NIL")</f>
        <v>Q3</v>
      </c>
      <c r="Q837" s="1"/>
    </row>
    <row r="838" spans="1:17" x14ac:dyDescent="0.2">
      <c r="A838" s="1">
        <v>10937</v>
      </c>
      <c r="B838" s="1" t="s">
        <v>25</v>
      </c>
      <c r="C838" s="1" t="s">
        <v>26</v>
      </c>
      <c r="D838" s="1" t="s">
        <v>33</v>
      </c>
      <c r="E838" s="3">
        <v>170</v>
      </c>
      <c r="F838" s="3">
        <v>250</v>
      </c>
      <c r="G838" s="13">
        <v>990</v>
      </c>
      <c r="H838" s="3">
        <v>247500</v>
      </c>
      <c r="I838" s="3">
        <v>79200</v>
      </c>
      <c r="J838" s="1" t="s">
        <v>22</v>
      </c>
      <c r="K838" s="1" t="s">
        <v>29</v>
      </c>
      <c r="L838" s="1" t="s">
        <v>53</v>
      </c>
      <c r="M838" s="1">
        <v>2018</v>
      </c>
      <c r="N838" s="1" t="str">
        <f t="shared" si="13"/>
        <v>Anglophone</v>
      </c>
      <c r="O838" s="3" t="str">
        <f>_xlfn.XLOOKUP(D:D,MappingTable[Brand],MappingTable[Brand Type], "not found")</f>
        <v>Beer</v>
      </c>
      <c r="P838" t="str">
        <f>_xlfn.XLOOKUP(L:L,MappingTable2[Month],MappingTable2[Quarters],"NIL")</f>
        <v>Q3</v>
      </c>
      <c r="Q838" s="1"/>
    </row>
    <row r="839" spans="1:17" x14ac:dyDescent="0.2">
      <c r="A839" s="1">
        <v>10938</v>
      </c>
      <c r="B839" s="1" t="s">
        <v>46</v>
      </c>
      <c r="C839" s="1" t="s">
        <v>47</v>
      </c>
      <c r="D839" s="1" t="s">
        <v>39</v>
      </c>
      <c r="E839" s="3">
        <v>150</v>
      </c>
      <c r="F839" s="3">
        <v>200</v>
      </c>
      <c r="G839" s="13">
        <v>957</v>
      </c>
      <c r="H839" s="3">
        <v>191400</v>
      </c>
      <c r="I839" s="3">
        <v>47850</v>
      </c>
      <c r="J839" s="1" t="s">
        <v>28</v>
      </c>
      <c r="K839" s="1" t="s">
        <v>35</v>
      </c>
      <c r="L839" s="1" t="s">
        <v>56</v>
      </c>
      <c r="M839" s="1">
        <v>2017</v>
      </c>
      <c r="N839" s="1" t="str">
        <f t="shared" si="13"/>
        <v>Francophone</v>
      </c>
      <c r="O839" s="3" t="str">
        <f>_xlfn.XLOOKUP(D:D,MappingTable[Brand],MappingTable[Brand Type], "not found")</f>
        <v>Beer</v>
      </c>
      <c r="P839" t="str">
        <f>_xlfn.XLOOKUP(L:L,MappingTable2[Month],MappingTable2[Quarters],"NIL")</f>
        <v>Q4</v>
      </c>
      <c r="Q839" s="1"/>
    </row>
    <row r="840" spans="1:17" x14ac:dyDescent="0.2">
      <c r="A840" s="1">
        <v>10939</v>
      </c>
      <c r="B840" s="1" t="s">
        <v>37</v>
      </c>
      <c r="C840" s="1" t="s">
        <v>38</v>
      </c>
      <c r="D840" s="1" t="s">
        <v>43</v>
      </c>
      <c r="E840" s="3">
        <v>80</v>
      </c>
      <c r="F840" s="3">
        <v>150</v>
      </c>
      <c r="G840" s="13">
        <v>836</v>
      </c>
      <c r="H840" s="3">
        <v>125400</v>
      </c>
      <c r="I840" s="3">
        <v>58520</v>
      </c>
      <c r="J840" s="1" t="s">
        <v>34</v>
      </c>
      <c r="K840" s="1" t="s">
        <v>41</v>
      </c>
      <c r="L840" s="1" t="s">
        <v>59</v>
      </c>
      <c r="M840" s="1">
        <v>2018</v>
      </c>
      <c r="N840" s="1" t="str">
        <f t="shared" si="13"/>
        <v>Francophone</v>
      </c>
      <c r="O840" s="3" t="str">
        <f>_xlfn.XLOOKUP(D:D,MappingTable[Brand],MappingTable[Brand Type], "not found")</f>
        <v>Malt</v>
      </c>
      <c r="P840" t="str">
        <f>_xlfn.XLOOKUP(L:L,MappingTable2[Month],MappingTable2[Quarters],"NIL")</f>
        <v>Q4</v>
      </c>
      <c r="Q840" s="1"/>
    </row>
    <row r="841" spans="1:17" x14ac:dyDescent="0.2">
      <c r="A841" s="1">
        <v>10940</v>
      </c>
      <c r="B841" s="1" t="s">
        <v>13</v>
      </c>
      <c r="C841" s="1" t="s">
        <v>14</v>
      </c>
      <c r="D841" s="1" t="s">
        <v>48</v>
      </c>
      <c r="E841" s="3">
        <v>90</v>
      </c>
      <c r="F841" s="3">
        <v>150</v>
      </c>
      <c r="G841" s="13">
        <v>936</v>
      </c>
      <c r="H841" s="3">
        <v>140400</v>
      </c>
      <c r="I841" s="3">
        <v>56160</v>
      </c>
      <c r="J841" s="1" t="s">
        <v>40</v>
      </c>
      <c r="K841" s="1" t="s">
        <v>44</v>
      </c>
      <c r="L841" s="1" t="s">
        <v>60</v>
      </c>
      <c r="M841" s="1">
        <v>2019</v>
      </c>
      <c r="N841" s="1" t="str">
        <f t="shared" si="13"/>
        <v>Francophone</v>
      </c>
      <c r="O841" s="3" t="str">
        <f>_xlfn.XLOOKUP(D:D,MappingTable[Brand],MappingTable[Brand Type], "not found")</f>
        <v>Malt</v>
      </c>
      <c r="P841" t="str">
        <f>_xlfn.XLOOKUP(L:L,MappingTable2[Month],MappingTable2[Quarters],"NIL")</f>
        <v>Q4</v>
      </c>
      <c r="Q841" s="1"/>
    </row>
    <row r="842" spans="1:17" x14ac:dyDescent="0.2">
      <c r="A842" s="1">
        <v>10941</v>
      </c>
      <c r="B842" s="1" t="s">
        <v>13</v>
      </c>
      <c r="C842" s="1" t="s">
        <v>14</v>
      </c>
      <c r="D842" s="1" t="s">
        <v>15</v>
      </c>
      <c r="E842" s="3">
        <v>150</v>
      </c>
      <c r="F842" s="3">
        <v>200</v>
      </c>
      <c r="G842" s="13">
        <v>924</v>
      </c>
      <c r="H842" s="3">
        <v>184800</v>
      </c>
      <c r="I842" s="3">
        <v>46200</v>
      </c>
      <c r="J842" s="1" t="s">
        <v>16</v>
      </c>
      <c r="K842" s="1" t="s">
        <v>17</v>
      </c>
      <c r="L842" s="1" t="s">
        <v>18</v>
      </c>
      <c r="M842" s="1">
        <v>2019</v>
      </c>
      <c r="N842" s="1" t="str">
        <f t="shared" si="13"/>
        <v>Anglophone</v>
      </c>
      <c r="O842" s="3" t="str">
        <f>_xlfn.XLOOKUP(D:D,MappingTable[Brand],MappingTable[Brand Type], "not found")</f>
        <v>Beer</v>
      </c>
      <c r="P842" t="str">
        <f>_xlfn.XLOOKUP(L:L,MappingTable2[Month],MappingTable2[Quarters],"NIL")</f>
        <v>Q1</v>
      </c>
      <c r="Q842" s="1"/>
    </row>
    <row r="843" spans="1:17" x14ac:dyDescent="0.2">
      <c r="A843" s="1">
        <v>10942</v>
      </c>
      <c r="B843" s="1" t="s">
        <v>37</v>
      </c>
      <c r="C843" s="1" t="s">
        <v>38</v>
      </c>
      <c r="D843" s="1" t="s">
        <v>21</v>
      </c>
      <c r="E843" s="3">
        <v>250</v>
      </c>
      <c r="F843" s="3">
        <v>500</v>
      </c>
      <c r="G843" s="13">
        <v>998</v>
      </c>
      <c r="H843" s="3">
        <v>499000</v>
      </c>
      <c r="I843" s="3">
        <v>249500</v>
      </c>
      <c r="J843" s="1" t="s">
        <v>22</v>
      </c>
      <c r="K843" s="1" t="s">
        <v>23</v>
      </c>
      <c r="L843" s="1" t="s">
        <v>24</v>
      </c>
      <c r="M843" s="1">
        <v>2017</v>
      </c>
      <c r="N843" s="1" t="str">
        <f t="shared" si="13"/>
        <v>Anglophone</v>
      </c>
      <c r="O843" s="3" t="str">
        <f>_xlfn.XLOOKUP(D:D,MappingTable[Brand],MappingTable[Brand Type], "not found")</f>
        <v>Beer</v>
      </c>
      <c r="P843" t="str">
        <f>_xlfn.XLOOKUP(L:L,MappingTable2[Month],MappingTable2[Quarters],"NIL")</f>
        <v>Q1</v>
      </c>
      <c r="Q843" s="1"/>
    </row>
    <row r="844" spans="1:17" x14ac:dyDescent="0.2">
      <c r="A844" s="1">
        <v>10943</v>
      </c>
      <c r="B844" s="1" t="s">
        <v>13</v>
      </c>
      <c r="C844" s="1" t="s">
        <v>14</v>
      </c>
      <c r="D844" s="1" t="s">
        <v>27</v>
      </c>
      <c r="E844" s="3">
        <v>180</v>
      </c>
      <c r="F844" s="3">
        <v>450</v>
      </c>
      <c r="G844" s="13">
        <v>862</v>
      </c>
      <c r="H844" s="3">
        <v>387900</v>
      </c>
      <c r="I844" s="3">
        <v>232740</v>
      </c>
      <c r="J844" s="1" t="s">
        <v>28</v>
      </c>
      <c r="K844" s="1" t="s">
        <v>29</v>
      </c>
      <c r="L844" s="1" t="s">
        <v>30</v>
      </c>
      <c r="M844" s="1">
        <v>2018</v>
      </c>
      <c r="N844" s="1" t="str">
        <f t="shared" si="13"/>
        <v>Francophone</v>
      </c>
      <c r="O844" s="3" t="str">
        <f>_xlfn.XLOOKUP(D:D,MappingTable[Brand],MappingTable[Brand Type], "not found")</f>
        <v>Beer</v>
      </c>
      <c r="P844" t="str">
        <f>_xlfn.XLOOKUP(L:L,MappingTable2[Month],MappingTable2[Quarters],"NIL")</f>
        <v>Q1</v>
      </c>
      <c r="Q844" s="1"/>
    </row>
    <row r="845" spans="1:17" x14ac:dyDescent="0.2">
      <c r="A845" s="1">
        <v>10944</v>
      </c>
      <c r="B845" s="1" t="s">
        <v>19</v>
      </c>
      <c r="C845" s="1" t="s">
        <v>20</v>
      </c>
      <c r="D845" s="1" t="s">
        <v>33</v>
      </c>
      <c r="E845" s="3">
        <v>170</v>
      </c>
      <c r="F845" s="3">
        <v>250</v>
      </c>
      <c r="G845" s="13">
        <v>963</v>
      </c>
      <c r="H845" s="3">
        <v>240750</v>
      </c>
      <c r="I845" s="3">
        <v>77040</v>
      </c>
      <c r="J845" s="1" t="s">
        <v>34</v>
      </c>
      <c r="K845" s="1" t="s">
        <v>35</v>
      </c>
      <c r="L845" s="1" t="s">
        <v>36</v>
      </c>
      <c r="M845" s="1">
        <v>2018</v>
      </c>
      <c r="N845" s="1" t="str">
        <f t="shared" si="13"/>
        <v>Francophone</v>
      </c>
      <c r="O845" s="3" t="str">
        <f>_xlfn.XLOOKUP(D:D,MappingTable[Brand],MappingTable[Brand Type], "not found")</f>
        <v>Beer</v>
      </c>
      <c r="P845" t="str">
        <f>_xlfn.XLOOKUP(L:L,MappingTable2[Month],MappingTable2[Quarters],"NIL")</f>
        <v>Q2</v>
      </c>
      <c r="Q845" s="1"/>
    </row>
    <row r="846" spans="1:17" x14ac:dyDescent="0.2">
      <c r="A846" s="1">
        <v>10945</v>
      </c>
      <c r="B846" s="1" t="s">
        <v>25</v>
      </c>
      <c r="C846" s="1" t="s">
        <v>26</v>
      </c>
      <c r="D846" s="1" t="s">
        <v>39</v>
      </c>
      <c r="E846" s="3">
        <v>150</v>
      </c>
      <c r="F846" s="3">
        <v>200</v>
      </c>
      <c r="G846" s="13">
        <v>849</v>
      </c>
      <c r="H846" s="3">
        <v>169800</v>
      </c>
      <c r="I846" s="3">
        <v>42450</v>
      </c>
      <c r="J846" s="1" t="s">
        <v>40</v>
      </c>
      <c r="K846" s="1" t="s">
        <v>41</v>
      </c>
      <c r="L846" s="1" t="s">
        <v>42</v>
      </c>
      <c r="M846" s="1">
        <v>2017</v>
      </c>
      <c r="N846" s="1" t="str">
        <f t="shared" si="13"/>
        <v>Francophone</v>
      </c>
      <c r="O846" s="3" t="str">
        <f>_xlfn.XLOOKUP(D:D,MappingTable[Brand],MappingTable[Brand Type], "not found")</f>
        <v>Beer</v>
      </c>
      <c r="P846" t="str">
        <f>_xlfn.XLOOKUP(L:L,MappingTable2[Month],MappingTable2[Quarters],"NIL")</f>
        <v>Q2</v>
      </c>
      <c r="Q846" s="1"/>
    </row>
    <row r="847" spans="1:17" x14ac:dyDescent="0.2">
      <c r="A847" s="1">
        <v>10946</v>
      </c>
      <c r="B847" s="1" t="s">
        <v>31</v>
      </c>
      <c r="C847" s="1" t="s">
        <v>32</v>
      </c>
      <c r="D847" s="1" t="s">
        <v>43</v>
      </c>
      <c r="E847" s="3">
        <v>80</v>
      </c>
      <c r="F847" s="3">
        <v>150</v>
      </c>
      <c r="G847" s="13">
        <v>938</v>
      </c>
      <c r="H847" s="3">
        <v>140700</v>
      </c>
      <c r="I847" s="3">
        <v>65660</v>
      </c>
      <c r="J847" s="1" t="s">
        <v>16</v>
      </c>
      <c r="K847" s="1" t="s">
        <v>44</v>
      </c>
      <c r="L847" s="1" t="s">
        <v>45</v>
      </c>
      <c r="M847" s="1">
        <v>2017</v>
      </c>
      <c r="N847" s="1" t="str">
        <f t="shared" si="13"/>
        <v>Anglophone</v>
      </c>
      <c r="O847" s="3" t="str">
        <f>_xlfn.XLOOKUP(D:D,MappingTable[Brand],MappingTable[Brand Type], "not found")</f>
        <v>Malt</v>
      </c>
      <c r="P847" t="str">
        <f>_xlfn.XLOOKUP(L:L,MappingTable2[Month],MappingTable2[Quarters],"NIL")</f>
        <v>Q2</v>
      </c>
      <c r="Q847" s="1"/>
    </row>
    <row r="848" spans="1:17" x14ac:dyDescent="0.2">
      <c r="A848" s="1">
        <v>10947</v>
      </c>
      <c r="B848" s="1" t="s">
        <v>37</v>
      </c>
      <c r="C848" s="1" t="s">
        <v>38</v>
      </c>
      <c r="D848" s="1" t="s">
        <v>48</v>
      </c>
      <c r="E848" s="3">
        <v>90</v>
      </c>
      <c r="F848" s="3">
        <v>150</v>
      </c>
      <c r="G848" s="13">
        <v>918</v>
      </c>
      <c r="H848" s="3">
        <v>137700</v>
      </c>
      <c r="I848" s="3">
        <v>55080</v>
      </c>
      <c r="J848" s="1" t="s">
        <v>22</v>
      </c>
      <c r="K848" s="1" t="s">
        <v>17</v>
      </c>
      <c r="L848" s="1" t="s">
        <v>49</v>
      </c>
      <c r="M848" s="1">
        <v>2018</v>
      </c>
      <c r="N848" s="1" t="str">
        <f t="shared" si="13"/>
        <v>Anglophone</v>
      </c>
      <c r="O848" s="3" t="str">
        <f>_xlfn.XLOOKUP(D:D,MappingTable[Brand],MappingTable[Brand Type], "not found")</f>
        <v>Malt</v>
      </c>
      <c r="P848" t="str">
        <f>_xlfn.XLOOKUP(L:L,MappingTable2[Month],MappingTable2[Quarters],"NIL")</f>
        <v>Q3</v>
      </c>
      <c r="Q848" s="1"/>
    </row>
    <row r="849" spans="1:17" x14ac:dyDescent="0.2">
      <c r="A849" s="1">
        <v>10948</v>
      </c>
      <c r="B849" s="1" t="s">
        <v>13</v>
      </c>
      <c r="C849" s="1" t="s">
        <v>14</v>
      </c>
      <c r="D849" s="1" t="s">
        <v>15</v>
      </c>
      <c r="E849" s="3">
        <v>150</v>
      </c>
      <c r="F849" s="3">
        <v>200</v>
      </c>
      <c r="G849" s="13">
        <v>728</v>
      </c>
      <c r="H849" s="3">
        <v>145600</v>
      </c>
      <c r="I849" s="3">
        <v>36400</v>
      </c>
      <c r="J849" s="1" t="s">
        <v>28</v>
      </c>
      <c r="K849" s="1" t="s">
        <v>23</v>
      </c>
      <c r="L849" s="1" t="s">
        <v>50</v>
      </c>
      <c r="M849" s="1">
        <v>2017</v>
      </c>
      <c r="N849" s="1" t="str">
        <f t="shared" si="13"/>
        <v>Francophone</v>
      </c>
      <c r="O849" s="3" t="str">
        <f>_xlfn.XLOOKUP(D:D,MappingTable[Brand],MappingTable[Brand Type], "not found")</f>
        <v>Beer</v>
      </c>
      <c r="P849" t="str">
        <f>_xlfn.XLOOKUP(L:L,MappingTable2[Month],MappingTable2[Quarters],"NIL")</f>
        <v>Q3</v>
      </c>
      <c r="Q849" s="1"/>
    </row>
    <row r="850" spans="1:17" x14ac:dyDescent="0.2">
      <c r="A850" s="1">
        <v>10949</v>
      </c>
      <c r="B850" s="1" t="s">
        <v>46</v>
      </c>
      <c r="C850" s="1" t="s">
        <v>47</v>
      </c>
      <c r="D850" s="1" t="s">
        <v>21</v>
      </c>
      <c r="E850" s="3">
        <v>250</v>
      </c>
      <c r="F850" s="3">
        <v>500</v>
      </c>
      <c r="G850" s="13">
        <v>999</v>
      </c>
      <c r="H850" s="3">
        <v>499500</v>
      </c>
      <c r="I850" s="3">
        <v>249750</v>
      </c>
      <c r="J850" s="1" t="s">
        <v>34</v>
      </c>
      <c r="K850" s="1" t="s">
        <v>29</v>
      </c>
      <c r="L850" s="1" t="s">
        <v>53</v>
      </c>
      <c r="M850" s="1">
        <v>2019</v>
      </c>
      <c r="N850" s="1" t="str">
        <f t="shared" si="13"/>
        <v>Francophone</v>
      </c>
      <c r="O850" s="3" t="str">
        <f>_xlfn.XLOOKUP(D:D,MappingTable[Brand],MappingTable[Brand Type], "not found")</f>
        <v>Beer</v>
      </c>
      <c r="P850" t="str">
        <f>_xlfn.XLOOKUP(L:L,MappingTable2[Month],MappingTable2[Quarters],"NIL")</f>
        <v>Q3</v>
      </c>
      <c r="Q850" s="1"/>
    </row>
    <row r="851" spans="1:17" x14ac:dyDescent="0.2">
      <c r="A851" s="1">
        <v>10950</v>
      </c>
      <c r="B851" s="1" t="s">
        <v>31</v>
      </c>
      <c r="C851" s="1" t="s">
        <v>32</v>
      </c>
      <c r="D851" s="1" t="s">
        <v>27</v>
      </c>
      <c r="E851" s="3">
        <v>180</v>
      </c>
      <c r="F851" s="3">
        <v>450</v>
      </c>
      <c r="G851" s="13">
        <v>888</v>
      </c>
      <c r="H851" s="3">
        <v>399600</v>
      </c>
      <c r="I851" s="3">
        <v>239760</v>
      </c>
      <c r="J851" s="1" t="s">
        <v>40</v>
      </c>
      <c r="K851" s="1" t="s">
        <v>35</v>
      </c>
      <c r="L851" s="1" t="s">
        <v>56</v>
      </c>
      <c r="M851" s="1">
        <v>2018</v>
      </c>
      <c r="N851" s="1" t="str">
        <f t="shared" si="13"/>
        <v>Francophone</v>
      </c>
      <c r="O851" s="3" t="str">
        <f>_xlfn.XLOOKUP(D:D,MappingTable[Brand],MappingTable[Brand Type], "not found")</f>
        <v>Beer</v>
      </c>
      <c r="P851" t="str">
        <f>_xlfn.XLOOKUP(L:L,MappingTable2[Month],MappingTable2[Quarters],"NIL")</f>
        <v>Q4</v>
      </c>
      <c r="Q851" s="1"/>
    </row>
    <row r="852" spans="1:17" x14ac:dyDescent="0.2">
      <c r="A852" s="1">
        <v>10951</v>
      </c>
      <c r="B852" s="1" t="s">
        <v>51</v>
      </c>
      <c r="C852" s="1" t="s">
        <v>52</v>
      </c>
      <c r="D852" s="1" t="s">
        <v>33</v>
      </c>
      <c r="E852" s="3">
        <v>170</v>
      </c>
      <c r="F852" s="3">
        <v>250</v>
      </c>
      <c r="G852" s="13">
        <v>746</v>
      </c>
      <c r="H852" s="3">
        <v>186500</v>
      </c>
      <c r="I852" s="3">
        <v>59680</v>
      </c>
      <c r="J852" s="1" t="s">
        <v>16</v>
      </c>
      <c r="K852" s="1" t="s">
        <v>41</v>
      </c>
      <c r="L852" s="1" t="s">
        <v>59</v>
      </c>
      <c r="M852" s="1">
        <v>2018</v>
      </c>
      <c r="N852" s="1" t="str">
        <f t="shared" si="13"/>
        <v>Anglophone</v>
      </c>
      <c r="O852" s="3" t="str">
        <f>_xlfn.XLOOKUP(D:D,MappingTable[Brand],MappingTable[Brand Type], "not found")</f>
        <v>Beer</v>
      </c>
      <c r="P852" t="str">
        <f>_xlfn.XLOOKUP(L:L,MappingTable2[Month],MappingTable2[Quarters],"NIL")</f>
        <v>Q4</v>
      </c>
      <c r="Q852" s="1"/>
    </row>
    <row r="853" spans="1:17" x14ac:dyDescent="0.2">
      <c r="A853" s="1">
        <v>10952</v>
      </c>
      <c r="B853" s="1" t="s">
        <v>54</v>
      </c>
      <c r="C853" s="1" t="s">
        <v>55</v>
      </c>
      <c r="D853" s="1" t="s">
        <v>39</v>
      </c>
      <c r="E853" s="3">
        <v>150</v>
      </c>
      <c r="F853" s="3">
        <v>200</v>
      </c>
      <c r="G853" s="13">
        <v>989</v>
      </c>
      <c r="H853" s="3">
        <v>197800</v>
      </c>
      <c r="I853" s="3">
        <v>49450</v>
      </c>
      <c r="J853" s="1" t="s">
        <v>22</v>
      </c>
      <c r="K853" s="1" t="s">
        <v>44</v>
      </c>
      <c r="L853" s="1" t="s">
        <v>60</v>
      </c>
      <c r="M853" s="1">
        <v>2017</v>
      </c>
      <c r="N853" s="1" t="str">
        <f t="shared" si="13"/>
        <v>Anglophone</v>
      </c>
      <c r="O853" s="3" t="str">
        <f>_xlfn.XLOOKUP(D:D,MappingTable[Brand],MappingTable[Brand Type], "not found")</f>
        <v>Beer</v>
      </c>
      <c r="P853" t="str">
        <f>_xlfn.XLOOKUP(L:L,MappingTable2[Month],MappingTable2[Quarters],"NIL")</f>
        <v>Q4</v>
      </c>
      <c r="Q853" s="1"/>
    </row>
    <row r="854" spans="1:17" x14ac:dyDescent="0.2">
      <c r="A854" s="1">
        <v>10953</v>
      </c>
      <c r="B854" s="1" t="s">
        <v>57</v>
      </c>
      <c r="C854" s="1" t="s">
        <v>58</v>
      </c>
      <c r="D854" s="1" t="s">
        <v>43</v>
      </c>
      <c r="E854" s="3">
        <v>80</v>
      </c>
      <c r="F854" s="3">
        <v>150</v>
      </c>
      <c r="G854" s="13">
        <v>948</v>
      </c>
      <c r="H854" s="3">
        <v>142200</v>
      </c>
      <c r="I854" s="3">
        <v>66360</v>
      </c>
      <c r="J854" s="1" t="s">
        <v>28</v>
      </c>
      <c r="K854" s="1" t="s">
        <v>17</v>
      </c>
      <c r="L854" s="1" t="s">
        <v>18</v>
      </c>
      <c r="M854" s="1">
        <v>2019</v>
      </c>
      <c r="N854" s="1" t="str">
        <f t="shared" si="13"/>
        <v>Francophone</v>
      </c>
      <c r="O854" s="3" t="str">
        <f>_xlfn.XLOOKUP(D:D,MappingTable[Brand],MappingTable[Brand Type], "not found")</f>
        <v>Malt</v>
      </c>
      <c r="P854" t="str">
        <f>_xlfn.XLOOKUP(L:L,MappingTable2[Month],MappingTable2[Quarters],"NIL")</f>
        <v>Q1</v>
      </c>
      <c r="Q854" s="1"/>
    </row>
    <row r="855" spans="1:17" x14ac:dyDescent="0.2">
      <c r="A855" s="1">
        <v>10954</v>
      </c>
      <c r="B855" s="1" t="s">
        <v>31</v>
      </c>
      <c r="C855" s="1" t="s">
        <v>32</v>
      </c>
      <c r="D855" s="1" t="s">
        <v>48</v>
      </c>
      <c r="E855" s="3">
        <v>90</v>
      </c>
      <c r="F855" s="3">
        <v>150</v>
      </c>
      <c r="G855" s="13">
        <v>919</v>
      </c>
      <c r="H855" s="3">
        <v>137850</v>
      </c>
      <c r="I855" s="3">
        <v>55140</v>
      </c>
      <c r="J855" s="1" t="s">
        <v>34</v>
      </c>
      <c r="K855" s="1" t="s">
        <v>23</v>
      </c>
      <c r="L855" s="1" t="s">
        <v>24</v>
      </c>
      <c r="M855" s="1">
        <v>2019</v>
      </c>
      <c r="N855" s="1" t="str">
        <f t="shared" si="13"/>
        <v>Francophone</v>
      </c>
      <c r="O855" s="3" t="str">
        <f>_xlfn.XLOOKUP(D:D,MappingTable[Brand],MappingTable[Brand Type], "not found")</f>
        <v>Malt</v>
      </c>
      <c r="P855" t="str">
        <f>_xlfn.XLOOKUP(L:L,MappingTable2[Month],MappingTable2[Quarters],"NIL")</f>
        <v>Q1</v>
      </c>
      <c r="Q855" s="1"/>
    </row>
    <row r="856" spans="1:17" x14ac:dyDescent="0.2">
      <c r="A856" s="1">
        <v>10955</v>
      </c>
      <c r="B856" s="1" t="s">
        <v>61</v>
      </c>
      <c r="C856" s="1" t="s">
        <v>62</v>
      </c>
      <c r="D856" s="1" t="s">
        <v>15</v>
      </c>
      <c r="E856" s="3">
        <v>150</v>
      </c>
      <c r="F856" s="3">
        <v>200</v>
      </c>
      <c r="G856" s="13">
        <v>887</v>
      </c>
      <c r="H856" s="3">
        <v>177400</v>
      </c>
      <c r="I856" s="3">
        <v>44350</v>
      </c>
      <c r="J856" s="1" t="s">
        <v>40</v>
      </c>
      <c r="K856" s="1" t="s">
        <v>29</v>
      </c>
      <c r="L856" s="1" t="s">
        <v>30</v>
      </c>
      <c r="M856" s="1">
        <v>2017</v>
      </c>
      <c r="N856" s="1" t="str">
        <f t="shared" si="13"/>
        <v>Francophone</v>
      </c>
      <c r="O856" s="3" t="str">
        <f>_xlfn.XLOOKUP(D:D,MappingTable[Brand],MappingTable[Brand Type], "not found")</f>
        <v>Beer</v>
      </c>
      <c r="P856" t="str">
        <f>_xlfn.XLOOKUP(L:L,MappingTable2[Month],MappingTable2[Quarters],"NIL")</f>
        <v>Q1</v>
      </c>
      <c r="Q856" s="1"/>
    </row>
    <row r="857" spans="1:17" x14ac:dyDescent="0.2">
      <c r="A857" s="1">
        <v>10956</v>
      </c>
      <c r="B857" s="1" t="s">
        <v>31</v>
      </c>
      <c r="C857" s="1" t="s">
        <v>32</v>
      </c>
      <c r="D857" s="1" t="s">
        <v>21</v>
      </c>
      <c r="E857" s="3">
        <v>250</v>
      </c>
      <c r="F857" s="3">
        <v>500</v>
      </c>
      <c r="G857" s="13">
        <v>784</v>
      </c>
      <c r="H857" s="3">
        <v>392000</v>
      </c>
      <c r="I857" s="3">
        <v>196000</v>
      </c>
      <c r="J857" s="1" t="s">
        <v>16</v>
      </c>
      <c r="K857" s="1" t="s">
        <v>35</v>
      </c>
      <c r="L857" s="1" t="s">
        <v>36</v>
      </c>
      <c r="M857" s="1">
        <v>2019</v>
      </c>
      <c r="N857" s="1" t="str">
        <f t="shared" si="13"/>
        <v>Anglophone</v>
      </c>
      <c r="O857" s="3" t="str">
        <f>_xlfn.XLOOKUP(D:D,MappingTable[Brand],MappingTable[Brand Type], "not found")</f>
        <v>Beer</v>
      </c>
      <c r="P857" t="str">
        <f>_xlfn.XLOOKUP(L:L,MappingTable2[Month],MappingTable2[Quarters],"NIL")</f>
        <v>Q2</v>
      </c>
      <c r="Q857" s="1"/>
    </row>
    <row r="858" spans="1:17" x14ac:dyDescent="0.2">
      <c r="A858" s="1">
        <v>10957</v>
      </c>
      <c r="B858" s="1" t="s">
        <v>13</v>
      </c>
      <c r="C858" s="1" t="s">
        <v>14</v>
      </c>
      <c r="D858" s="1" t="s">
        <v>27</v>
      </c>
      <c r="E858" s="3">
        <v>180</v>
      </c>
      <c r="F858" s="3">
        <v>450</v>
      </c>
      <c r="G858" s="13">
        <v>795</v>
      </c>
      <c r="H858" s="3">
        <v>357750</v>
      </c>
      <c r="I858" s="3">
        <v>214650</v>
      </c>
      <c r="J858" s="1" t="s">
        <v>22</v>
      </c>
      <c r="K858" s="1" t="s">
        <v>41</v>
      </c>
      <c r="L858" s="1" t="s">
        <v>42</v>
      </c>
      <c r="M858" s="1">
        <v>2017</v>
      </c>
      <c r="N858" s="1" t="str">
        <f t="shared" si="13"/>
        <v>Anglophone</v>
      </c>
      <c r="O858" s="3" t="str">
        <f>_xlfn.XLOOKUP(D:D,MappingTable[Brand],MappingTable[Brand Type], "not found")</f>
        <v>Beer</v>
      </c>
      <c r="P858" t="str">
        <f>_xlfn.XLOOKUP(L:L,MappingTable2[Month],MappingTable2[Quarters],"NIL")</f>
        <v>Q2</v>
      </c>
      <c r="Q858" s="1"/>
    </row>
    <row r="859" spans="1:17" x14ac:dyDescent="0.2">
      <c r="A859" s="1">
        <v>10958</v>
      </c>
      <c r="B859" s="1" t="s">
        <v>19</v>
      </c>
      <c r="C859" s="1" t="s">
        <v>20</v>
      </c>
      <c r="D859" s="1" t="s">
        <v>33</v>
      </c>
      <c r="E859" s="3">
        <v>170</v>
      </c>
      <c r="F859" s="3">
        <v>250</v>
      </c>
      <c r="G859" s="13">
        <v>948</v>
      </c>
      <c r="H859" s="3">
        <v>237000</v>
      </c>
      <c r="I859" s="3">
        <v>75840</v>
      </c>
      <c r="J859" s="1" t="s">
        <v>28</v>
      </c>
      <c r="K859" s="1" t="s">
        <v>44</v>
      </c>
      <c r="L859" s="1" t="s">
        <v>45</v>
      </c>
      <c r="M859" s="1">
        <v>2019</v>
      </c>
      <c r="N859" s="1" t="str">
        <f t="shared" si="13"/>
        <v>Francophone</v>
      </c>
      <c r="O859" s="3" t="str">
        <f>_xlfn.XLOOKUP(D:D,MappingTable[Brand],MappingTable[Brand Type], "not found")</f>
        <v>Beer</v>
      </c>
      <c r="P859" t="str">
        <f>_xlfn.XLOOKUP(L:L,MappingTable2[Month],MappingTable2[Quarters],"NIL")</f>
        <v>Q2</v>
      </c>
      <c r="Q859" s="1"/>
    </row>
    <row r="860" spans="1:17" x14ac:dyDescent="0.2">
      <c r="A860" s="1">
        <v>10959</v>
      </c>
      <c r="B860" s="1" t="s">
        <v>25</v>
      </c>
      <c r="C860" s="1" t="s">
        <v>26</v>
      </c>
      <c r="D860" s="1" t="s">
        <v>39</v>
      </c>
      <c r="E860" s="3">
        <v>150</v>
      </c>
      <c r="F860" s="3">
        <v>200</v>
      </c>
      <c r="G860" s="13">
        <v>787</v>
      </c>
      <c r="H860" s="3">
        <v>157400</v>
      </c>
      <c r="I860" s="3">
        <v>39350</v>
      </c>
      <c r="J860" s="1" t="s">
        <v>34</v>
      </c>
      <c r="K860" s="1" t="s">
        <v>17</v>
      </c>
      <c r="L860" s="1" t="s">
        <v>49</v>
      </c>
      <c r="M860" s="1">
        <v>2019</v>
      </c>
      <c r="N860" s="1" t="str">
        <f t="shared" si="13"/>
        <v>Francophone</v>
      </c>
      <c r="O860" s="3" t="str">
        <f>_xlfn.XLOOKUP(D:D,MappingTable[Brand],MappingTable[Brand Type], "not found")</f>
        <v>Beer</v>
      </c>
      <c r="P860" t="str">
        <f>_xlfn.XLOOKUP(L:L,MappingTable2[Month],MappingTable2[Quarters],"NIL")</f>
        <v>Q3</v>
      </c>
      <c r="Q860" s="1"/>
    </row>
    <row r="861" spans="1:17" x14ac:dyDescent="0.2">
      <c r="A861" s="1">
        <v>10960</v>
      </c>
      <c r="B861" s="1" t="s">
        <v>31</v>
      </c>
      <c r="C861" s="1" t="s">
        <v>32</v>
      </c>
      <c r="D861" s="1" t="s">
        <v>43</v>
      </c>
      <c r="E861" s="3">
        <v>80</v>
      </c>
      <c r="F861" s="3">
        <v>150</v>
      </c>
      <c r="G861" s="13">
        <v>977</v>
      </c>
      <c r="H861" s="3">
        <v>146550</v>
      </c>
      <c r="I861" s="3">
        <v>68390</v>
      </c>
      <c r="J861" s="1" t="s">
        <v>40</v>
      </c>
      <c r="K861" s="1" t="s">
        <v>23</v>
      </c>
      <c r="L861" s="1" t="s">
        <v>50</v>
      </c>
      <c r="M861" s="1">
        <v>2018</v>
      </c>
      <c r="N861" s="1" t="str">
        <f t="shared" si="13"/>
        <v>Francophone</v>
      </c>
      <c r="O861" s="3" t="str">
        <f>_xlfn.XLOOKUP(D:D,MappingTable[Brand],MappingTable[Brand Type], "not found")</f>
        <v>Malt</v>
      </c>
      <c r="P861" t="str">
        <f>_xlfn.XLOOKUP(L:L,MappingTable2[Month],MappingTable2[Quarters],"NIL")</f>
        <v>Q3</v>
      </c>
      <c r="Q861" s="1"/>
    </row>
    <row r="862" spans="1:17" x14ac:dyDescent="0.2">
      <c r="A862" s="1">
        <v>10961</v>
      </c>
      <c r="B862" s="1" t="s">
        <v>37</v>
      </c>
      <c r="C862" s="1" t="s">
        <v>38</v>
      </c>
      <c r="D862" s="1" t="s">
        <v>48</v>
      </c>
      <c r="E862" s="3">
        <v>90</v>
      </c>
      <c r="F862" s="3">
        <v>150</v>
      </c>
      <c r="G862" s="13">
        <v>955</v>
      </c>
      <c r="H862" s="3">
        <v>143250</v>
      </c>
      <c r="I862" s="3">
        <v>57300</v>
      </c>
      <c r="J862" s="1" t="s">
        <v>16</v>
      </c>
      <c r="K862" s="1" t="s">
        <v>29</v>
      </c>
      <c r="L862" s="1" t="s">
        <v>53</v>
      </c>
      <c r="M862" s="1">
        <v>2017</v>
      </c>
      <c r="N862" s="1" t="str">
        <f t="shared" si="13"/>
        <v>Anglophone</v>
      </c>
      <c r="O862" s="3" t="str">
        <f>_xlfn.XLOOKUP(D:D,MappingTable[Brand],MappingTable[Brand Type], "not found")</f>
        <v>Malt</v>
      </c>
      <c r="P862" t="str">
        <f>_xlfn.XLOOKUP(L:L,MappingTable2[Month],MappingTable2[Quarters],"NIL")</f>
        <v>Q3</v>
      </c>
      <c r="Q862" s="1"/>
    </row>
    <row r="863" spans="1:17" x14ac:dyDescent="0.2">
      <c r="A863" s="1">
        <v>10962</v>
      </c>
      <c r="B863" s="1" t="s">
        <v>13</v>
      </c>
      <c r="C863" s="1" t="s">
        <v>14</v>
      </c>
      <c r="D863" s="1" t="s">
        <v>15</v>
      </c>
      <c r="E863" s="3">
        <v>150</v>
      </c>
      <c r="F863" s="3">
        <v>200</v>
      </c>
      <c r="G863" s="13">
        <v>955</v>
      </c>
      <c r="H863" s="3">
        <v>191000</v>
      </c>
      <c r="I863" s="3">
        <v>47750</v>
      </c>
      <c r="J863" s="1" t="s">
        <v>22</v>
      </c>
      <c r="K863" s="1" t="s">
        <v>35</v>
      </c>
      <c r="L863" s="1" t="s">
        <v>56</v>
      </c>
      <c r="M863" s="1">
        <v>2018</v>
      </c>
      <c r="N863" s="1" t="str">
        <f t="shared" si="13"/>
        <v>Anglophone</v>
      </c>
      <c r="O863" s="3" t="str">
        <f>_xlfn.XLOOKUP(D:D,MappingTable[Brand],MappingTable[Brand Type], "not found")</f>
        <v>Beer</v>
      </c>
      <c r="P863" t="str">
        <f>_xlfn.XLOOKUP(L:L,MappingTable2[Month],MappingTable2[Quarters],"NIL")</f>
        <v>Q4</v>
      </c>
      <c r="Q863" s="1"/>
    </row>
    <row r="864" spans="1:17" x14ac:dyDescent="0.2">
      <c r="A864" s="1">
        <v>10963</v>
      </c>
      <c r="B864" s="1" t="s">
        <v>46</v>
      </c>
      <c r="C864" s="1" t="s">
        <v>47</v>
      </c>
      <c r="D864" s="1" t="s">
        <v>21</v>
      </c>
      <c r="E864" s="3">
        <v>250</v>
      </c>
      <c r="F864" s="3">
        <v>500</v>
      </c>
      <c r="G864" s="13">
        <v>765</v>
      </c>
      <c r="H864" s="3">
        <v>382500</v>
      </c>
      <c r="I864" s="3">
        <v>191250</v>
      </c>
      <c r="J864" s="1" t="s">
        <v>28</v>
      </c>
      <c r="K864" s="1" t="s">
        <v>41</v>
      </c>
      <c r="L864" s="1" t="s">
        <v>59</v>
      </c>
      <c r="M864" s="1">
        <v>2017</v>
      </c>
      <c r="N864" s="1" t="str">
        <f t="shared" si="13"/>
        <v>Francophone</v>
      </c>
      <c r="O864" s="3" t="str">
        <f>_xlfn.XLOOKUP(D:D,MappingTable[Brand],MappingTable[Brand Type], "not found")</f>
        <v>Beer</v>
      </c>
      <c r="P864" t="str">
        <f>_xlfn.XLOOKUP(L:L,MappingTable2[Month],MappingTable2[Quarters],"NIL")</f>
        <v>Q4</v>
      </c>
      <c r="Q864" s="1"/>
    </row>
    <row r="865" spans="1:17" x14ac:dyDescent="0.2">
      <c r="A865" s="1">
        <v>10964</v>
      </c>
      <c r="B865" s="1" t="s">
        <v>31</v>
      </c>
      <c r="C865" s="1" t="s">
        <v>32</v>
      </c>
      <c r="D865" s="1" t="s">
        <v>27</v>
      </c>
      <c r="E865" s="3">
        <v>180</v>
      </c>
      <c r="F865" s="3">
        <v>450</v>
      </c>
      <c r="G865" s="13">
        <v>887</v>
      </c>
      <c r="H865" s="3">
        <v>399150</v>
      </c>
      <c r="I865" s="3">
        <v>239490</v>
      </c>
      <c r="J865" s="1" t="s">
        <v>34</v>
      </c>
      <c r="K865" s="1" t="s">
        <v>44</v>
      </c>
      <c r="L865" s="1" t="s">
        <v>60</v>
      </c>
      <c r="M865" s="1">
        <v>2019</v>
      </c>
      <c r="N865" s="1" t="str">
        <f t="shared" si="13"/>
        <v>Francophone</v>
      </c>
      <c r="O865" s="3" t="str">
        <f>_xlfn.XLOOKUP(D:D,MappingTable[Brand],MappingTable[Brand Type], "not found")</f>
        <v>Beer</v>
      </c>
      <c r="P865" t="str">
        <f>_xlfn.XLOOKUP(L:L,MappingTable2[Month],MappingTable2[Quarters],"NIL")</f>
        <v>Q4</v>
      </c>
      <c r="Q865" s="1"/>
    </row>
    <row r="866" spans="1:17" x14ac:dyDescent="0.2">
      <c r="A866" s="1">
        <v>10965</v>
      </c>
      <c r="B866" s="1" t="s">
        <v>51</v>
      </c>
      <c r="C866" s="1" t="s">
        <v>52</v>
      </c>
      <c r="D866" s="1" t="s">
        <v>33</v>
      </c>
      <c r="E866" s="3">
        <v>170</v>
      </c>
      <c r="F866" s="3">
        <v>250</v>
      </c>
      <c r="G866" s="13">
        <v>729</v>
      </c>
      <c r="H866" s="3">
        <v>182250</v>
      </c>
      <c r="I866" s="3">
        <v>58320</v>
      </c>
      <c r="J866" s="1" t="s">
        <v>40</v>
      </c>
      <c r="K866" s="1" t="s">
        <v>17</v>
      </c>
      <c r="L866" s="1" t="s">
        <v>18</v>
      </c>
      <c r="M866" s="1">
        <v>2019</v>
      </c>
      <c r="N866" s="1" t="str">
        <f t="shared" si="13"/>
        <v>Francophone</v>
      </c>
      <c r="O866" s="3" t="str">
        <f>_xlfn.XLOOKUP(D:D,MappingTable[Brand],MappingTable[Brand Type], "not found")</f>
        <v>Beer</v>
      </c>
      <c r="P866" t="str">
        <f>_xlfn.XLOOKUP(L:L,MappingTable2[Month],MappingTable2[Quarters],"NIL")</f>
        <v>Q1</v>
      </c>
      <c r="Q866" s="1"/>
    </row>
    <row r="867" spans="1:17" x14ac:dyDescent="0.2">
      <c r="A867" s="1">
        <v>10966</v>
      </c>
      <c r="B867" s="1" t="s">
        <v>54</v>
      </c>
      <c r="C867" s="1" t="s">
        <v>55</v>
      </c>
      <c r="D867" s="1" t="s">
        <v>39</v>
      </c>
      <c r="E867" s="3">
        <v>150</v>
      </c>
      <c r="F867" s="3">
        <v>200</v>
      </c>
      <c r="G867" s="13">
        <v>836</v>
      </c>
      <c r="H867" s="3">
        <v>167200</v>
      </c>
      <c r="I867" s="3">
        <v>41800</v>
      </c>
      <c r="J867" s="1" t="s">
        <v>16</v>
      </c>
      <c r="K867" s="1" t="s">
        <v>23</v>
      </c>
      <c r="L867" s="1" t="s">
        <v>24</v>
      </c>
      <c r="M867" s="1">
        <v>2019</v>
      </c>
      <c r="N867" s="1" t="str">
        <f t="shared" si="13"/>
        <v>Anglophone</v>
      </c>
      <c r="O867" s="3" t="str">
        <f>_xlfn.XLOOKUP(D:D,MappingTable[Brand],MappingTable[Brand Type], "not found")</f>
        <v>Beer</v>
      </c>
      <c r="P867" t="str">
        <f>_xlfn.XLOOKUP(L:L,MappingTable2[Month],MappingTable2[Quarters],"NIL")</f>
        <v>Q1</v>
      </c>
      <c r="Q867" s="1"/>
    </row>
    <row r="868" spans="1:17" x14ac:dyDescent="0.2">
      <c r="A868" s="1">
        <v>10967</v>
      </c>
      <c r="B868" s="1" t="s">
        <v>57</v>
      </c>
      <c r="C868" s="1" t="s">
        <v>58</v>
      </c>
      <c r="D868" s="1" t="s">
        <v>43</v>
      </c>
      <c r="E868" s="3">
        <v>80</v>
      </c>
      <c r="F868" s="3">
        <v>150</v>
      </c>
      <c r="G868" s="13">
        <v>797</v>
      </c>
      <c r="H868" s="3">
        <v>119550</v>
      </c>
      <c r="I868" s="3">
        <v>55790</v>
      </c>
      <c r="J868" s="1" t="s">
        <v>22</v>
      </c>
      <c r="K868" s="1" t="s">
        <v>29</v>
      </c>
      <c r="L868" s="1" t="s">
        <v>30</v>
      </c>
      <c r="M868" s="1">
        <v>2018</v>
      </c>
      <c r="N868" s="1" t="str">
        <f t="shared" si="13"/>
        <v>Anglophone</v>
      </c>
      <c r="O868" s="3" t="str">
        <f>_xlfn.XLOOKUP(D:D,MappingTable[Brand],MappingTable[Brand Type], "not found")</f>
        <v>Malt</v>
      </c>
      <c r="P868" t="str">
        <f>_xlfn.XLOOKUP(L:L,MappingTable2[Month],MappingTable2[Quarters],"NIL")</f>
        <v>Q1</v>
      </c>
      <c r="Q868" s="1"/>
    </row>
    <row r="869" spans="1:17" x14ac:dyDescent="0.2">
      <c r="A869" s="1">
        <v>10968</v>
      </c>
      <c r="B869" s="1" t="s">
        <v>31</v>
      </c>
      <c r="C869" s="1" t="s">
        <v>32</v>
      </c>
      <c r="D869" s="1" t="s">
        <v>48</v>
      </c>
      <c r="E869" s="3">
        <v>90</v>
      </c>
      <c r="F869" s="3">
        <v>150</v>
      </c>
      <c r="G869" s="13">
        <v>791</v>
      </c>
      <c r="H869" s="3">
        <v>118650</v>
      </c>
      <c r="I869" s="3">
        <v>47460</v>
      </c>
      <c r="J869" s="1" t="s">
        <v>28</v>
      </c>
      <c r="K869" s="1" t="s">
        <v>35</v>
      </c>
      <c r="L869" s="1" t="s">
        <v>36</v>
      </c>
      <c r="M869" s="1">
        <v>2019</v>
      </c>
      <c r="N869" s="1" t="str">
        <f t="shared" si="13"/>
        <v>Francophone</v>
      </c>
      <c r="O869" s="3" t="str">
        <f>_xlfn.XLOOKUP(D:D,MappingTable[Brand],MappingTable[Brand Type], "not found")</f>
        <v>Malt</v>
      </c>
      <c r="P869" t="str">
        <f>_xlfn.XLOOKUP(L:L,MappingTable2[Month],MappingTable2[Quarters],"NIL")</f>
        <v>Q2</v>
      </c>
      <c r="Q869" s="1"/>
    </row>
    <row r="870" spans="1:17" x14ac:dyDescent="0.2">
      <c r="A870" s="1">
        <v>10969</v>
      </c>
      <c r="B870" s="1" t="s">
        <v>61</v>
      </c>
      <c r="C870" s="1" t="s">
        <v>62</v>
      </c>
      <c r="D870" s="1" t="s">
        <v>15</v>
      </c>
      <c r="E870" s="3">
        <v>150</v>
      </c>
      <c r="F870" s="3">
        <v>200</v>
      </c>
      <c r="G870" s="13">
        <v>773</v>
      </c>
      <c r="H870" s="3">
        <v>154600</v>
      </c>
      <c r="I870" s="3">
        <v>38650</v>
      </c>
      <c r="J870" s="1" t="s">
        <v>34</v>
      </c>
      <c r="K870" s="1" t="s">
        <v>41</v>
      </c>
      <c r="L870" s="1" t="s">
        <v>42</v>
      </c>
      <c r="M870" s="1">
        <v>2018</v>
      </c>
      <c r="N870" s="1" t="str">
        <f t="shared" si="13"/>
        <v>Francophone</v>
      </c>
      <c r="O870" s="3" t="str">
        <f>_xlfn.XLOOKUP(D:D,MappingTable[Brand],MappingTable[Brand Type], "not found")</f>
        <v>Beer</v>
      </c>
      <c r="P870" t="str">
        <f>_xlfn.XLOOKUP(L:L,MappingTable2[Month],MappingTable2[Quarters],"NIL")</f>
        <v>Q2</v>
      </c>
      <c r="Q870" s="1"/>
    </row>
    <row r="871" spans="1:17" x14ac:dyDescent="0.2">
      <c r="A871" s="1">
        <v>10970</v>
      </c>
      <c r="B871" s="1" t="s">
        <v>31</v>
      </c>
      <c r="C871" s="1" t="s">
        <v>32</v>
      </c>
      <c r="D871" s="1" t="s">
        <v>21</v>
      </c>
      <c r="E871" s="3">
        <v>250</v>
      </c>
      <c r="F871" s="3">
        <v>500</v>
      </c>
      <c r="G871" s="13">
        <v>767</v>
      </c>
      <c r="H871" s="3">
        <v>383500</v>
      </c>
      <c r="I871" s="3">
        <v>191750</v>
      </c>
      <c r="J871" s="1" t="s">
        <v>40</v>
      </c>
      <c r="K871" s="1" t="s">
        <v>44</v>
      </c>
      <c r="L871" s="1" t="s">
        <v>45</v>
      </c>
      <c r="M871" s="1">
        <v>2017</v>
      </c>
      <c r="N871" s="1" t="str">
        <f t="shared" si="13"/>
        <v>Francophone</v>
      </c>
      <c r="O871" s="3" t="str">
        <f>_xlfn.XLOOKUP(D:D,MappingTable[Brand],MappingTable[Brand Type], "not found")</f>
        <v>Beer</v>
      </c>
      <c r="P871" t="str">
        <f>_xlfn.XLOOKUP(L:L,MappingTable2[Month],MappingTable2[Quarters],"NIL")</f>
        <v>Q2</v>
      </c>
      <c r="Q871" s="1"/>
    </row>
    <row r="872" spans="1:17" x14ac:dyDescent="0.2">
      <c r="A872" s="1">
        <v>10971</v>
      </c>
      <c r="B872" s="1" t="s">
        <v>51</v>
      </c>
      <c r="C872" s="1" t="s">
        <v>52</v>
      </c>
      <c r="D872" s="1" t="s">
        <v>27</v>
      </c>
      <c r="E872" s="3">
        <v>180</v>
      </c>
      <c r="F872" s="3">
        <v>450</v>
      </c>
      <c r="G872" s="13">
        <v>939</v>
      </c>
      <c r="H872" s="3">
        <v>422550</v>
      </c>
      <c r="I872" s="3">
        <v>253530</v>
      </c>
      <c r="J872" s="1" t="s">
        <v>16</v>
      </c>
      <c r="K872" s="1" t="s">
        <v>17</v>
      </c>
      <c r="L872" s="1" t="s">
        <v>49</v>
      </c>
      <c r="M872" s="1">
        <v>2019</v>
      </c>
      <c r="N872" s="1" t="str">
        <f t="shared" si="13"/>
        <v>Anglophone</v>
      </c>
      <c r="O872" s="3" t="str">
        <f>_xlfn.XLOOKUP(D:D,MappingTable[Brand],MappingTable[Brand Type], "not found")</f>
        <v>Beer</v>
      </c>
      <c r="P872" t="str">
        <f>_xlfn.XLOOKUP(L:L,MappingTable2[Month],MappingTable2[Quarters],"NIL")</f>
        <v>Q3</v>
      </c>
      <c r="Q872" s="1"/>
    </row>
    <row r="873" spans="1:17" x14ac:dyDescent="0.2">
      <c r="A873" s="1">
        <v>10972</v>
      </c>
      <c r="B873" s="1" t="s">
        <v>31</v>
      </c>
      <c r="C873" s="1" t="s">
        <v>32</v>
      </c>
      <c r="D873" s="1" t="s">
        <v>33</v>
      </c>
      <c r="E873" s="3">
        <v>170</v>
      </c>
      <c r="F873" s="3">
        <v>250</v>
      </c>
      <c r="G873" s="13">
        <v>832</v>
      </c>
      <c r="H873" s="3">
        <v>208000</v>
      </c>
      <c r="I873" s="3">
        <v>66560</v>
      </c>
      <c r="J873" s="1" t="s">
        <v>22</v>
      </c>
      <c r="K873" s="1" t="s">
        <v>23</v>
      </c>
      <c r="L873" s="1" t="s">
        <v>50</v>
      </c>
      <c r="M873" s="1">
        <v>2018</v>
      </c>
      <c r="N873" s="1" t="str">
        <f t="shared" si="13"/>
        <v>Anglophone</v>
      </c>
      <c r="O873" s="3" t="str">
        <f>_xlfn.XLOOKUP(D:D,MappingTable[Brand],MappingTable[Brand Type], "not found")</f>
        <v>Beer</v>
      </c>
      <c r="P873" t="str">
        <f>_xlfn.XLOOKUP(L:L,MappingTable2[Month],MappingTable2[Quarters],"NIL")</f>
        <v>Q3</v>
      </c>
      <c r="Q873" s="1"/>
    </row>
    <row r="874" spans="1:17" x14ac:dyDescent="0.2">
      <c r="A874" s="1">
        <v>10973</v>
      </c>
      <c r="B874" s="1" t="s">
        <v>57</v>
      </c>
      <c r="C874" s="1" t="s">
        <v>58</v>
      </c>
      <c r="D874" s="1" t="s">
        <v>39</v>
      </c>
      <c r="E874" s="3">
        <v>150</v>
      </c>
      <c r="F874" s="3">
        <v>200</v>
      </c>
      <c r="G874" s="13">
        <v>768</v>
      </c>
      <c r="H874" s="3">
        <v>153600</v>
      </c>
      <c r="I874" s="3">
        <v>38400</v>
      </c>
      <c r="J874" s="1" t="s">
        <v>28</v>
      </c>
      <c r="K874" s="1" t="s">
        <v>29</v>
      </c>
      <c r="L874" s="1" t="s">
        <v>53</v>
      </c>
      <c r="M874" s="1">
        <v>2018</v>
      </c>
      <c r="N874" s="1" t="str">
        <f t="shared" si="13"/>
        <v>Francophone</v>
      </c>
      <c r="O874" s="3" t="str">
        <f>_xlfn.XLOOKUP(D:D,MappingTable[Brand],MappingTable[Brand Type], "not found")</f>
        <v>Beer</v>
      </c>
      <c r="P874" t="str">
        <f>_xlfn.XLOOKUP(L:L,MappingTable2[Month],MappingTable2[Quarters],"NIL")</f>
        <v>Q3</v>
      </c>
      <c r="Q874" s="1"/>
    </row>
    <row r="875" spans="1:17" x14ac:dyDescent="0.2">
      <c r="A875" s="1">
        <v>10974</v>
      </c>
      <c r="B875" s="1" t="s">
        <v>63</v>
      </c>
      <c r="C875" s="1" t="s">
        <v>64</v>
      </c>
      <c r="D875" s="1" t="s">
        <v>43</v>
      </c>
      <c r="E875" s="3">
        <v>80</v>
      </c>
      <c r="F875" s="3">
        <v>150</v>
      </c>
      <c r="G875" s="13">
        <v>958</v>
      </c>
      <c r="H875" s="3">
        <v>143700</v>
      </c>
      <c r="I875" s="3">
        <v>67060</v>
      </c>
      <c r="J875" s="1" t="s">
        <v>34</v>
      </c>
      <c r="K875" s="1" t="s">
        <v>35</v>
      </c>
      <c r="L875" s="1" t="s">
        <v>56</v>
      </c>
      <c r="M875" s="1">
        <v>2017</v>
      </c>
      <c r="N875" s="1" t="str">
        <f t="shared" si="13"/>
        <v>Francophone</v>
      </c>
      <c r="O875" s="3" t="str">
        <f>_xlfn.XLOOKUP(D:D,MappingTable[Brand],MappingTable[Brand Type], "not found")</f>
        <v>Malt</v>
      </c>
      <c r="P875" t="str">
        <f>_xlfn.XLOOKUP(L:L,MappingTable2[Month],MappingTable2[Quarters],"NIL")</f>
        <v>Q4</v>
      </c>
      <c r="Q875" s="1"/>
    </row>
    <row r="876" spans="1:17" x14ac:dyDescent="0.2">
      <c r="A876" s="1">
        <v>10975</v>
      </c>
      <c r="B876" s="1" t="s">
        <v>61</v>
      </c>
      <c r="C876" s="1" t="s">
        <v>62</v>
      </c>
      <c r="D876" s="1" t="s">
        <v>48</v>
      </c>
      <c r="E876" s="3">
        <v>90</v>
      </c>
      <c r="F876" s="3">
        <v>150</v>
      </c>
      <c r="G876" s="13">
        <v>958</v>
      </c>
      <c r="H876" s="3">
        <v>143700</v>
      </c>
      <c r="I876" s="3">
        <v>57480</v>
      </c>
      <c r="J876" s="1" t="s">
        <v>40</v>
      </c>
      <c r="K876" s="1" t="s">
        <v>41</v>
      </c>
      <c r="L876" s="1" t="s">
        <v>59</v>
      </c>
      <c r="M876" s="1">
        <v>2018</v>
      </c>
      <c r="N876" s="1" t="str">
        <f t="shared" si="13"/>
        <v>Francophone</v>
      </c>
      <c r="O876" s="3" t="str">
        <f>_xlfn.XLOOKUP(D:D,MappingTable[Brand],MappingTable[Brand Type], "not found")</f>
        <v>Malt</v>
      </c>
      <c r="P876" t="str">
        <f>_xlfn.XLOOKUP(L:L,MappingTable2[Month],MappingTable2[Quarters],"NIL")</f>
        <v>Q4</v>
      </c>
      <c r="Q876" s="1"/>
    </row>
    <row r="877" spans="1:17" x14ac:dyDescent="0.2">
      <c r="A877" s="1">
        <v>10976</v>
      </c>
      <c r="B877" s="1" t="s">
        <v>57</v>
      </c>
      <c r="C877" s="1" t="s">
        <v>58</v>
      </c>
      <c r="D877" s="1" t="s">
        <v>15</v>
      </c>
      <c r="E877" s="3">
        <v>150</v>
      </c>
      <c r="F877" s="3">
        <v>200</v>
      </c>
      <c r="G877" s="13">
        <v>927</v>
      </c>
      <c r="H877" s="3">
        <v>185400</v>
      </c>
      <c r="I877" s="3">
        <v>46350</v>
      </c>
      <c r="J877" s="1" t="s">
        <v>16</v>
      </c>
      <c r="K877" s="1" t="s">
        <v>44</v>
      </c>
      <c r="L877" s="1" t="s">
        <v>60</v>
      </c>
      <c r="M877" s="1">
        <v>2019</v>
      </c>
      <c r="N877" s="1" t="str">
        <f t="shared" si="13"/>
        <v>Anglophone</v>
      </c>
      <c r="O877" s="3" t="str">
        <f>_xlfn.XLOOKUP(D:D,MappingTable[Brand],MappingTable[Brand Type], "not found")</f>
        <v>Beer</v>
      </c>
      <c r="P877" t="str">
        <f>_xlfn.XLOOKUP(L:L,MappingTable2[Month],MappingTable2[Quarters],"NIL")</f>
        <v>Q4</v>
      </c>
      <c r="Q877" s="1"/>
    </row>
    <row r="878" spans="1:17" x14ac:dyDescent="0.2">
      <c r="A878" s="1">
        <v>10977</v>
      </c>
      <c r="B878" s="1" t="s">
        <v>19</v>
      </c>
      <c r="C878" s="1" t="s">
        <v>20</v>
      </c>
      <c r="D878" s="1" t="s">
        <v>21</v>
      </c>
      <c r="E878" s="3">
        <v>250</v>
      </c>
      <c r="F878" s="3">
        <v>500</v>
      </c>
      <c r="G878" s="13">
        <v>919</v>
      </c>
      <c r="H878" s="3">
        <v>459500</v>
      </c>
      <c r="I878" s="3">
        <v>229750</v>
      </c>
      <c r="J878" s="1" t="s">
        <v>22</v>
      </c>
      <c r="K878" s="1" t="s">
        <v>17</v>
      </c>
      <c r="L878" s="1" t="s">
        <v>18</v>
      </c>
      <c r="M878" s="1">
        <v>2019</v>
      </c>
      <c r="N878" s="1" t="str">
        <f t="shared" si="13"/>
        <v>Anglophone</v>
      </c>
      <c r="O878" s="3" t="str">
        <f>_xlfn.XLOOKUP(D:D,MappingTable[Brand],MappingTable[Brand Type], "not found")</f>
        <v>Beer</v>
      </c>
      <c r="P878" t="str">
        <f>_xlfn.XLOOKUP(L:L,MappingTable2[Month],MappingTable2[Quarters],"NIL")</f>
        <v>Q1</v>
      </c>
      <c r="Q878" s="1"/>
    </row>
    <row r="879" spans="1:17" x14ac:dyDescent="0.2">
      <c r="A879" s="1">
        <v>10978</v>
      </c>
      <c r="B879" s="1" t="s">
        <v>61</v>
      </c>
      <c r="C879" s="1" t="s">
        <v>62</v>
      </c>
      <c r="D879" s="1" t="s">
        <v>27</v>
      </c>
      <c r="E879" s="3">
        <v>180</v>
      </c>
      <c r="F879" s="3">
        <v>450</v>
      </c>
      <c r="G879" s="13">
        <v>830</v>
      </c>
      <c r="H879" s="3">
        <v>373500</v>
      </c>
      <c r="I879" s="3">
        <v>224100</v>
      </c>
      <c r="J879" s="1" t="s">
        <v>28</v>
      </c>
      <c r="K879" s="1" t="s">
        <v>23</v>
      </c>
      <c r="L879" s="1" t="s">
        <v>24</v>
      </c>
      <c r="M879" s="1">
        <v>2018</v>
      </c>
      <c r="N879" s="1" t="str">
        <f t="shared" si="13"/>
        <v>Francophone</v>
      </c>
      <c r="O879" s="3" t="str">
        <f>_xlfn.XLOOKUP(D:D,MappingTable[Brand],MappingTable[Brand Type], "not found")</f>
        <v>Beer</v>
      </c>
      <c r="P879" t="str">
        <f>_xlfn.XLOOKUP(L:L,MappingTable2[Month],MappingTable2[Quarters],"NIL")</f>
        <v>Q1</v>
      </c>
      <c r="Q879" s="1"/>
    </row>
    <row r="880" spans="1:17" x14ac:dyDescent="0.2">
      <c r="A880" s="1">
        <v>10979</v>
      </c>
      <c r="B880" s="1" t="s">
        <v>31</v>
      </c>
      <c r="C880" s="1" t="s">
        <v>32</v>
      </c>
      <c r="D880" s="1" t="s">
        <v>33</v>
      </c>
      <c r="E880" s="3">
        <v>170</v>
      </c>
      <c r="F880" s="3">
        <v>250</v>
      </c>
      <c r="G880" s="13">
        <v>874</v>
      </c>
      <c r="H880" s="3">
        <v>218500</v>
      </c>
      <c r="I880" s="3">
        <v>69920</v>
      </c>
      <c r="J880" s="1" t="s">
        <v>34</v>
      </c>
      <c r="K880" s="1" t="s">
        <v>29</v>
      </c>
      <c r="L880" s="1" t="s">
        <v>30</v>
      </c>
      <c r="M880" s="1">
        <v>2018</v>
      </c>
      <c r="N880" s="1" t="str">
        <f t="shared" si="13"/>
        <v>Francophone</v>
      </c>
      <c r="O880" s="3" t="str">
        <f>_xlfn.XLOOKUP(D:D,MappingTable[Brand],MappingTable[Brand Type], "not found")</f>
        <v>Beer</v>
      </c>
      <c r="P880" t="str">
        <f>_xlfn.XLOOKUP(L:L,MappingTable2[Month],MappingTable2[Quarters],"NIL")</f>
        <v>Q1</v>
      </c>
      <c r="Q880" s="1"/>
    </row>
    <row r="881" spans="1:17" x14ac:dyDescent="0.2">
      <c r="A881" s="1">
        <v>10980</v>
      </c>
      <c r="B881" s="1" t="s">
        <v>25</v>
      </c>
      <c r="C881" s="1" t="s">
        <v>26</v>
      </c>
      <c r="D881" s="1" t="s">
        <v>39</v>
      </c>
      <c r="E881" s="3">
        <v>150</v>
      </c>
      <c r="F881" s="3">
        <v>200</v>
      </c>
      <c r="G881" s="13">
        <v>954</v>
      </c>
      <c r="H881" s="3">
        <v>190800</v>
      </c>
      <c r="I881" s="3">
        <v>47700</v>
      </c>
      <c r="J881" s="1" t="s">
        <v>40</v>
      </c>
      <c r="K881" s="1" t="s">
        <v>35</v>
      </c>
      <c r="L881" s="1" t="s">
        <v>36</v>
      </c>
      <c r="M881" s="1">
        <v>2017</v>
      </c>
      <c r="N881" s="1" t="str">
        <f t="shared" si="13"/>
        <v>Francophone</v>
      </c>
      <c r="O881" s="3" t="str">
        <f>_xlfn.XLOOKUP(D:D,MappingTable[Brand],MappingTable[Brand Type], "not found")</f>
        <v>Beer</v>
      </c>
      <c r="P881" t="str">
        <f>_xlfn.XLOOKUP(L:L,MappingTable2[Month],MappingTable2[Quarters],"NIL")</f>
        <v>Q2</v>
      </c>
      <c r="Q881" s="1"/>
    </row>
    <row r="882" spans="1:17" x14ac:dyDescent="0.2">
      <c r="A882" s="1">
        <v>10981</v>
      </c>
      <c r="B882" s="1" t="s">
        <v>13</v>
      </c>
      <c r="C882" s="1" t="s">
        <v>14</v>
      </c>
      <c r="D882" s="1" t="s">
        <v>43</v>
      </c>
      <c r="E882" s="3">
        <v>80</v>
      </c>
      <c r="F882" s="3">
        <v>150</v>
      </c>
      <c r="G882" s="13">
        <v>919</v>
      </c>
      <c r="H882" s="3">
        <v>137850</v>
      </c>
      <c r="I882" s="3">
        <v>64330</v>
      </c>
      <c r="J882" s="1" t="s">
        <v>16</v>
      </c>
      <c r="K882" s="1" t="s">
        <v>41</v>
      </c>
      <c r="L882" s="1" t="s">
        <v>42</v>
      </c>
      <c r="M882" s="1">
        <v>2017</v>
      </c>
      <c r="N882" s="1" t="str">
        <f t="shared" si="13"/>
        <v>Anglophone</v>
      </c>
      <c r="O882" s="3" t="str">
        <f>_xlfn.XLOOKUP(D:D,MappingTable[Brand],MappingTable[Brand Type], "not found")</f>
        <v>Malt</v>
      </c>
      <c r="P882" t="str">
        <f>_xlfn.XLOOKUP(L:L,MappingTable2[Month],MappingTable2[Quarters],"NIL")</f>
        <v>Q2</v>
      </c>
      <c r="Q882" s="1"/>
    </row>
    <row r="883" spans="1:17" x14ac:dyDescent="0.2">
      <c r="A883" s="1">
        <v>10982</v>
      </c>
      <c r="B883" s="1" t="s">
        <v>37</v>
      </c>
      <c r="C883" s="1" t="s">
        <v>38</v>
      </c>
      <c r="D883" s="1" t="s">
        <v>48</v>
      </c>
      <c r="E883" s="3">
        <v>90</v>
      </c>
      <c r="F883" s="3">
        <v>150</v>
      </c>
      <c r="G883" s="13">
        <v>796</v>
      </c>
      <c r="H883" s="3">
        <v>119400</v>
      </c>
      <c r="I883" s="3">
        <v>47760</v>
      </c>
      <c r="J883" s="1" t="s">
        <v>22</v>
      </c>
      <c r="K883" s="1" t="s">
        <v>44</v>
      </c>
      <c r="L883" s="1" t="s">
        <v>45</v>
      </c>
      <c r="M883" s="1">
        <v>2017</v>
      </c>
      <c r="N883" s="1" t="str">
        <f t="shared" si="13"/>
        <v>Anglophone</v>
      </c>
      <c r="O883" s="3" t="str">
        <f>_xlfn.XLOOKUP(D:D,MappingTable[Brand],MappingTable[Brand Type], "not found")</f>
        <v>Malt</v>
      </c>
      <c r="P883" t="str">
        <f>_xlfn.XLOOKUP(L:L,MappingTable2[Month],MappingTable2[Quarters],"NIL")</f>
        <v>Q2</v>
      </c>
      <c r="Q883" s="1"/>
    </row>
    <row r="884" spans="1:17" x14ac:dyDescent="0.2">
      <c r="A884" s="1">
        <v>10983</v>
      </c>
      <c r="B884" s="1" t="s">
        <v>54</v>
      </c>
      <c r="C884" s="1" t="s">
        <v>55</v>
      </c>
      <c r="D884" s="1" t="s">
        <v>15</v>
      </c>
      <c r="E884" s="3">
        <v>150</v>
      </c>
      <c r="F884" s="3">
        <v>200</v>
      </c>
      <c r="G884" s="13">
        <v>773</v>
      </c>
      <c r="H884" s="3">
        <v>154600</v>
      </c>
      <c r="I884" s="3">
        <v>38650</v>
      </c>
      <c r="J884" s="1" t="s">
        <v>28</v>
      </c>
      <c r="K884" s="1" t="s">
        <v>17</v>
      </c>
      <c r="L884" s="1" t="s">
        <v>49</v>
      </c>
      <c r="M884" s="1">
        <v>2017</v>
      </c>
      <c r="N884" s="1" t="str">
        <f t="shared" si="13"/>
        <v>Francophone</v>
      </c>
      <c r="O884" s="3" t="str">
        <f>_xlfn.XLOOKUP(D:D,MappingTable[Brand],MappingTable[Brand Type], "not found")</f>
        <v>Beer</v>
      </c>
      <c r="P884" t="str">
        <f>_xlfn.XLOOKUP(L:L,MappingTable2[Month],MappingTable2[Quarters],"NIL")</f>
        <v>Q3</v>
      </c>
      <c r="Q884" s="1"/>
    </row>
    <row r="885" spans="1:17" x14ac:dyDescent="0.2">
      <c r="A885" s="1">
        <v>10984</v>
      </c>
      <c r="B885" s="1" t="s">
        <v>19</v>
      </c>
      <c r="C885" s="1" t="s">
        <v>20</v>
      </c>
      <c r="D885" s="1" t="s">
        <v>21</v>
      </c>
      <c r="E885" s="3">
        <v>250</v>
      </c>
      <c r="F885" s="3">
        <v>500</v>
      </c>
      <c r="G885" s="13">
        <v>891</v>
      </c>
      <c r="H885" s="3">
        <v>445500</v>
      </c>
      <c r="I885" s="3">
        <v>222750</v>
      </c>
      <c r="J885" s="1" t="s">
        <v>34</v>
      </c>
      <c r="K885" s="1" t="s">
        <v>23</v>
      </c>
      <c r="L885" s="1" t="s">
        <v>50</v>
      </c>
      <c r="M885" s="1">
        <v>2018</v>
      </c>
      <c r="N885" s="1" t="str">
        <f t="shared" si="13"/>
        <v>Francophone</v>
      </c>
      <c r="O885" s="3" t="str">
        <f>_xlfn.XLOOKUP(D:D,MappingTable[Brand],MappingTable[Brand Type], "not found")</f>
        <v>Beer</v>
      </c>
      <c r="P885" t="str">
        <f>_xlfn.XLOOKUP(L:L,MappingTable2[Month],MappingTable2[Quarters],"NIL")</f>
        <v>Q3</v>
      </c>
      <c r="Q885" s="1"/>
    </row>
    <row r="886" spans="1:17" x14ac:dyDescent="0.2">
      <c r="A886" s="1">
        <v>10985</v>
      </c>
      <c r="B886" s="1" t="s">
        <v>19</v>
      </c>
      <c r="C886" s="1" t="s">
        <v>20</v>
      </c>
      <c r="D886" s="1" t="s">
        <v>27</v>
      </c>
      <c r="E886" s="3">
        <v>180</v>
      </c>
      <c r="F886" s="3">
        <v>450</v>
      </c>
      <c r="G886" s="13">
        <v>778</v>
      </c>
      <c r="H886" s="3">
        <v>350100</v>
      </c>
      <c r="I886" s="3">
        <v>210060</v>
      </c>
      <c r="J886" s="1" t="s">
        <v>40</v>
      </c>
      <c r="K886" s="1" t="s">
        <v>29</v>
      </c>
      <c r="L886" s="1" t="s">
        <v>53</v>
      </c>
      <c r="M886" s="1">
        <v>2017</v>
      </c>
      <c r="N886" s="1" t="str">
        <f t="shared" si="13"/>
        <v>Francophone</v>
      </c>
      <c r="O886" s="3" t="str">
        <f>_xlfn.XLOOKUP(D:D,MappingTable[Brand],MappingTable[Brand Type], "not found")</f>
        <v>Beer</v>
      </c>
      <c r="P886" t="str">
        <f>_xlfn.XLOOKUP(L:L,MappingTable2[Month],MappingTable2[Quarters],"NIL")</f>
        <v>Q3</v>
      </c>
      <c r="Q886" s="1"/>
    </row>
    <row r="887" spans="1:17" x14ac:dyDescent="0.2">
      <c r="A887" s="1">
        <v>10986</v>
      </c>
      <c r="B887" s="1" t="s">
        <v>63</v>
      </c>
      <c r="C887" s="1" t="s">
        <v>64</v>
      </c>
      <c r="D887" s="1" t="s">
        <v>33</v>
      </c>
      <c r="E887" s="3">
        <v>170</v>
      </c>
      <c r="F887" s="3">
        <v>250</v>
      </c>
      <c r="G887" s="13">
        <v>950</v>
      </c>
      <c r="H887" s="3">
        <v>237500</v>
      </c>
      <c r="I887" s="3">
        <v>76000</v>
      </c>
      <c r="J887" s="1" t="s">
        <v>16</v>
      </c>
      <c r="K887" s="1" t="s">
        <v>35</v>
      </c>
      <c r="L887" s="1" t="s">
        <v>56</v>
      </c>
      <c r="M887" s="1">
        <v>2018</v>
      </c>
      <c r="N887" s="1" t="str">
        <f t="shared" si="13"/>
        <v>Anglophone</v>
      </c>
      <c r="O887" s="3" t="str">
        <f>_xlfn.XLOOKUP(D:D,MappingTable[Brand],MappingTable[Brand Type], "not found")</f>
        <v>Beer</v>
      </c>
      <c r="P887" t="str">
        <f>_xlfn.XLOOKUP(L:L,MappingTable2[Month],MappingTable2[Quarters],"NIL")</f>
        <v>Q4</v>
      </c>
      <c r="Q887" s="1"/>
    </row>
    <row r="888" spans="1:17" x14ac:dyDescent="0.2">
      <c r="A888" s="1">
        <v>10987</v>
      </c>
      <c r="B888" s="1" t="s">
        <v>31</v>
      </c>
      <c r="C888" s="1" t="s">
        <v>32</v>
      </c>
      <c r="D888" s="1" t="s">
        <v>39</v>
      </c>
      <c r="E888" s="3">
        <v>150</v>
      </c>
      <c r="F888" s="3">
        <v>200</v>
      </c>
      <c r="G888" s="13">
        <v>840</v>
      </c>
      <c r="H888" s="3">
        <v>168000</v>
      </c>
      <c r="I888" s="3">
        <v>42000</v>
      </c>
      <c r="J888" s="1" t="s">
        <v>22</v>
      </c>
      <c r="K888" s="1" t="s">
        <v>41</v>
      </c>
      <c r="L888" s="1" t="s">
        <v>59</v>
      </c>
      <c r="M888" s="1">
        <v>2017</v>
      </c>
      <c r="N888" s="1" t="str">
        <f t="shared" si="13"/>
        <v>Anglophone</v>
      </c>
      <c r="O888" s="3" t="str">
        <f>_xlfn.XLOOKUP(D:D,MappingTable[Brand],MappingTable[Brand Type], "not found")</f>
        <v>Beer</v>
      </c>
      <c r="P888" t="str">
        <f>_xlfn.XLOOKUP(L:L,MappingTable2[Month],MappingTable2[Quarters],"NIL")</f>
        <v>Q4</v>
      </c>
      <c r="Q888" s="1"/>
    </row>
    <row r="889" spans="1:17" x14ac:dyDescent="0.2">
      <c r="A889" s="1">
        <v>10988</v>
      </c>
      <c r="B889" s="1" t="s">
        <v>51</v>
      </c>
      <c r="C889" s="1" t="s">
        <v>52</v>
      </c>
      <c r="D889" s="1" t="s">
        <v>43</v>
      </c>
      <c r="E889" s="3">
        <v>80</v>
      </c>
      <c r="F889" s="3">
        <v>150</v>
      </c>
      <c r="G889" s="13">
        <v>821</v>
      </c>
      <c r="H889" s="3">
        <v>123150</v>
      </c>
      <c r="I889" s="3">
        <v>57470</v>
      </c>
      <c r="J889" s="1" t="s">
        <v>28</v>
      </c>
      <c r="K889" s="1" t="s">
        <v>44</v>
      </c>
      <c r="L889" s="1" t="s">
        <v>60</v>
      </c>
      <c r="M889" s="1">
        <v>2017</v>
      </c>
      <c r="N889" s="1" t="str">
        <f t="shared" si="13"/>
        <v>Francophone</v>
      </c>
      <c r="O889" s="3" t="str">
        <f>_xlfn.XLOOKUP(D:D,MappingTable[Brand],MappingTable[Brand Type], "not found")</f>
        <v>Malt</v>
      </c>
      <c r="P889" t="str">
        <f>_xlfn.XLOOKUP(L:L,MappingTable2[Month],MappingTable2[Quarters],"NIL")</f>
        <v>Q4</v>
      </c>
      <c r="Q889" s="1"/>
    </row>
    <row r="890" spans="1:17" x14ac:dyDescent="0.2">
      <c r="A890" s="1">
        <v>10989</v>
      </c>
      <c r="B890" s="1" t="s">
        <v>63</v>
      </c>
      <c r="C890" s="1" t="s">
        <v>64</v>
      </c>
      <c r="D890" s="1" t="s">
        <v>48</v>
      </c>
      <c r="E890" s="3">
        <v>90</v>
      </c>
      <c r="F890" s="3">
        <v>150</v>
      </c>
      <c r="G890" s="13">
        <v>720</v>
      </c>
      <c r="H890" s="3">
        <v>108000</v>
      </c>
      <c r="I890" s="3">
        <v>43200</v>
      </c>
      <c r="J890" s="1" t="s">
        <v>34</v>
      </c>
      <c r="K890" s="1" t="s">
        <v>17</v>
      </c>
      <c r="L890" s="1" t="s">
        <v>18</v>
      </c>
      <c r="M890" s="1">
        <v>2017</v>
      </c>
      <c r="N890" s="1" t="str">
        <f t="shared" si="13"/>
        <v>Francophone</v>
      </c>
      <c r="O890" s="3" t="str">
        <f>_xlfn.XLOOKUP(D:D,MappingTable[Brand],MappingTable[Brand Type], "not found")</f>
        <v>Malt</v>
      </c>
      <c r="P890" t="str">
        <f>_xlfn.XLOOKUP(L:L,MappingTable2[Month],MappingTable2[Quarters],"NIL")</f>
        <v>Q1</v>
      </c>
      <c r="Q890" s="1"/>
    </row>
    <row r="891" spans="1:17" x14ac:dyDescent="0.2">
      <c r="A891" s="1">
        <v>10990</v>
      </c>
      <c r="B891" s="1" t="s">
        <v>25</v>
      </c>
      <c r="C891" s="1" t="s">
        <v>26</v>
      </c>
      <c r="D891" s="1" t="s">
        <v>15</v>
      </c>
      <c r="E891" s="3">
        <v>150</v>
      </c>
      <c r="F891" s="3">
        <v>200</v>
      </c>
      <c r="G891" s="13">
        <v>706</v>
      </c>
      <c r="H891" s="3">
        <v>141200</v>
      </c>
      <c r="I891" s="3">
        <v>35300</v>
      </c>
      <c r="J891" s="1" t="s">
        <v>40</v>
      </c>
      <c r="K891" s="1" t="s">
        <v>23</v>
      </c>
      <c r="L891" s="1" t="s">
        <v>24</v>
      </c>
      <c r="M891" s="1">
        <v>2019</v>
      </c>
      <c r="N891" s="1" t="str">
        <f t="shared" si="13"/>
        <v>Francophone</v>
      </c>
      <c r="O891" s="3" t="str">
        <f>_xlfn.XLOOKUP(D:D,MappingTable[Brand],MappingTable[Brand Type], "not found")</f>
        <v>Beer</v>
      </c>
      <c r="P891" t="str">
        <f>_xlfn.XLOOKUP(L:L,MappingTable2[Month],MappingTable2[Quarters],"NIL")</f>
        <v>Q1</v>
      </c>
      <c r="Q891" s="1"/>
    </row>
    <row r="892" spans="1:17" x14ac:dyDescent="0.2">
      <c r="A892" s="1">
        <v>10991</v>
      </c>
      <c r="B892" s="1" t="s">
        <v>19</v>
      </c>
      <c r="C892" s="1" t="s">
        <v>20</v>
      </c>
      <c r="D892" s="1" t="s">
        <v>21</v>
      </c>
      <c r="E892" s="3">
        <v>250</v>
      </c>
      <c r="F892" s="3">
        <v>500</v>
      </c>
      <c r="G892" s="13">
        <v>827</v>
      </c>
      <c r="H892" s="3">
        <v>413500</v>
      </c>
      <c r="I892" s="3">
        <v>206750</v>
      </c>
      <c r="J892" s="1" t="s">
        <v>16</v>
      </c>
      <c r="K892" s="1" t="s">
        <v>29</v>
      </c>
      <c r="L892" s="1" t="s">
        <v>30</v>
      </c>
      <c r="M892" s="1">
        <v>2018</v>
      </c>
      <c r="N892" s="1" t="str">
        <f t="shared" si="13"/>
        <v>Anglophone</v>
      </c>
      <c r="O892" s="3" t="str">
        <f>_xlfn.XLOOKUP(D:D,MappingTable[Brand],MappingTable[Brand Type], "not found")</f>
        <v>Beer</v>
      </c>
      <c r="P892" t="str">
        <f>_xlfn.XLOOKUP(L:L,MappingTable2[Month],MappingTable2[Quarters],"NIL")</f>
        <v>Q1</v>
      </c>
      <c r="Q892" s="1"/>
    </row>
    <row r="893" spans="1:17" x14ac:dyDescent="0.2">
      <c r="A893" s="1">
        <v>10992</v>
      </c>
      <c r="B893" s="1" t="s">
        <v>25</v>
      </c>
      <c r="C893" s="1" t="s">
        <v>26</v>
      </c>
      <c r="D893" s="1" t="s">
        <v>27</v>
      </c>
      <c r="E893" s="3">
        <v>180</v>
      </c>
      <c r="F893" s="3">
        <v>450</v>
      </c>
      <c r="G893" s="13">
        <v>792</v>
      </c>
      <c r="H893" s="3">
        <v>356400</v>
      </c>
      <c r="I893" s="3">
        <v>213840</v>
      </c>
      <c r="J893" s="1" t="s">
        <v>22</v>
      </c>
      <c r="K893" s="1" t="s">
        <v>35</v>
      </c>
      <c r="L893" s="1" t="s">
        <v>36</v>
      </c>
      <c r="M893" s="1">
        <v>2017</v>
      </c>
      <c r="N893" s="1" t="str">
        <f t="shared" si="13"/>
        <v>Anglophone</v>
      </c>
      <c r="O893" s="3" t="str">
        <f>_xlfn.XLOOKUP(D:D,MappingTable[Brand],MappingTable[Brand Type], "not found")</f>
        <v>Beer</v>
      </c>
      <c r="P893" t="str">
        <f>_xlfn.XLOOKUP(L:L,MappingTable2[Month],MappingTable2[Quarters],"NIL")</f>
        <v>Q2</v>
      </c>
      <c r="Q893" s="1"/>
    </row>
    <row r="894" spans="1:17" x14ac:dyDescent="0.2">
      <c r="A894" s="1">
        <v>10993</v>
      </c>
      <c r="B894" s="1" t="s">
        <v>46</v>
      </c>
      <c r="C894" s="1" t="s">
        <v>47</v>
      </c>
      <c r="D894" s="1" t="s">
        <v>33</v>
      </c>
      <c r="E894" s="3">
        <v>170</v>
      </c>
      <c r="F894" s="3">
        <v>250</v>
      </c>
      <c r="G894" s="13">
        <v>885</v>
      </c>
      <c r="H894" s="3">
        <v>221250</v>
      </c>
      <c r="I894" s="3">
        <v>70800</v>
      </c>
      <c r="J894" s="1" t="s">
        <v>28</v>
      </c>
      <c r="K894" s="1" t="s">
        <v>41</v>
      </c>
      <c r="L894" s="1" t="s">
        <v>42</v>
      </c>
      <c r="M894" s="1">
        <v>2017</v>
      </c>
      <c r="N894" s="1" t="str">
        <f t="shared" si="13"/>
        <v>Francophone</v>
      </c>
      <c r="O894" s="3" t="str">
        <f>_xlfn.XLOOKUP(D:D,MappingTable[Brand],MappingTable[Brand Type], "not found")</f>
        <v>Beer</v>
      </c>
      <c r="P894" t="str">
        <f>_xlfn.XLOOKUP(L:L,MappingTable2[Month],MappingTable2[Quarters],"NIL")</f>
        <v>Q2</v>
      </c>
      <c r="Q894" s="1"/>
    </row>
    <row r="895" spans="1:17" x14ac:dyDescent="0.2">
      <c r="A895" s="1">
        <v>10994</v>
      </c>
      <c r="B895" s="1" t="s">
        <v>37</v>
      </c>
      <c r="C895" s="1" t="s">
        <v>38</v>
      </c>
      <c r="D895" s="1" t="s">
        <v>39</v>
      </c>
      <c r="E895" s="3">
        <v>150</v>
      </c>
      <c r="F895" s="3">
        <v>200</v>
      </c>
      <c r="G895" s="13">
        <v>973</v>
      </c>
      <c r="H895" s="3">
        <v>194600</v>
      </c>
      <c r="I895" s="3">
        <v>48650</v>
      </c>
      <c r="J895" s="1" t="s">
        <v>34</v>
      </c>
      <c r="K895" s="1" t="s">
        <v>44</v>
      </c>
      <c r="L895" s="1" t="s">
        <v>45</v>
      </c>
      <c r="M895" s="1">
        <v>2019</v>
      </c>
      <c r="N895" s="1" t="str">
        <f t="shared" si="13"/>
        <v>Francophone</v>
      </c>
      <c r="O895" s="3" t="str">
        <f>_xlfn.XLOOKUP(D:D,MappingTable[Brand],MappingTable[Brand Type], "not found")</f>
        <v>Beer</v>
      </c>
      <c r="P895" t="str">
        <f>_xlfn.XLOOKUP(L:L,MappingTable2[Month],MappingTable2[Quarters],"NIL")</f>
        <v>Q2</v>
      </c>
      <c r="Q895" s="1"/>
    </row>
    <row r="896" spans="1:17" x14ac:dyDescent="0.2">
      <c r="A896" s="1">
        <v>10995</v>
      </c>
      <c r="B896" s="1" t="s">
        <v>13</v>
      </c>
      <c r="C896" s="1" t="s">
        <v>14</v>
      </c>
      <c r="D896" s="1" t="s">
        <v>43</v>
      </c>
      <c r="E896" s="3">
        <v>80</v>
      </c>
      <c r="F896" s="3">
        <v>150</v>
      </c>
      <c r="G896" s="13">
        <v>977</v>
      </c>
      <c r="H896" s="3">
        <v>146550</v>
      </c>
      <c r="I896" s="3">
        <v>68390</v>
      </c>
      <c r="J896" s="1" t="s">
        <v>40</v>
      </c>
      <c r="K896" s="1" t="s">
        <v>17</v>
      </c>
      <c r="L896" s="1" t="s">
        <v>49</v>
      </c>
      <c r="M896" s="1">
        <v>2017</v>
      </c>
      <c r="N896" s="1" t="str">
        <f t="shared" si="13"/>
        <v>Francophone</v>
      </c>
      <c r="O896" s="3" t="str">
        <f>_xlfn.XLOOKUP(D:D,MappingTable[Brand],MappingTable[Brand Type], "not found")</f>
        <v>Malt</v>
      </c>
      <c r="P896" t="str">
        <f>_xlfn.XLOOKUP(L:L,MappingTable2[Month],MappingTable2[Quarters],"NIL")</f>
        <v>Q3</v>
      </c>
      <c r="Q896" s="1"/>
    </row>
    <row r="897" spans="1:17" x14ac:dyDescent="0.2">
      <c r="A897" s="1">
        <v>10996</v>
      </c>
      <c r="B897" s="1" t="s">
        <v>13</v>
      </c>
      <c r="C897" s="1" t="s">
        <v>14</v>
      </c>
      <c r="D897" s="1" t="s">
        <v>48</v>
      </c>
      <c r="E897" s="3">
        <v>90</v>
      </c>
      <c r="F897" s="3">
        <v>150</v>
      </c>
      <c r="G897" s="13">
        <v>873</v>
      </c>
      <c r="H897" s="3">
        <v>130950</v>
      </c>
      <c r="I897" s="3">
        <v>52380</v>
      </c>
      <c r="J897" s="1" t="s">
        <v>16</v>
      </c>
      <c r="K897" s="1" t="s">
        <v>23</v>
      </c>
      <c r="L897" s="1" t="s">
        <v>50</v>
      </c>
      <c r="M897" s="1">
        <v>2019</v>
      </c>
      <c r="N897" s="1" t="str">
        <f t="shared" si="13"/>
        <v>Anglophone</v>
      </c>
      <c r="O897" s="3" t="str">
        <f>_xlfn.XLOOKUP(D:D,MappingTable[Brand],MappingTable[Brand Type], "not found")</f>
        <v>Malt</v>
      </c>
      <c r="P897" t="str">
        <f>_xlfn.XLOOKUP(L:L,MappingTable2[Month],MappingTable2[Quarters],"NIL")</f>
        <v>Q3</v>
      </c>
      <c r="Q897" s="1"/>
    </row>
    <row r="898" spans="1:17" x14ac:dyDescent="0.2">
      <c r="A898" s="1">
        <v>10997</v>
      </c>
      <c r="B898" s="1" t="s">
        <v>37</v>
      </c>
      <c r="C898" s="1" t="s">
        <v>38</v>
      </c>
      <c r="D898" s="1" t="s">
        <v>15</v>
      </c>
      <c r="E898" s="3">
        <v>150</v>
      </c>
      <c r="F898" s="3">
        <v>200</v>
      </c>
      <c r="G898" s="13">
        <v>932</v>
      </c>
      <c r="H898" s="3">
        <v>186400</v>
      </c>
      <c r="I898" s="3">
        <v>46600</v>
      </c>
      <c r="J898" s="1" t="s">
        <v>22</v>
      </c>
      <c r="K898" s="1" t="s">
        <v>29</v>
      </c>
      <c r="L898" s="1" t="s">
        <v>53</v>
      </c>
      <c r="M898" s="1">
        <v>2017</v>
      </c>
      <c r="N898" s="1" t="str">
        <f t="shared" ref="N898:N961" si="14">IF(ISNUMBER(MATCH(J898,$S$7:$S$8,0)), "Anglophone","Francophone")</f>
        <v>Anglophone</v>
      </c>
      <c r="O898" s="3" t="str">
        <f>_xlfn.XLOOKUP(D:D,MappingTable[Brand],MappingTable[Brand Type], "not found")</f>
        <v>Beer</v>
      </c>
      <c r="P898" t="str">
        <f>_xlfn.XLOOKUP(L:L,MappingTable2[Month],MappingTable2[Quarters],"NIL")</f>
        <v>Q3</v>
      </c>
      <c r="Q898" s="1"/>
    </row>
    <row r="899" spans="1:17" x14ac:dyDescent="0.2">
      <c r="A899" s="1">
        <v>10998</v>
      </c>
      <c r="B899" s="1" t="s">
        <v>13</v>
      </c>
      <c r="C899" s="1" t="s">
        <v>14</v>
      </c>
      <c r="D899" s="1" t="s">
        <v>21</v>
      </c>
      <c r="E899" s="3">
        <v>250</v>
      </c>
      <c r="F899" s="3">
        <v>500</v>
      </c>
      <c r="G899" s="13">
        <v>701</v>
      </c>
      <c r="H899" s="3">
        <v>350500</v>
      </c>
      <c r="I899" s="3">
        <v>175250</v>
      </c>
      <c r="J899" s="1" t="s">
        <v>28</v>
      </c>
      <c r="K899" s="1" t="s">
        <v>35</v>
      </c>
      <c r="L899" s="1" t="s">
        <v>56</v>
      </c>
      <c r="M899" s="1">
        <v>2018</v>
      </c>
      <c r="N899" s="1" t="str">
        <f t="shared" si="14"/>
        <v>Francophone</v>
      </c>
      <c r="O899" s="3" t="str">
        <f>_xlfn.XLOOKUP(D:D,MappingTable[Brand],MappingTable[Brand Type], "not found")</f>
        <v>Beer</v>
      </c>
      <c r="P899" t="str">
        <f>_xlfn.XLOOKUP(L:L,MappingTable2[Month],MappingTable2[Quarters],"NIL")</f>
        <v>Q4</v>
      </c>
      <c r="Q899" s="1"/>
    </row>
    <row r="900" spans="1:17" x14ac:dyDescent="0.2">
      <c r="A900" s="1">
        <v>10999</v>
      </c>
      <c r="B900" s="1" t="s">
        <v>19</v>
      </c>
      <c r="C900" s="1" t="s">
        <v>20</v>
      </c>
      <c r="D900" s="1" t="s">
        <v>27</v>
      </c>
      <c r="E900" s="3">
        <v>180</v>
      </c>
      <c r="F900" s="3">
        <v>450</v>
      </c>
      <c r="G900" s="13">
        <v>977</v>
      </c>
      <c r="H900" s="3">
        <v>439650</v>
      </c>
      <c r="I900" s="3">
        <v>263790</v>
      </c>
      <c r="J900" s="1" t="s">
        <v>34</v>
      </c>
      <c r="K900" s="1" t="s">
        <v>41</v>
      </c>
      <c r="L900" s="1" t="s">
        <v>59</v>
      </c>
      <c r="M900" s="1">
        <v>2017</v>
      </c>
      <c r="N900" s="1" t="str">
        <f t="shared" si="14"/>
        <v>Francophone</v>
      </c>
      <c r="O900" s="3" t="str">
        <f>_xlfn.XLOOKUP(D:D,MappingTable[Brand],MappingTable[Brand Type], "not found")</f>
        <v>Beer</v>
      </c>
      <c r="P900" t="str">
        <f>_xlfn.XLOOKUP(L:L,MappingTable2[Month],MappingTable2[Quarters],"NIL")</f>
        <v>Q4</v>
      </c>
      <c r="Q900" s="1"/>
    </row>
    <row r="901" spans="1:17" x14ac:dyDescent="0.2">
      <c r="A901" s="1">
        <v>11000</v>
      </c>
      <c r="B901" s="1" t="s">
        <v>25</v>
      </c>
      <c r="C901" s="1" t="s">
        <v>26</v>
      </c>
      <c r="D901" s="1" t="s">
        <v>33</v>
      </c>
      <c r="E901" s="3">
        <v>170</v>
      </c>
      <c r="F901" s="3">
        <v>250</v>
      </c>
      <c r="G901" s="13">
        <v>977</v>
      </c>
      <c r="H901" s="3">
        <v>244250</v>
      </c>
      <c r="I901" s="3">
        <v>78160</v>
      </c>
      <c r="J901" s="1" t="s">
        <v>40</v>
      </c>
      <c r="K901" s="1" t="s">
        <v>44</v>
      </c>
      <c r="L901" s="1" t="s">
        <v>60</v>
      </c>
      <c r="M901" s="1">
        <v>2017</v>
      </c>
      <c r="N901" s="1" t="str">
        <f t="shared" si="14"/>
        <v>Francophone</v>
      </c>
      <c r="O901" s="3" t="str">
        <f>_xlfn.XLOOKUP(D:D,MappingTable[Brand],MappingTable[Brand Type], "not found")</f>
        <v>Beer</v>
      </c>
      <c r="P901" t="str">
        <f>_xlfn.XLOOKUP(L:L,MappingTable2[Month],MappingTable2[Quarters],"NIL")</f>
        <v>Q4</v>
      </c>
      <c r="Q901" s="1"/>
    </row>
    <row r="902" spans="1:17" x14ac:dyDescent="0.2">
      <c r="A902" s="1">
        <v>11001</v>
      </c>
      <c r="B902" s="1" t="s">
        <v>31</v>
      </c>
      <c r="C902" s="1" t="s">
        <v>32</v>
      </c>
      <c r="D902" s="1" t="s">
        <v>39</v>
      </c>
      <c r="E902" s="3">
        <v>150</v>
      </c>
      <c r="F902" s="3">
        <v>200</v>
      </c>
      <c r="G902" s="13">
        <v>952</v>
      </c>
      <c r="H902" s="3">
        <v>190400</v>
      </c>
      <c r="I902" s="3">
        <v>47600</v>
      </c>
      <c r="J902" s="1" t="s">
        <v>16</v>
      </c>
      <c r="K902" s="1" t="s">
        <v>17</v>
      </c>
      <c r="L902" s="1" t="s">
        <v>18</v>
      </c>
      <c r="M902" s="1">
        <v>2019</v>
      </c>
      <c r="N902" s="1" t="str">
        <f t="shared" si="14"/>
        <v>Anglophone</v>
      </c>
      <c r="O902" s="3" t="str">
        <f>_xlfn.XLOOKUP(D:D,MappingTable[Brand],MappingTable[Brand Type], "not found")</f>
        <v>Beer</v>
      </c>
      <c r="P902" t="str">
        <f>_xlfn.XLOOKUP(L:L,MappingTable2[Month],MappingTable2[Quarters],"NIL")</f>
        <v>Q1</v>
      </c>
      <c r="Q902" s="1"/>
    </row>
    <row r="903" spans="1:17" x14ac:dyDescent="0.2">
      <c r="A903" s="1">
        <v>11002</v>
      </c>
      <c r="B903" s="1" t="s">
        <v>37</v>
      </c>
      <c r="C903" s="1" t="s">
        <v>38</v>
      </c>
      <c r="D903" s="1" t="s">
        <v>43</v>
      </c>
      <c r="E903" s="3">
        <v>80</v>
      </c>
      <c r="F903" s="3">
        <v>150</v>
      </c>
      <c r="G903" s="13">
        <v>750</v>
      </c>
      <c r="H903" s="3">
        <v>112500</v>
      </c>
      <c r="I903" s="3">
        <v>52500</v>
      </c>
      <c r="J903" s="1" t="s">
        <v>22</v>
      </c>
      <c r="K903" s="1" t="s">
        <v>23</v>
      </c>
      <c r="L903" s="1" t="s">
        <v>24</v>
      </c>
      <c r="M903" s="1">
        <v>2018</v>
      </c>
      <c r="N903" s="1" t="str">
        <f t="shared" si="14"/>
        <v>Anglophone</v>
      </c>
      <c r="O903" s="3" t="str">
        <f>_xlfn.XLOOKUP(D:D,MappingTable[Brand],MappingTable[Brand Type], "not found")</f>
        <v>Malt</v>
      </c>
      <c r="P903" t="str">
        <f>_xlfn.XLOOKUP(L:L,MappingTable2[Month],MappingTable2[Quarters],"NIL")</f>
        <v>Q1</v>
      </c>
      <c r="Q903" s="1"/>
    </row>
    <row r="904" spans="1:17" x14ac:dyDescent="0.2">
      <c r="A904" s="1">
        <v>11003</v>
      </c>
      <c r="B904" s="1" t="s">
        <v>13</v>
      </c>
      <c r="C904" s="1" t="s">
        <v>14</v>
      </c>
      <c r="D904" s="1" t="s">
        <v>48</v>
      </c>
      <c r="E904" s="3">
        <v>90</v>
      </c>
      <c r="F904" s="3">
        <v>150</v>
      </c>
      <c r="G904" s="13">
        <v>961</v>
      </c>
      <c r="H904" s="3">
        <v>144150</v>
      </c>
      <c r="I904" s="3">
        <v>57660</v>
      </c>
      <c r="J904" s="1" t="s">
        <v>28</v>
      </c>
      <c r="K904" s="1" t="s">
        <v>29</v>
      </c>
      <c r="L904" s="1" t="s">
        <v>30</v>
      </c>
      <c r="M904" s="1">
        <v>2017</v>
      </c>
      <c r="N904" s="1" t="str">
        <f t="shared" si="14"/>
        <v>Francophone</v>
      </c>
      <c r="O904" s="3" t="str">
        <f>_xlfn.XLOOKUP(D:D,MappingTable[Brand],MappingTable[Brand Type], "not found")</f>
        <v>Malt</v>
      </c>
      <c r="P904" t="str">
        <f>_xlfn.XLOOKUP(L:L,MappingTable2[Month],MappingTable2[Quarters],"NIL")</f>
        <v>Q1</v>
      </c>
      <c r="Q904" s="1"/>
    </row>
    <row r="905" spans="1:17" x14ac:dyDescent="0.2">
      <c r="A905" s="1">
        <v>11004</v>
      </c>
      <c r="B905" s="1" t="s">
        <v>46</v>
      </c>
      <c r="C905" s="1" t="s">
        <v>47</v>
      </c>
      <c r="D905" s="1" t="s">
        <v>15</v>
      </c>
      <c r="E905" s="3">
        <v>150</v>
      </c>
      <c r="F905" s="3">
        <v>200</v>
      </c>
      <c r="G905" s="13">
        <v>702</v>
      </c>
      <c r="H905" s="3">
        <v>140400</v>
      </c>
      <c r="I905" s="3">
        <v>35100</v>
      </c>
      <c r="J905" s="1" t="s">
        <v>34</v>
      </c>
      <c r="K905" s="1" t="s">
        <v>35</v>
      </c>
      <c r="L905" s="1" t="s">
        <v>36</v>
      </c>
      <c r="M905" s="1">
        <v>2018</v>
      </c>
      <c r="N905" s="1" t="str">
        <f t="shared" si="14"/>
        <v>Francophone</v>
      </c>
      <c r="O905" s="3" t="str">
        <f>_xlfn.XLOOKUP(D:D,MappingTable[Brand],MappingTable[Brand Type], "not found")</f>
        <v>Beer</v>
      </c>
      <c r="P905" t="str">
        <f>_xlfn.XLOOKUP(L:L,MappingTable2[Month],MappingTable2[Quarters],"NIL")</f>
        <v>Q2</v>
      </c>
      <c r="Q905" s="1"/>
    </row>
    <row r="906" spans="1:17" x14ac:dyDescent="0.2">
      <c r="A906" s="1">
        <v>11005</v>
      </c>
      <c r="B906" s="1" t="s">
        <v>31</v>
      </c>
      <c r="C906" s="1" t="s">
        <v>32</v>
      </c>
      <c r="D906" s="1" t="s">
        <v>21</v>
      </c>
      <c r="E906" s="3">
        <v>250</v>
      </c>
      <c r="F906" s="3">
        <v>500</v>
      </c>
      <c r="G906" s="13">
        <v>984</v>
      </c>
      <c r="H906" s="3">
        <v>492000</v>
      </c>
      <c r="I906" s="3">
        <v>246000</v>
      </c>
      <c r="J906" s="1" t="s">
        <v>40</v>
      </c>
      <c r="K906" s="1" t="s">
        <v>41</v>
      </c>
      <c r="L906" s="1" t="s">
        <v>42</v>
      </c>
      <c r="M906" s="1">
        <v>2017</v>
      </c>
      <c r="N906" s="1" t="str">
        <f t="shared" si="14"/>
        <v>Francophone</v>
      </c>
      <c r="O906" s="3" t="str">
        <f>_xlfn.XLOOKUP(D:D,MappingTable[Brand],MappingTable[Brand Type], "not found")</f>
        <v>Beer</v>
      </c>
      <c r="P906" t="str">
        <f>_xlfn.XLOOKUP(L:L,MappingTable2[Month],MappingTable2[Quarters],"NIL")</f>
        <v>Q2</v>
      </c>
      <c r="Q906" s="1"/>
    </row>
    <row r="907" spans="1:17" x14ac:dyDescent="0.2">
      <c r="A907" s="1">
        <v>11006</v>
      </c>
      <c r="B907" s="1" t="s">
        <v>51</v>
      </c>
      <c r="C907" s="1" t="s">
        <v>52</v>
      </c>
      <c r="D907" s="1" t="s">
        <v>27</v>
      </c>
      <c r="E907" s="3">
        <v>180</v>
      </c>
      <c r="F907" s="3">
        <v>450</v>
      </c>
      <c r="G907" s="13">
        <v>861</v>
      </c>
      <c r="H907" s="3">
        <v>387450</v>
      </c>
      <c r="I907" s="3">
        <v>232470</v>
      </c>
      <c r="J907" s="1" t="s">
        <v>16</v>
      </c>
      <c r="K907" s="1" t="s">
        <v>44</v>
      </c>
      <c r="L907" s="1" t="s">
        <v>45</v>
      </c>
      <c r="M907" s="1">
        <v>2017</v>
      </c>
      <c r="N907" s="1" t="str">
        <f t="shared" si="14"/>
        <v>Anglophone</v>
      </c>
      <c r="O907" s="3" t="str">
        <f>_xlfn.XLOOKUP(D:D,MappingTable[Brand],MappingTable[Brand Type], "not found")</f>
        <v>Beer</v>
      </c>
      <c r="P907" t="str">
        <f>_xlfn.XLOOKUP(L:L,MappingTable2[Month],MappingTable2[Quarters],"NIL")</f>
        <v>Q2</v>
      </c>
      <c r="Q907" s="1"/>
    </row>
    <row r="908" spans="1:17" x14ac:dyDescent="0.2">
      <c r="A908" s="1">
        <v>11007</v>
      </c>
      <c r="B908" s="1" t="s">
        <v>54</v>
      </c>
      <c r="C908" s="1" t="s">
        <v>55</v>
      </c>
      <c r="D908" s="1" t="s">
        <v>33</v>
      </c>
      <c r="E908" s="3">
        <v>170</v>
      </c>
      <c r="F908" s="3">
        <v>250</v>
      </c>
      <c r="G908" s="13">
        <v>984</v>
      </c>
      <c r="H908" s="3">
        <v>246000</v>
      </c>
      <c r="I908" s="3">
        <v>78720</v>
      </c>
      <c r="J908" s="1" t="s">
        <v>22</v>
      </c>
      <c r="K908" s="1" t="s">
        <v>17</v>
      </c>
      <c r="L908" s="1" t="s">
        <v>49</v>
      </c>
      <c r="M908" s="1">
        <v>2019</v>
      </c>
      <c r="N908" s="1" t="str">
        <f t="shared" si="14"/>
        <v>Anglophone</v>
      </c>
      <c r="O908" s="3" t="str">
        <f>_xlfn.XLOOKUP(D:D,MappingTable[Brand],MappingTable[Brand Type], "not found")</f>
        <v>Beer</v>
      </c>
      <c r="P908" t="str">
        <f>_xlfn.XLOOKUP(L:L,MappingTable2[Month],MappingTable2[Quarters],"NIL")</f>
        <v>Q3</v>
      </c>
      <c r="Q908" s="1"/>
    </row>
    <row r="909" spans="1:17" x14ac:dyDescent="0.2">
      <c r="A909" s="1">
        <v>11008</v>
      </c>
      <c r="B909" s="1" t="s">
        <v>57</v>
      </c>
      <c r="C909" s="1" t="s">
        <v>58</v>
      </c>
      <c r="D909" s="1" t="s">
        <v>39</v>
      </c>
      <c r="E909" s="3">
        <v>150</v>
      </c>
      <c r="F909" s="3">
        <v>200</v>
      </c>
      <c r="G909" s="13">
        <v>760</v>
      </c>
      <c r="H909" s="3">
        <v>152000</v>
      </c>
      <c r="I909" s="3">
        <v>38000</v>
      </c>
      <c r="J909" s="1" t="s">
        <v>28</v>
      </c>
      <c r="K909" s="1" t="s">
        <v>23</v>
      </c>
      <c r="L909" s="1" t="s">
        <v>50</v>
      </c>
      <c r="M909" s="1">
        <v>2018</v>
      </c>
      <c r="N909" s="1" t="str">
        <f t="shared" si="14"/>
        <v>Francophone</v>
      </c>
      <c r="O909" s="3" t="str">
        <f>_xlfn.XLOOKUP(D:D,MappingTable[Brand],MappingTable[Brand Type], "not found")</f>
        <v>Beer</v>
      </c>
      <c r="P909" t="str">
        <f>_xlfn.XLOOKUP(L:L,MappingTable2[Month],MappingTable2[Quarters],"NIL")</f>
        <v>Q3</v>
      </c>
      <c r="Q909" s="1"/>
    </row>
    <row r="910" spans="1:17" x14ac:dyDescent="0.2">
      <c r="A910" s="1">
        <v>11009</v>
      </c>
      <c r="B910" s="1" t="s">
        <v>31</v>
      </c>
      <c r="C910" s="1" t="s">
        <v>32</v>
      </c>
      <c r="D910" s="1" t="s">
        <v>43</v>
      </c>
      <c r="E910" s="3">
        <v>80</v>
      </c>
      <c r="F910" s="3">
        <v>150</v>
      </c>
      <c r="G910" s="13">
        <v>849</v>
      </c>
      <c r="H910" s="3">
        <v>127350</v>
      </c>
      <c r="I910" s="3">
        <v>59430</v>
      </c>
      <c r="J910" s="1" t="s">
        <v>34</v>
      </c>
      <c r="K910" s="1" t="s">
        <v>29</v>
      </c>
      <c r="L910" s="1" t="s">
        <v>53</v>
      </c>
      <c r="M910" s="1">
        <v>2019</v>
      </c>
      <c r="N910" s="1" t="str">
        <f t="shared" si="14"/>
        <v>Francophone</v>
      </c>
      <c r="O910" s="3" t="str">
        <f>_xlfn.XLOOKUP(D:D,MappingTable[Brand],MappingTable[Brand Type], "not found")</f>
        <v>Malt</v>
      </c>
      <c r="P910" t="str">
        <f>_xlfn.XLOOKUP(L:L,MappingTable2[Month],MappingTable2[Quarters],"NIL")</f>
        <v>Q3</v>
      </c>
      <c r="Q910" s="1"/>
    </row>
    <row r="911" spans="1:17" x14ac:dyDescent="0.2">
      <c r="A911" s="1">
        <v>11010</v>
      </c>
      <c r="B911" s="1" t="s">
        <v>61</v>
      </c>
      <c r="C911" s="1" t="s">
        <v>62</v>
      </c>
      <c r="D911" s="1" t="s">
        <v>48</v>
      </c>
      <c r="E911" s="3">
        <v>90</v>
      </c>
      <c r="F911" s="3">
        <v>150</v>
      </c>
      <c r="G911" s="13">
        <v>728</v>
      </c>
      <c r="H911" s="3">
        <v>109200</v>
      </c>
      <c r="I911" s="3">
        <v>43680</v>
      </c>
      <c r="J911" s="1" t="s">
        <v>40</v>
      </c>
      <c r="K911" s="1" t="s">
        <v>35</v>
      </c>
      <c r="L911" s="1" t="s">
        <v>56</v>
      </c>
      <c r="M911" s="1">
        <v>2017</v>
      </c>
      <c r="N911" s="1" t="str">
        <f t="shared" si="14"/>
        <v>Francophone</v>
      </c>
      <c r="O911" s="3" t="str">
        <f>_xlfn.XLOOKUP(D:D,MappingTable[Brand],MappingTable[Brand Type], "not found")</f>
        <v>Malt</v>
      </c>
      <c r="P911" t="str">
        <f>_xlfn.XLOOKUP(L:L,MappingTable2[Month],MappingTable2[Quarters],"NIL")</f>
        <v>Q4</v>
      </c>
      <c r="Q911" s="1"/>
    </row>
    <row r="912" spans="1:17" x14ac:dyDescent="0.2">
      <c r="A912" s="1">
        <v>11011</v>
      </c>
      <c r="B912" s="1" t="s">
        <v>31</v>
      </c>
      <c r="C912" s="1" t="s">
        <v>32</v>
      </c>
      <c r="D912" s="1" t="s">
        <v>15</v>
      </c>
      <c r="E912" s="3">
        <v>150</v>
      </c>
      <c r="F912" s="3">
        <v>200</v>
      </c>
      <c r="G912" s="13">
        <v>842</v>
      </c>
      <c r="H912" s="3">
        <v>168400</v>
      </c>
      <c r="I912" s="3">
        <v>42100</v>
      </c>
      <c r="J912" s="1" t="s">
        <v>16</v>
      </c>
      <c r="K912" s="1" t="s">
        <v>41</v>
      </c>
      <c r="L912" s="1" t="s">
        <v>59</v>
      </c>
      <c r="M912" s="1">
        <v>2019</v>
      </c>
      <c r="N912" s="1" t="str">
        <f t="shared" si="14"/>
        <v>Anglophone</v>
      </c>
      <c r="O912" s="3" t="str">
        <f>_xlfn.XLOOKUP(D:D,MappingTable[Brand],MappingTable[Brand Type], "not found")</f>
        <v>Beer</v>
      </c>
      <c r="P912" t="str">
        <f>_xlfn.XLOOKUP(L:L,MappingTable2[Month],MappingTable2[Quarters],"NIL")</f>
        <v>Q4</v>
      </c>
      <c r="Q912" s="1"/>
    </row>
    <row r="913" spans="1:17" x14ac:dyDescent="0.2">
      <c r="A913" s="1">
        <v>11012</v>
      </c>
      <c r="B913" s="1" t="s">
        <v>51</v>
      </c>
      <c r="C913" s="1" t="s">
        <v>52</v>
      </c>
      <c r="D913" s="1" t="s">
        <v>21</v>
      </c>
      <c r="E913" s="3">
        <v>250</v>
      </c>
      <c r="F913" s="3">
        <v>500</v>
      </c>
      <c r="G913" s="13">
        <v>966</v>
      </c>
      <c r="H913" s="3">
        <v>483000</v>
      </c>
      <c r="I913" s="3">
        <v>241500</v>
      </c>
      <c r="J913" s="1" t="s">
        <v>22</v>
      </c>
      <c r="K913" s="1" t="s">
        <v>44</v>
      </c>
      <c r="L913" s="1" t="s">
        <v>60</v>
      </c>
      <c r="M913" s="1">
        <v>2017</v>
      </c>
      <c r="N913" s="1" t="str">
        <f t="shared" si="14"/>
        <v>Anglophone</v>
      </c>
      <c r="O913" s="3" t="str">
        <f>_xlfn.XLOOKUP(D:D,MappingTable[Brand],MappingTable[Brand Type], "not found")</f>
        <v>Beer</v>
      </c>
      <c r="P913" t="str">
        <f>_xlfn.XLOOKUP(L:L,MappingTable2[Month],MappingTable2[Quarters],"NIL")</f>
        <v>Q4</v>
      </c>
      <c r="Q913" s="1"/>
    </row>
    <row r="914" spans="1:17" x14ac:dyDescent="0.2">
      <c r="A914" s="1">
        <v>11013</v>
      </c>
      <c r="B914" s="1" t="s">
        <v>31</v>
      </c>
      <c r="C914" s="1" t="s">
        <v>32</v>
      </c>
      <c r="D914" s="1" t="s">
        <v>27</v>
      </c>
      <c r="E914" s="3">
        <v>180</v>
      </c>
      <c r="F914" s="3">
        <v>450</v>
      </c>
      <c r="G914" s="13">
        <v>732</v>
      </c>
      <c r="H914" s="3">
        <v>329400</v>
      </c>
      <c r="I914" s="3">
        <v>197640</v>
      </c>
      <c r="J914" s="1" t="s">
        <v>28</v>
      </c>
      <c r="K914" s="1" t="s">
        <v>17</v>
      </c>
      <c r="L914" s="1" t="s">
        <v>18</v>
      </c>
      <c r="M914" s="1">
        <v>2017</v>
      </c>
      <c r="N914" s="1" t="str">
        <f t="shared" si="14"/>
        <v>Francophone</v>
      </c>
      <c r="O914" s="3" t="str">
        <f>_xlfn.XLOOKUP(D:D,MappingTable[Brand],MappingTable[Brand Type], "not found")</f>
        <v>Beer</v>
      </c>
      <c r="P914" t="str">
        <f>_xlfn.XLOOKUP(L:L,MappingTable2[Month],MappingTable2[Quarters],"NIL")</f>
        <v>Q1</v>
      </c>
      <c r="Q914" s="1"/>
    </row>
    <row r="915" spans="1:17" x14ac:dyDescent="0.2">
      <c r="A915" s="1">
        <v>11014</v>
      </c>
      <c r="B915" s="1" t="s">
        <v>57</v>
      </c>
      <c r="C915" s="1" t="s">
        <v>58</v>
      </c>
      <c r="D915" s="1" t="s">
        <v>33</v>
      </c>
      <c r="E915" s="3">
        <v>170</v>
      </c>
      <c r="F915" s="3">
        <v>250</v>
      </c>
      <c r="G915" s="13">
        <v>996</v>
      </c>
      <c r="H915" s="3">
        <v>249000</v>
      </c>
      <c r="I915" s="3">
        <v>79680</v>
      </c>
      <c r="J915" s="1" t="s">
        <v>34</v>
      </c>
      <c r="K915" s="1" t="s">
        <v>23</v>
      </c>
      <c r="L915" s="1" t="s">
        <v>24</v>
      </c>
      <c r="M915" s="1">
        <v>2018</v>
      </c>
      <c r="N915" s="1" t="str">
        <f t="shared" si="14"/>
        <v>Francophone</v>
      </c>
      <c r="O915" s="3" t="str">
        <f>_xlfn.XLOOKUP(D:D,MappingTable[Brand],MappingTable[Brand Type], "not found")</f>
        <v>Beer</v>
      </c>
      <c r="P915" t="str">
        <f>_xlfn.XLOOKUP(L:L,MappingTable2[Month],MappingTable2[Quarters],"NIL")</f>
        <v>Q1</v>
      </c>
      <c r="Q915" s="1"/>
    </row>
    <row r="916" spans="1:17" x14ac:dyDescent="0.2">
      <c r="A916" s="1">
        <v>11015</v>
      </c>
      <c r="B916" s="1" t="s">
        <v>63</v>
      </c>
      <c r="C916" s="1" t="s">
        <v>64</v>
      </c>
      <c r="D916" s="1" t="s">
        <v>39</v>
      </c>
      <c r="E916" s="3">
        <v>150</v>
      </c>
      <c r="F916" s="3">
        <v>200</v>
      </c>
      <c r="G916" s="13">
        <v>770</v>
      </c>
      <c r="H916" s="3">
        <v>154000</v>
      </c>
      <c r="I916" s="3">
        <v>38500</v>
      </c>
      <c r="J916" s="1" t="s">
        <v>40</v>
      </c>
      <c r="K916" s="1" t="s">
        <v>29</v>
      </c>
      <c r="L916" s="1" t="s">
        <v>30</v>
      </c>
      <c r="M916" s="1">
        <v>2019</v>
      </c>
      <c r="N916" s="1" t="str">
        <f t="shared" si="14"/>
        <v>Francophone</v>
      </c>
      <c r="O916" s="3" t="str">
        <f>_xlfn.XLOOKUP(D:D,MappingTable[Brand],MappingTable[Brand Type], "not found")</f>
        <v>Beer</v>
      </c>
      <c r="P916" t="str">
        <f>_xlfn.XLOOKUP(L:L,MappingTable2[Month],MappingTable2[Quarters],"NIL")</f>
        <v>Q1</v>
      </c>
      <c r="Q916" s="1"/>
    </row>
    <row r="917" spans="1:17" x14ac:dyDescent="0.2">
      <c r="A917" s="1">
        <v>11016</v>
      </c>
      <c r="B917" s="1" t="s">
        <v>61</v>
      </c>
      <c r="C917" s="1" t="s">
        <v>62</v>
      </c>
      <c r="D917" s="1" t="s">
        <v>43</v>
      </c>
      <c r="E917" s="3">
        <v>80</v>
      </c>
      <c r="F917" s="3">
        <v>150</v>
      </c>
      <c r="G917" s="13">
        <v>785</v>
      </c>
      <c r="H917" s="3">
        <v>117750</v>
      </c>
      <c r="I917" s="3">
        <v>54950</v>
      </c>
      <c r="J917" s="1" t="s">
        <v>16</v>
      </c>
      <c r="K917" s="1" t="s">
        <v>35</v>
      </c>
      <c r="L917" s="1" t="s">
        <v>36</v>
      </c>
      <c r="M917" s="1">
        <v>2017</v>
      </c>
      <c r="N917" s="1" t="str">
        <f t="shared" si="14"/>
        <v>Anglophone</v>
      </c>
      <c r="O917" s="3" t="str">
        <f>_xlfn.XLOOKUP(D:D,MappingTable[Brand],MappingTable[Brand Type], "not found")</f>
        <v>Malt</v>
      </c>
      <c r="P917" t="str">
        <f>_xlfn.XLOOKUP(L:L,MappingTable2[Month],MappingTable2[Quarters],"NIL")</f>
        <v>Q2</v>
      </c>
      <c r="Q917" s="1"/>
    </row>
    <row r="918" spans="1:17" x14ac:dyDescent="0.2">
      <c r="A918" s="1">
        <v>11017</v>
      </c>
      <c r="B918" s="1" t="s">
        <v>57</v>
      </c>
      <c r="C918" s="1" t="s">
        <v>58</v>
      </c>
      <c r="D918" s="1" t="s">
        <v>48</v>
      </c>
      <c r="E918" s="3">
        <v>90</v>
      </c>
      <c r="F918" s="3">
        <v>150</v>
      </c>
      <c r="G918" s="13">
        <v>891</v>
      </c>
      <c r="H918" s="3">
        <v>133650</v>
      </c>
      <c r="I918" s="3">
        <v>53460</v>
      </c>
      <c r="J918" s="1" t="s">
        <v>22</v>
      </c>
      <c r="K918" s="1" t="s">
        <v>41</v>
      </c>
      <c r="L918" s="1" t="s">
        <v>42</v>
      </c>
      <c r="M918" s="1">
        <v>2017</v>
      </c>
      <c r="N918" s="1" t="str">
        <f t="shared" si="14"/>
        <v>Anglophone</v>
      </c>
      <c r="O918" s="3" t="str">
        <f>_xlfn.XLOOKUP(D:D,MappingTable[Brand],MappingTable[Brand Type], "not found")</f>
        <v>Malt</v>
      </c>
      <c r="P918" t="str">
        <f>_xlfn.XLOOKUP(L:L,MappingTable2[Month],MappingTable2[Quarters],"NIL")</f>
        <v>Q2</v>
      </c>
      <c r="Q918" s="1"/>
    </row>
    <row r="919" spans="1:17" x14ac:dyDescent="0.2">
      <c r="A919" s="1">
        <v>11018</v>
      </c>
      <c r="B919" s="1" t="s">
        <v>19</v>
      </c>
      <c r="C919" s="1" t="s">
        <v>20</v>
      </c>
      <c r="D919" s="1" t="s">
        <v>15</v>
      </c>
      <c r="E919" s="3">
        <v>150</v>
      </c>
      <c r="F919" s="3">
        <v>200</v>
      </c>
      <c r="G919" s="13">
        <v>793</v>
      </c>
      <c r="H919" s="3">
        <v>158600</v>
      </c>
      <c r="I919" s="3">
        <v>39650</v>
      </c>
      <c r="J919" s="1" t="s">
        <v>28</v>
      </c>
      <c r="K919" s="1" t="s">
        <v>44</v>
      </c>
      <c r="L919" s="1" t="s">
        <v>45</v>
      </c>
      <c r="M919" s="1">
        <v>2019</v>
      </c>
      <c r="N919" s="1" t="str">
        <f t="shared" si="14"/>
        <v>Francophone</v>
      </c>
      <c r="O919" s="3" t="str">
        <f>_xlfn.XLOOKUP(D:D,MappingTable[Brand],MappingTable[Brand Type], "not found")</f>
        <v>Beer</v>
      </c>
      <c r="P919" t="str">
        <f>_xlfn.XLOOKUP(L:L,MappingTable2[Month],MappingTable2[Quarters],"NIL")</f>
        <v>Q2</v>
      </c>
      <c r="Q919" s="1"/>
    </row>
    <row r="920" spans="1:17" x14ac:dyDescent="0.2">
      <c r="A920" s="1">
        <v>11019</v>
      </c>
      <c r="B920" s="1" t="s">
        <v>61</v>
      </c>
      <c r="C920" s="1" t="s">
        <v>62</v>
      </c>
      <c r="D920" s="1" t="s">
        <v>21</v>
      </c>
      <c r="E920" s="3">
        <v>250</v>
      </c>
      <c r="F920" s="3">
        <v>500</v>
      </c>
      <c r="G920" s="13">
        <v>893</v>
      </c>
      <c r="H920" s="3">
        <v>446500</v>
      </c>
      <c r="I920" s="3">
        <v>223250</v>
      </c>
      <c r="J920" s="1" t="s">
        <v>34</v>
      </c>
      <c r="K920" s="1" t="s">
        <v>17</v>
      </c>
      <c r="L920" s="1" t="s">
        <v>49</v>
      </c>
      <c r="M920" s="1">
        <v>2019</v>
      </c>
      <c r="N920" s="1" t="str">
        <f t="shared" si="14"/>
        <v>Francophone</v>
      </c>
      <c r="O920" s="3" t="str">
        <f>_xlfn.XLOOKUP(D:D,MappingTable[Brand],MappingTable[Brand Type], "not found")</f>
        <v>Beer</v>
      </c>
      <c r="P920" t="str">
        <f>_xlfn.XLOOKUP(L:L,MappingTable2[Month],MappingTable2[Quarters],"NIL")</f>
        <v>Q3</v>
      </c>
      <c r="Q920" s="1"/>
    </row>
    <row r="921" spans="1:17" x14ac:dyDescent="0.2">
      <c r="A921" s="1">
        <v>11020</v>
      </c>
      <c r="B921" s="1" t="s">
        <v>31</v>
      </c>
      <c r="C921" s="1" t="s">
        <v>32</v>
      </c>
      <c r="D921" s="1" t="s">
        <v>27</v>
      </c>
      <c r="E921" s="3">
        <v>180</v>
      </c>
      <c r="F921" s="3">
        <v>450</v>
      </c>
      <c r="G921" s="13">
        <v>880</v>
      </c>
      <c r="H921" s="3">
        <v>396000</v>
      </c>
      <c r="I921" s="3">
        <v>237600</v>
      </c>
      <c r="J921" s="1" t="s">
        <v>40</v>
      </c>
      <c r="K921" s="1" t="s">
        <v>23</v>
      </c>
      <c r="L921" s="1" t="s">
        <v>50</v>
      </c>
      <c r="M921" s="1">
        <v>2017</v>
      </c>
      <c r="N921" s="1" t="str">
        <f t="shared" si="14"/>
        <v>Francophone</v>
      </c>
      <c r="O921" s="3" t="str">
        <f>_xlfn.XLOOKUP(D:D,MappingTable[Brand],MappingTable[Brand Type], "not found")</f>
        <v>Beer</v>
      </c>
      <c r="P921" t="str">
        <f>_xlfn.XLOOKUP(L:L,MappingTable2[Month],MappingTable2[Quarters],"NIL")</f>
        <v>Q3</v>
      </c>
      <c r="Q921" s="1"/>
    </row>
    <row r="922" spans="1:17" x14ac:dyDescent="0.2">
      <c r="A922" s="1">
        <v>11021</v>
      </c>
      <c r="B922" s="1" t="s">
        <v>25</v>
      </c>
      <c r="C922" s="1" t="s">
        <v>26</v>
      </c>
      <c r="D922" s="1" t="s">
        <v>33</v>
      </c>
      <c r="E922" s="3">
        <v>170</v>
      </c>
      <c r="F922" s="3">
        <v>250</v>
      </c>
      <c r="G922" s="13">
        <v>921</v>
      </c>
      <c r="H922" s="3">
        <v>230250</v>
      </c>
      <c r="I922" s="3">
        <v>73680</v>
      </c>
      <c r="J922" s="1" t="s">
        <v>16</v>
      </c>
      <c r="K922" s="1" t="s">
        <v>29</v>
      </c>
      <c r="L922" s="1" t="s">
        <v>53</v>
      </c>
      <c r="M922" s="1">
        <v>2017</v>
      </c>
      <c r="N922" s="1" t="str">
        <f t="shared" si="14"/>
        <v>Anglophone</v>
      </c>
      <c r="O922" s="3" t="str">
        <f>_xlfn.XLOOKUP(D:D,MappingTable[Brand],MappingTable[Brand Type], "not found")</f>
        <v>Beer</v>
      </c>
      <c r="P922" t="str">
        <f>_xlfn.XLOOKUP(L:L,MappingTable2[Month],MappingTable2[Quarters],"NIL")</f>
        <v>Q3</v>
      </c>
      <c r="Q922" s="1"/>
    </row>
    <row r="923" spans="1:17" x14ac:dyDescent="0.2">
      <c r="A923" s="1">
        <v>11022</v>
      </c>
      <c r="B923" s="1" t="s">
        <v>13</v>
      </c>
      <c r="C923" s="1" t="s">
        <v>14</v>
      </c>
      <c r="D923" s="1" t="s">
        <v>39</v>
      </c>
      <c r="E923" s="3">
        <v>150</v>
      </c>
      <c r="F923" s="3">
        <v>200</v>
      </c>
      <c r="G923" s="13">
        <v>851</v>
      </c>
      <c r="H923" s="3">
        <v>170200</v>
      </c>
      <c r="I923" s="3">
        <v>42550</v>
      </c>
      <c r="J923" s="1" t="s">
        <v>22</v>
      </c>
      <c r="K923" s="1" t="s">
        <v>35</v>
      </c>
      <c r="L923" s="1" t="s">
        <v>56</v>
      </c>
      <c r="M923" s="1">
        <v>2019</v>
      </c>
      <c r="N923" s="1" t="str">
        <f t="shared" si="14"/>
        <v>Anglophone</v>
      </c>
      <c r="O923" s="3" t="str">
        <f>_xlfn.XLOOKUP(D:D,MappingTable[Brand],MappingTable[Brand Type], "not found")</f>
        <v>Beer</v>
      </c>
      <c r="P923" t="str">
        <f>_xlfn.XLOOKUP(L:L,MappingTable2[Month],MappingTable2[Quarters],"NIL")</f>
        <v>Q4</v>
      </c>
      <c r="Q923" s="1"/>
    </row>
    <row r="924" spans="1:17" x14ac:dyDescent="0.2">
      <c r="A924" s="1">
        <v>11023</v>
      </c>
      <c r="B924" s="1" t="s">
        <v>37</v>
      </c>
      <c r="C924" s="1" t="s">
        <v>38</v>
      </c>
      <c r="D924" s="1" t="s">
        <v>43</v>
      </c>
      <c r="E924" s="3">
        <v>80</v>
      </c>
      <c r="F924" s="3">
        <v>150</v>
      </c>
      <c r="G924" s="13">
        <v>860</v>
      </c>
      <c r="H924" s="3">
        <v>129000</v>
      </c>
      <c r="I924" s="3">
        <v>60200</v>
      </c>
      <c r="J924" s="1" t="s">
        <v>28</v>
      </c>
      <c r="K924" s="1" t="s">
        <v>41</v>
      </c>
      <c r="L924" s="1" t="s">
        <v>59</v>
      </c>
      <c r="M924" s="1">
        <v>2018</v>
      </c>
      <c r="N924" s="1" t="str">
        <f t="shared" si="14"/>
        <v>Francophone</v>
      </c>
      <c r="O924" s="3" t="str">
        <f>_xlfn.XLOOKUP(D:D,MappingTable[Brand],MappingTable[Brand Type], "not found")</f>
        <v>Malt</v>
      </c>
      <c r="P924" t="str">
        <f>_xlfn.XLOOKUP(L:L,MappingTable2[Month],MappingTable2[Quarters],"NIL")</f>
        <v>Q4</v>
      </c>
      <c r="Q924" s="1"/>
    </row>
    <row r="925" spans="1:17" x14ac:dyDescent="0.2">
      <c r="A925" s="1">
        <v>11024</v>
      </c>
      <c r="B925" s="1" t="s">
        <v>54</v>
      </c>
      <c r="C925" s="1" t="s">
        <v>55</v>
      </c>
      <c r="D925" s="1" t="s">
        <v>48</v>
      </c>
      <c r="E925" s="3">
        <v>90</v>
      </c>
      <c r="F925" s="3">
        <v>150</v>
      </c>
      <c r="G925" s="13">
        <v>818</v>
      </c>
      <c r="H925" s="3">
        <v>122700</v>
      </c>
      <c r="I925" s="3">
        <v>49080</v>
      </c>
      <c r="J925" s="1" t="s">
        <v>34</v>
      </c>
      <c r="K925" s="1" t="s">
        <v>44</v>
      </c>
      <c r="L925" s="1" t="s">
        <v>60</v>
      </c>
      <c r="M925" s="1">
        <v>2018</v>
      </c>
      <c r="N925" s="1" t="str">
        <f t="shared" si="14"/>
        <v>Francophone</v>
      </c>
      <c r="O925" s="3" t="str">
        <f>_xlfn.XLOOKUP(D:D,MappingTable[Brand],MappingTable[Brand Type], "not found")</f>
        <v>Malt</v>
      </c>
      <c r="P925" t="str">
        <f>_xlfn.XLOOKUP(L:L,MappingTable2[Month],MappingTable2[Quarters],"NIL")</f>
        <v>Q4</v>
      </c>
      <c r="Q925" s="1"/>
    </row>
    <row r="926" spans="1:17" x14ac:dyDescent="0.2">
      <c r="A926" s="1">
        <v>11025</v>
      </c>
      <c r="B926" s="1" t="s">
        <v>19</v>
      </c>
      <c r="C926" s="1" t="s">
        <v>20</v>
      </c>
      <c r="D926" s="1" t="s">
        <v>15</v>
      </c>
      <c r="E926" s="3">
        <v>150</v>
      </c>
      <c r="F926" s="3">
        <v>200</v>
      </c>
      <c r="G926" s="13">
        <v>906</v>
      </c>
      <c r="H926" s="3">
        <v>181200</v>
      </c>
      <c r="I926" s="3">
        <v>45300</v>
      </c>
      <c r="J926" s="1" t="s">
        <v>40</v>
      </c>
      <c r="K926" s="1" t="s">
        <v>17</v>
      </c>
      <c r="L926" s="1" t="s">
        <v>18</v>
      </c>
      <c r="M926" s="1">
        <v>2017</v>
      </c>
      <c r="N926" s="1" t="str">
        <f t="shared" si="14"/>
        <v>Francophone</v>
      </c>
      <c r="O926" s="3" t="str">
        <f>_xlfn.XLOOKUP(D:D,MappingTable[Brand],MappingTable[Brand Type], "not found")</f>
        <v>Beer</v>
      </c>
      <c r="P926" t="str">
        <f>_xlfn.XLOOKUP(L:L,MappingTable2[Month],MappingTable2[Quarters],"NIL")</f>
        <v>Q1</v>
      </c>
      <c r="Q926" s="1"/>
    </row>
    <row r="927" spans="1:17" x14ac:dyDescent="0.2">
      <c r="A927" s="1">
        <v>11026</v>
      </c>
      <c r="B927" s="1" t="s">
        <v>19</v>
      </c>
      <c r="C927" s="1" t="s">
        <v>20</v>
      </c>
      <c r="D927" s="1" t="s">
        <v>21</v>
      </c>
      <c r="E927" s="3">
        <v>250</v>
      </c>
      <c r="F927" s="3">
        <v>500</v>
      </c>
      <c r="G927" s="13">
        <v>810</v>
      </c>
      <c r="H927" s="3">
        <v>405000</v>
      </c>
      <c r="I927" s="3">
        <v>202500</v>
      </c>
      <c r="J927" s="1" t="s">
        <v>16</v>
      </c>
      <c r="K927" s="1" t="s">
        <v>23</v>
      </c>
      <c r="L927" s="1" t="s">
        <v>24</v>
      </c>
      <c r="M927" s="1">
        <v>2017</v>
      </c>
      <c r="N927" s="1" t="str">
        <f t="shared" si="14"/>
        <v>Anglophone</v>
      </c>
      <c r="O927" s="3" t="str">
        <f>_xlfn.XLOOKUP(D:D,MappingTable[Brand],MappingTable[Brand Type], "not found")</f>
        <v>Beer</v>
      </c>
      <c r="P927" t="str">
        <f>_xlfn.XLOOKUP(L:L,MappingTable2[Month],MappingTable2[Quarters],"NIL")</f>
        <v>Q1</v>
      </c>
      <c r="Q927" s="1"/>
    </row>
    <row r="928" spans="1:17" x14ac:dyDescent="0.2">
      <c r="A928" s="1">
        <v>11027</v>
      </c>
      <c r="B928" s="1" t="s">
        <v>63</v>
      </c>
      <c r="C928" s="1" t="s">
        <v>64</v>
      </c>
      <c r="D928" s="1" t="s">
        <v>27</v>
      </c>
      <c r="E928" s="3">
        <v>180</v>
      </c>
      <c r="F928" s="3">
        <v>450</v>
      </c>
      <c r="G928" s="13">
        <v>847</v>
      </c>
      <c r="H928" s="3">
        <v>381150</v>
      </c>
      <c r="I928" s="3">
        <v>228690</v>
      </c>
      <c r="J928" s="1" t="s">
        <v>22</v>
      </c>
      <c r="K928" s="1" t="s">
        <v>29</v>
      </c>
      <c r="L928" s="1" t="s">
        <v>30</v>
      </c>
      <c r="M928" s="1">
        <v>2019</v>
      </c>
      <c r="N928" s="1" t="str">
        <f t="shared" si="14"/>
        <v>Anglophone</v>
      </c>
      <c r="O928" s="3" t="str">
        <f>_xlfn.XLOOKUP(D:D,MappingTable[Brand],MappingTable[Brand Type], "not found")</f>
        <v>Beer</v>
      </c>
      <c r="P928" t="str">
        <f>_xlfn.XLOOKUP(L:L,MappingTable2[Month],MappingTable2[Quarters],"NIL")</f>
        <v>Q1</v>
      </c>
      <c r="Q928" s="1"/>
    </row>
    <row r="929" spans="1:17" x14ac:dyDescent="0.2">
      <c r="A929" s="1">
        <v>11028</v>
      </c>
      <c r="B929" s="1" t="s">
        <v>31</v>
      </c>
      <c r="C929" s="1" t="s">
        <v>32</v>
      </c>
      <c r="D929" s="1" t="s">
        <v>33</v>
      </c>
      <c r="E929" s="3">
        <v>170</v>
      </c>
      <c r="F929" s="3">
        <v>250</v>
      </c>
      <c r="G929" s="13">
        <v>703</v>
      </c>
      <c r="H929" s="3">
        <v>175750</v>
      </c>
      <c r="I929" s="3">
        <v>56240</v>
      </c>
      <c r="J929" s="1" t="s">
        <v>28</v>
      </c>
      <c r="K929" s="1" t="s">
        <v>35</v>
      </c>
      <c r="L929" s="1" t="s">
        <v>36</v>
      </c>
      <c r="M929" s="1">
        <v>2017</v>
      </c>
      <c r="N929" s="1" t="str">
        <f t="shared" si="14"/>
        <v>Francophone</v>
      </c>
      <c r="O929" s="3" t="str">
        <f>_xlfn.XLOOKUP(D:D,MappingTable[Brand],MappingTable[Brand Type], "not found")</f>
        <v>Beer</v>
      </c>
      <c r="P929" t="str">
        <f>_xlfn.XLOOKUP(L:L,MappingTable2[Month],MappingTable2[Quarters],"NIL")</f>
        <v>Q2</v>
      </c>
      <c r="Q929" s="1"/>
    </row>
    <row r="930" spans="1:17" x14ac:dyDescent="0.2">
      <c r="A930" s="1">
        <v>11029</v>
      </c>
      <c r="B930" s="1" t="s">
        <v>51</v>
      </c>
      <c r="C930" s="1" t="s">
        <v>52</v>
      </c>
      <c r="D930" s="1" t="s">
        <v>39</v>
      </c>
      <c r="E930" s="3">
        <v>150</v>
      </c>
      <c r="F930" s="3">
        <v>200</v>
      </c>
      <c r="G930" s="13">
        <v>716</v>
      </c>
      <c r="H930" s="3">
        <v>143200</v>
      </c>
      <c r="I930" s="3">
        <v>35800</v>
      </c>
      <c r="J930" s="1" t="s">
        <v>34</v>
      </c>
      <c r="K930" s="1" t="s">
        <v>41</v>
      </c>
      <c r="L930" s="1" t="s">
        <v>42</v>
      </c>
      <c r="M930" s="1">
        <v>2018</v>
      </c>
      <c r="N930" s="1" t="str">
        <f t="shared" si="14"/>
        <v>Francophone</v>
      </c>
      <c r="O930" s="3" t="str">
        <f>_xlfn.XLOOKUP(D:D,MappingTable[Brand],MappingTable[Brand Type], "not found")</f>
        <v>Beer</v>
      </c>
      <c r="P930" t="str">
        <f>_xlfn.XLOOKUP(L:L,MappingTable2[Month],MappingTable2[Quarters],"NIL")</f>
        <v>Q2</v>
      </c>
      <c r="Q930" s="1"/>
    </row>
    <row r="931" spans="1:17" x14ac:dyDescent="0.2">
      <c r="A931" s="1">
        <v>11030</v>
      </c>
      <c r="B931" s="1" t="s">
        <v>63</v>
      </c>
      <c r="C931" s="1" t="s">
        <v>64</v>
      </c>
      <c r="D931" s="1" t="s">
        <v>43</v>
      </c>
      <c r="E931" s="3">
        <v>80</v>
      </c>
      <c r="F931" s="3">
        <v>150</v>
      </c>
      <c r="G931" s="13">
        <v>895</v>
      </c>
      <c r="H931" s="3">
        <v>134250</v>
      </c>
      <c r="I931" s="3">
        <v>62650</v>
      </c>
      <c r="J931" s="1" t="s">
        <v>40</v>
      </c>
      <c r="K931" s="1" t="s">
        <v>44</v>
      </c>
      <c r="L931" s="1" t="s">
        <v>45</v>
      </c>
      <c r="M931" s="1">
        <v>2019</v>
      </c>
      <c r="N931" s="1" t="str">
        <f t="shared" si="14"/>
        <v>Francophone</v>
      </c>
      <c r="O931" s="3" t="str">
        <f>_xlfn.XLOOKUP(D:D,MappingTable[Brand],MappingTable[Brand Type], "not found")</f>
        <v>Malt</v>
      </c>
      <c r="P931" t="str">
        <f>_xlfn.XLOOKUP(L:L,MappingTable2[Month],MappingTable2[Quarters],"NIL")</f>
        <v>Q2</v>
      </c>
      <c r="Q931" s="1"/>
    </row>
    <row r="932" spans="1:17" x14ac:dyDescent="0.2">
      <c r="A932" s="1">
        <v>11031</v>
      </c>
      <c r="B932" s="1" t="s">
        <v>25</v>
      </c>
      <c r="C932" s="1" t="s">
        <v>26</v>
      </c>
      <c r="D932" s="1" t="s">
        <v>48</v>
      </c>
      <c r="E932" s="3">
        <v>90</v>
      </c>
      <c r="F932" s="3">
        <v>150</v>
      </c>
      <c r="G932" s="13">
        <v>981</v>
      </c>
      <c r="H932" s="3">
        <v>147150</v>
      </c>
      <c r="I932" s="3">
        <v>58860</v>
      </c>
      <c r="J932" s="1" t="s">
        <v>16</v>
      </c>
      <c r="K932" s="1" t="s">
        <v>17</v>
      </c>
      <c r="L932" s="1" t="s">
        <v>49</v>
      </c>
      <c r="M932" s="1">
        <v>2019</v>
      </c>
      <c r="N932" s="1" t="str">
        <f t="shared" si="14"/>
        <v>Anglophone</v>
      </c>
      <c r="O932" s="3" t="str">
        <f>_xlfn.XLOOKUP(D:D,MappingTable[Brand],MappingTable[Brand Type], "not found")</f>
        <v>Malt</v>
      </c>
      <c r="P932" t="str">
        <f>_xlfn.XLOOKUP(L:L,MappingTable2[Month],MappingTable2[Quarters],"NIL")</f>
        <v>Q3</v>
      </c>
      <c r="Q932" s="1"/>
    </row>
    <row r="933" spans="1:17" x14ac:dyDescent="0.2">
      <c r="A933" s="1">
        <v>11032</v>
      </c>
      <c r="B933" s="1" t="s">
        <v>19</v>
      </c>
      <c r="C933" s="1" t="s">
        <v>20</v>
      </c>
      <c r="D933" s="1" t="s">
        <v>15</v>
      </c>
      <c r="E933" s="3">
        <v>150</v>
      </c>
      <c r="F933" s="3">
        <v>200</v>
      </c>
      <c r="G933" s="13">
        <v>799</v>
      </c>
      <c r="H933" s="3">
        <v>159800</v>
      </c>
      <c r="I933" s="3">
        <v>39950</v>
      </c>
      <c r="J933" s="1" t="s">
        <v>22</v>
      </c>
      <c r="K933" s="1" t="s">
        <v>23</v>
      </c>
      <c r="L933" s="1" t="s">
        <v>50</v>
      </c>
      <c r="M933" s="1">
        <v>2018</v>
      </c>
      <c r="N933" s="1" t="str">
        <f t="shared" si="14"/>
        <v>Anglophone</v>
      </c>
      <c r="O933" s="3" t="str">
        <f>_xlfn.XLOOKUP(D:D,MappingTable[Brand],MappingTable[Brand Type], "not found")</f>
        <v>Beer</v>
      </c>
      <c r="P933" t="str">
        <f>_xlfn.XLOOKUP(L:L,MappingTable2[Month],MappingTable2[Quarters],"NIL")</f>
        <v>Q3</v>
      </c>
      <c r="Q933" s="1"/>
    </row>
    <row r="934" spans="1:17" x14ac:dyDescent="0.2">
      <c r="A934" s="1">
        <v>11033</v>
      </c>
      <c r="B934" s="1" t="s">
        <v>25</v>
      </c>
      <c r="C934" s="1" t="s">
        <v>26</v>
      </c>
      <c r="D934" s="1" t="s">
        <v>21</v>
      </c>
      <c r="E934" s="3">
        <v>250</v>
      </c>
      <c r="F934" s="3">
        <v>500</v>
      </c>
      <c r="G934" s="13">
        <v>774</v>
      </c>
      <c r="H934" s="3">
        <v>387000</v>
      </c>
      <c r="I934" s="3">
        <v>193500</v>
      </c>
      <c r="J934" s="1" t="s">
        <v>28</v>
      </c>
      <c r="K934" s="1" t="s">
        <v>29</v>
      </c>
      <c r="L934" s="1" t="s">
        <v>53</v>
      </c>
      <c r="M934" s="1">
        <v>2018</v>
      </c>
      <c r="N934" s="1" t="str">
        <f t="shared" si="14"/>
        <v>Francophone</v>
      </c>
      <c r="O934" s="3" t="str">
        <f>_xlfn.XLOOKUP(D:D,MappingTable[Brand],MappingTable[Brand Type], "not found")</f>
        <v>Beer</v>
      </c>
      <c r="P934" t="str">
        <f>_xlfn.XLOOKUP(L:L,MappingTable2[Month],MappingTable2[Quarters],"NIL")</f>
        <v>Q3</v>
      </c>
      <c r="Q934" s="1"/>
    </row>
    <row r="935" spans="1:17" x14ac:dyDescent="0.2">
      <c r="A935" s="1">
        <v>11034</v>
      </c>
      <c r="B935" s="1" t="s">
        <v>46</v>
      </c>
      <c r="C935" s="1" t="s">
        <v>47</v>
      </c>
      <c r="D935" s="1" t="s">
        <v>27</v>
      </c>
      <c r="E935" s="3">
        <v>180</v>
      </c>
      <c r="F935" s="3">
        <v>450</v>
      </c>
      <c r="G935" s="13">
        <v>861</v>
      </c>
      <c r="H935" s="3">
        <v>387450</v>
      </c>
      <c r="I935" s="3">
        <v>232470</v>
      </c>
      <c r="J935" s="1" t="s">
        <v>34</v>
      </c>
      <c r="K935" s="1" t="s">
        <v>35</v>
      </c>
      <c r="L935" s="1" t="s">
        <v>56</v>
      </c>
      <c r="M935" s="1">
        <v>2019</v>
      </c>
      <c r="N935" s="1" t="str">
        <f t="shared" si="14"/>
        <v>Francophone</v>
      </c>
      <c r="O935" s="3" t="str">
        <f>_xlfn.XLOOKUP(D:D,MappingTable[Brand],MappingTable[Brand Type], "not found")</f>
        <v>Beer</v>
      </c>
      <c r="P935" t="str">
        <f>_xlfn.XLOOKUP(L:L,MappingTable2[Month],MappingTable2[Quarters],"NIL")</f>
        <v>Q4</v>
      </c>
      <c r="Q935" s="1"/>
    </row>
    <row r="936" spans="1:17" x14ac:dyDescent="0.2">
      <c r="A936" s="1">
        <v>11035</v>
      </c>
      <c r="B936" s="1" t="s">
        <v>37</v>
      </c>
      <c r="C936" s="1" t="s">
        <v>38</v>
      </c>
      <c r="D936" s="1" t="s">
        <v>33</v>
      </c>
      <c r="E936" s="3">
        <v>170</v>
      </c>
      <c r="F936" s="3">
        <v>250</v>
      </c>
      <c r="G936" s="13">
        <v>928</v>
      </c>
      <c r="H936" s="3">
        <v>232000</v>
      </c>
      <c r="I936" s="3">
        <v>74240</v>
      </c>
      <c r="J936" s="1" t="s">
        <v>40</v>
      </c>
      <c r="K936" s="1" t="s">
        <v>41</v>
      </c>
      <c r="L936" s="1" t="s">
        <v>59</v>
      </c>
      <c r="M936" s="1">
        <v>2017</v>
      </c>
      <c r="N936" s="1" t="str">
        <f t="shared" si="14"/>
        <v>Francophone</v>
      </c>
      <c r="O936" s="3" t="str">
        <f>_xlfn.XLOOKUP(D:D,MappingTable[Brand],MappingTable[Brand Type], "not found")</f>
        <v>Beer</v>
      </c>
      <c r="P936" t="str">
        <f>_xlfn.XLOOKUP(L:L,MappingTable2[Month],MappingTable2[Quarters],"NIL")</f>
        <v>Q4</v>
      </c>
      <c r="Q936" s="1"/>
    </row>
    <row r="937" spans="1:17" x14ac:dyDescent="0.2">
      <c r="A937" s="1">
        <v>11036</v>
      </c>
      <c r="B937" s="1" t="s">
        <v>13</v>
      </c>
      <c r="C937" s="1" t="s">
        <v>14</v>
      </c>
      <c r="D937" s="1" t="s">
        <v>39</v>
      </c>
      <c r="E937" s="3">
        <v>150</v>
      </c>
      <c r="F937" s="3">
        <v>200</v>
      </c>
      <c r="G937" s="13">
        <v>706</v>
      </c>
      <c r="H937" s="3">
        <v>141200</v>
      </c>
      <c r="I937" s="3">
        <v>35300</v>
      </c>
      <c r="J937" s="1" t="s">
        <v>16</v>
      </c>
      <c r="K937" s="1" t="s">
        <v>44</v>
      </c>
      <c r="L937" s="1" t="s">
        <v>60</v>
      </c>
      <c r="M937" s="1">
        <v>2019</v>
      </c>
      <c r="N937" s="1" t="str">
        <f t="shared" si="14"/>
        <v>Anglophone</v>
      </c>
      <c r="O937" s="3" t="str">
        <f>_xlfn.XLOOKUP(D:D,MappingTable[Brand],MappingTable[Brand Type], "not found")</f>
        <v>Beer</v>
      </c>
      <c r="P937" t="str">
        <f>_xlfn.XLOOKUP(L:L,MappingTable2[Month],MappingTable2[Quarters],"NIL")</f>
        <v>Q4</v>
      </c>
      <c r="Q937" s="1"/>
    </row>
    <row r="938" spans="1:17" x14ac:dyDescent="0.2">
      <c r="A938" s="1">
        <v>11037</v>
      </c>
      <c r="B938" s="1" t="s">
        <v>13</v>
      </c>
      <c r="C938" s="1" t="s">
        <v>14</v>
      </c>
      <c r="D938" s="1" t="s">
        <v>43</v>
      </c>
      <c r="E938" s="3">
        <v>80</v>
      </c>
      <c r="F938" s="3">
        <v>150</v>
      </c>
      <c r="G938" s="13">
        <v>761</v>
      </c>
      <c r="H938" s="3">
        <v>114150</v>
      </c>
      <c r="I938" s="3">
        <v>53270</v>
      </c>
      <c r="J938" s="1" t="s">
        <v>22</v>
      </c>
      <c r="K938" s="1" t="s">
        <v>17</v>
      </c>
      <c r="L938" s="1" t="s">
        <v>18</v>
      </c>
      <c r="M938" s="1">
        <v>2019</v>
      </c>
      <c r="N938" s="1" t="str">
        <f t="shared" si="14"/>
        <v>Anglophone</v>
      </c>
      <c r="O938" s="3" t="str">
        <f>_xlfn.XLOOKUP(D:D,MappingTable[Brand],MappingTable[Brand Type], "not found")</f>
        <v>Malt</v>
      </c>
      <c r="P938" t="str">
        <f>_xlfn.XLOOKUP(L:L,MappingTable2[Month],MappingTable2[Quarters],"NIL")</f>
        <v>Q1</v>
      </c>
      <c r="Q938" s="1"/>
    </row>
    <row r="939" spans="1:17" x14ac:dyDescent="0.2">
      <c r="A939" s="1">
        <v>11038</v>
      </c>
      <c r="B939" s="1" t="s">
        <v>37</v>
      </c>
      <c r="C939" s="1" t="s">
        <v>38</v>
      </c>
      <c r="D939" s="1" t="s">
        <v>48</v>
      </c>
      <c r="E939" s="3">
        <v>90</v>
      </c>
      <c r="F939" s="3">
        <v>150</v>
      </c>
      <c r="G939" s="13">
        <v>849</v>
      </c>
      <c r="H939" s="3">
        <v>127350</v>
      </c>
      <c r="I939" s="3">
        <v>50940</v>
      </c>
      <c r="J939" s="1" t="s">
        <v>28</v>
      </c>
      <c r="K939" s="1" t="s">
        <v>23</v>
      </c>
      <c r="L939" s="1" t="s">
        <v>24</v>
      </c>
      <c r="M939" s="1">
        <v>2017</v>
      </c>
      <c r="N939" s="1" t="str">
        <f t="shared" si="14"/>
        <v>Francophone</v>
      </c>
      <c r="O939" s="3" t="str">
        <f>_xlfn.XLOOKUP(D:D,MappingTable[Brand],MappingTable[Brand Type], "not found")</f>
        <v>Malt</v>
      </c>
      <c r="P939" t="str">
        <f>_xlfn.XLOOKUP(L:L,MappingTable2[Month],MappingTable2[Quarters],"NIL")</f>
        <v>Q1</v>
      </c>
      <c r="Q939" s="1"/>
    </row>
    <row r="940" spans="1:17" x14ac:dyDescent="0.2">
      <c r="A940" s="1">
        <v>11039</v>
      </c>
      <c r="B940" s="1" t="s">
        <v>31</v>
      </c>
      <c r="C940" s="1" t="s">
        <v>32</v>
      </c>
      <c r="D940" s="1" t="s">
        <v>15</v>
      </c>
      <c r="E940" s="3">
        <v>150</v>
      </c>
      <c r="F940" s="3">
        <v>200</v>
      </c>
      <c r="G940" s="13">
        <v>914</v>
      </c>
      <c r="H940" s="3">
        <v>182800</v>
      </c>
      <c r="I940" s="3">
        <v>45700</v>
      </c>
      <c r="J940" s="1" t="s">
        <v>34</v>
      </c>
      <c r="K940" s="1" t="s">
        <v>29</v>
      </c>
      <c r="L940" s="1" t="s">
        <v>30</v>
      </c>
      <c r="M940" s="1">
        <v>2019</v>
      </c>
      <c r="N940" s="1" t="str">
        <f t="shared" si="14"/>
        <v>Francophone</v>
      </c>
      <c r="O940" s="3" t="str">
        <f>_xlfn.XLOOKUP(D:D,MappingTable[Brand],MappingTable[Brand Type], "not found")</f>
        <v>Beer</v>
      </c>
      <c r="P940" t="str">
        <f>_xlfn.XLOOKUP(L:L,MappingTable2[Month],MappingTable2[Quarters],"NIL")</f>
        <v>Q1</v>
      </c>
      <c r="Q940" s="1"/>
    </row>
    <row r="941" spans="1:17" x14ac:dyDescent="0.2">
      <c r="A941" s="1">
        <v>11040</v>
      </c>
      <c r="B941" s="1" t="s">
        <v>51</v>
      </c>
      <c r="C941" s="1" t="s">
        <v>52</v>
      </c>
      <c r="D941" s="1" t="s">
        <v>21</v>
      </c>
      <c r="E941" s="3">
        <v>250</v>
      </c>
      <c r="F941" s="3">
        <v>500</v>
      </c>
      <c r="G941" s="13">
        <v>942</v>
      </c>
      <c r="H941" s="3">
        <v>471000</v>
      </c>
      <c r="I941" s="3">
        <v>235500</v>
      </c>
      <c r="J941" s="1" t="s">
        <v>40</v>
      </c>
      <c r="K941" s="1" t="s">
        <v>35</v>
      </c>
      <c r="L941" s="1" t="s">
        <v>36</v>
      </c>
      <c r="M941" s="1">
        <v>2018</v>
      </c>
      <c r="N941" s="1" t="str">
        <f t="shared" si="14"/>
        <v>Francophone</v>
      </c>
      <c r="O941" s="3" t="str">
        <f>_xlfn.XLOOKUP(D:D,MappingTable[Brand],MappingTable[Brand Type], "not found")</f>
        <v>Beer</v>
      </c>
      <c r="P941" t="str">
        <f>_xlfn.XLOOKUP(L:L,MappingTable2[Month],MappingTable2[Quarters],"NIL")</f>
        <v>Q2</v>
      </c>
      <c r="Q941" s="1"/>
    </row>
    <row r="942" spans="1:17" x14ac:dyDescent="0.2">
      <c r="A942" s="1">
        <v>11041</v>
      </c>
      <c r="B942" s="1" t="s">
        <v>63</v>
      </c>
      <c r="C942" s="1" t="s">
        <v>64</v>
      </c>
      <c r="D942" s="1" t="s">
        <v>27</v>
      </c>
      <c r="E942" s="3">
        <v>180</v>
      </c>
      <c r="F942" s="3">
        <v>450</v>
      </c>
      <c r="G942" s="13">
        <v>930</v>
      </c>
      <c r="H942" s="3">
        <v>418500</v>
      </c>
      <c r="I942" s="3">
        <v>251100</v>
      </c>
      <c r="J942" s="1" t="s">
        <v>16</v>
      </c>
      <c r="K942" s="1" t="s">
        <v>41</v>
      </c>
      <c r="L942" s="1" t="s">
        <v>42</v>
      </c>
      <c r="M942" s="1">
        <v>2017</v>
      </c>
      <c r="N942" s="1" t="str">
        <f t="shared" si="14"/>
        <v>Anglophone</v>
      </c>
      <c r="O942" s="3" t="str">
        <f>_xlfn.XLOOKUP(D:D,MappingTable[Brand],MappingTable[Brand Type], "not found")</f>
        <v>Beer</v>
      </c>
      <c r="P942" t="str">
        <f>_xlfn.XLOOKUP(L:L,MappingTable2[Month],MappingTable2[Quarters],"NIL")</f>
        <v>Q2</v>
      </c>
      <c r="Q942" s="1"/>
    </row>
    <row r="943" spans="1:17" x14ac:dyDescent="0.2">
      <c r="A943" s="1">
        <v>11042</v>
      </c>
      <c r="B943" s="1" t="s">
        <v>25</v>
      </c>
      <c r="C943" s="1" t="s">
        <v>26</v>
      </c>
      <c r="D943" s="1" t="s">
        <v>33</v>
      </c>
      <c r="E943" s="3">
        <v>170</v>
      </c>
      <c r="F943" s="3">
        <v>250</v>
      </c>
      <c r="G943" s="13">
        <v>945</v>
      </c>
      <c r="H943" s="3">
        <v>236250</v>
      </c>
      <c r="I943" s="3">
        <v>75600</v>
      </c>
      <c r="J943" s="1" t="s">
        <v>22</v>
      </c>
      <c r="K943" s="1" t="s">
        <v>44</v>
      </c>
      <c r="L943" s="1" t="s">
        <v>45</v>
      </c>
      <c r="M943" s="1">
        <v>2018</v>
      </c>
      <c r="N943" s="1" t="str">
        <f t="shared" si="14"/>
        <v>Anglophone</v>
      </c>
      <c r="O943" s="3" t="str">
        <f>_xlfn.XLOOKUP(D:D,MappingTable[Brand],MappingTable[Brand Type], "not found")</f>
        <v>Beer</v>
      </c>
      <c r="P943" t="str">
        <f>_xlfn.XLOOKUP(L:L,MappingTable2[Month],MappingTable2[Quarters],"NIL")</f>
        <v>Q2</v>
      </c>
      <c r="Q943" s="1"/>
    </row>
    <row r="944" spans="1:17" x14ac:dyDescent="0.2">
      <c r="A944" s="1">
        <v>11043</v>
      </c>
      <c r="B944" s="1" t="s">
        <v>19</v>
      </c>
      <c r="C944" s="1" t="s">
        <v>20</v>
      </c>
      <c r="D944" s="1" t="s">
        <v>39</v>
      </c>
      <c r="E944" s="3">
        <v>150</v>
      </c>
      <c r="F944" s="3">
        <v>200</v>
      </c>
      <c r="G944" s="13">
        <v>775</v>
      </c>
      <c r="H944" s="3">
        <v>155000</v>
      </c>
      <c r="I944" s="3">
        <v>38750</v>
      </c>
      <c r="J944" s="1" t="s">
        <v>28</v>
      </c>
      <c r="K944" s="1" t="s">
        <v>17</v>
      </c>
      <c r="L944" s="1" t="s">
        <v>49</v>
      </c>
      <c r="M944" s="1">
        <v>2017</v>
      </c>
      <c r="N944" s="1" t="str">
        <f t="shared" si="14"/>
        <v>Francophone</v>
      </c>
      <c r="O944" s="3" t="str">
        <f>_xlfn.XLOOKUP(D:D,MappingTable[Brand],MappingTable[Brand Type], "not found")</f>
        <v>Beer</v>
      </c>
      <c r="P944" t="str">
        <f>_xlfn.XLOOKUP(L:L,MappingTable2[Month],MappingTable2[Quarters],"NIL")</f>
        <v>Q3</v>
      </c>
      <c r="Q944" s="1"/>
    </row>
    <row r="945" spans="1:17" x14ac:dyDescent="0.2">
      <c r="A945" s="1">
        <v>11044</v>
      </c>
      <c r="B945" s="1" t="s">
        <v>25</v>
      </c>
      <c r="C945" s="1" t="s">
        <v>26</v>
      </c>
      <c r="D945" s="1" t="s">
        <v>43</v>
      </c>
      <c r="E945" s="3">
        <v>80</v>
      </c>
      <c r="F945" s="3">
        <v>150</v>
      </c>
      <c r="G945" s="13">
        <v>729</v>
      </c>
      <c r="H945" s="3">
        <v>109350</v>
      </c>
      <c r="I945" s="3">
        <v>51030</v>
      </c>
      <c r="J945" s="1" t="s">
        <v>34</v>
      </c>
      <c r="K945" s="1" t="s">
        <v>23</v>
      </c>
      <c r="L945" s="1" t="s">
        <v>50</v>
      </c>
      <c r="M945" s="1">
        <v>2017</v>
      </c>
      <c r="N945" s="1" t="str">
        <f t="shared" si="14"/>
        <v>Francophone</v>
      </c>
      <c r="O945" s="3" t="str">
        <f>_xlfn.XLOOKUP(D:D,MappingTable[Brand],MappingTable[Brand Type], "not found")</f>
        <v>Malt</v>
      </c>
      <c r="P945" t="str">
        <f>_xlfn.XLOOKUP(L:L,MappingTable2[Month],MappingTable2[Quarters],"NIL")</f>
        <v>Q3</v>
      </c>
      <c r="Q945" s="1"/>
    </row>
    <row r="946" spans="1:17" x14ac:dyDescent="0.2">
      <c r="A946" s="1">
        <v>11045</v>
      </c>
      <c r="B946" s="1" t="s">
        <v>46</v>
      </c>
      <c r="C946" s="1" t="s">
        <v>47</v>
      </c>
      <c r="D946" s="1" t="s">
        <v>48</v>
      </c>
      <c r="E946" s="3">
        <v>90</v>
      </c>
      <c r="F946" s="3">
        <v>150</v>
      </c>
      <c r="G946" s="13">
        <v>941</v>
      </c>
      <c r="H946" s="3">
        <v>141150</v>
      </c>
      <c r="I946" s="3">
        <v>56460</v>
      </c>
      <c r="J946" s="1" t="s">
        <v>40</v>
      </c>
      <c r="K946" s="1" t="s">
        <v>29</v>
      </c>
      <c r="L946" s="1" t="s">
        <v>53</v>
      </c>
      <c r="M946" s="1">
        <v>2019</v>
      </c>
      <c r="N946" s="1" t="str">
        <f t="shared" si="14"/>
        <v>Francophone</v>
      </c>
      <c r="O946" s="3" t="str">
        <f>_xlfn.XLOOKUP(D:D,MappingTable[Brand],MappingTable[Brand Type], "not found")</f>
        <v>Malt</v>
      </c>
      <c r="P946" t="str">
        <f>_xlfn.XLOOKUP(L:L,MappingTable2[Month],MappingTable2[Quarters],"NIL")</f>
        <v>Q3</v>
      </c>
      <c r="Q946" s="1"/>
    </row>
    <row r="947" spans="1:17" x14ac:dyDescent="0.2">
      <c r="A947" s="1">
        <v>11046</v>
      </c>
      <c r="B947" s="1" t="s">
        <v>37</v>
      </c>
      <c r="C947" s="1" t="s">
        <v>38</v>
      </c>
      <c r="D947" s="1" t="s">
        <v>15</v>
      </c>
      <c r="E947" s="3">
        <v>150</v>
      </c>
      <c r="F947" s="3">
        <v>200</v>
      </c>
      <c r="G947" s="13">
        <v>735</v>
      </c>
      <c r="H947" s="3">
        <v>147000</v>
      </c>
      <c r="I947" s="3">
        <v>36750</v>
      </c>
      <c r="J947" s="1" t="s">
        <v>16</v>
      </c>
      <c r="K947" s="1" t="s">
        <v>35</v>
      </c>
      <c r="L947" s="1" t="s">
        <v>56</v>
      </c>
      <c r="M947" s="1">
        <v>2017</v>
      </c>
      <c r="N947" s="1" t="str">
        <f t="shared" si="14"/>
        <v>Anglophone</v>
      </c>
      <c r="O947" s="3" t="str">
        <f>_xlfn.XLOOKUP(D:D,MappingTable[Brand],MappingTable[Brand Type], "not found")</f>
        <v>Beer</v>
      </c>
      <c r="P947" t="str">
        <f>_xlfn.XLOOKUP(L:L,MappingTable2[Month],MappingTable2[Quarters],"NIL")</f>
        <v>Q4</v>
      </c>
      <c r="Q947" s="1"/>
    </row>
    <row r="948" spans="1:17" x14ac:dyDescent="0.2">
      <c r="A948" s="1">
        <v>11047</v>
      </c>
      <c r="B948" s="1" t="s">
        <v>13</v>
      </c>
      <c r="C948" s="1" t="s">
        <v>14</v>
      </c>
      <c r="D948" s="1" t="s">
        <v>21</v>
      </c>
      <c r="E948" s="3">
        <v>250</v>
      </c>
      <c r="F948" s="3">
        <v>500</v>
      </c>
      <c r="G948" s="13">
        <v>727</v>
      </c>
      <c r="H948" s="3">
        <v>363500</v>
      </c>
      <c r="I948" s="3">
        <v>181750</v>
      </c>
      <c r="J948" s="1" t="s">
        <v>22</v>
      </c>
      <c r="K948" s="1" t="s">
        <v>41</v>
      </c>
      <c r="L948" s="1" t="s">
        <v>59</v>
      </c>
      <c r="M948" s="1">
        <v>2018</v>
      </c>
      <c r="N948" s="1" t="str">
        <f t="shared" si="14"/>
        <v>Anglophone</v>
      </c>
      <c r="O948" s="3" t="str">
        <f>_xlfn.XLOOKUP(D:D,MappingTable[Brand],MappingTable[Brand Type], "not found")</f>
        <v>Beer</v>
      </c>
      <c r="P948" t="str">
        <f>_xlfn.XLOOKUP(L:L,MappingTable2[Month],MappingTable2[Quarters],"NIL")</f>
        <v>Q4</v>
      </c>
      <c r="Q948" s="1"/>
    </row>
    <row r="949" spans="1:17" x14ac:dyDescent="0.2">
      <c r="A949" s="1">
        <v>11048</v>
      </c>
      <c r="B949" s="1" t="s">
        <v>13</v>
      </c>
      <c r="C949" s="1" t="s">
        <v>14</v>
      </c>
      <c r="D949" s="1" t="s">
        <v>27</v>
      </c>
      <c r="E949" s="3">
        <v>180</v>
      </c>
      <c r="F949" s="3">
        <v>450</v>
      </c>
      <c r="G949" s="13">
        <v>859</v>
      </c>
      <c r="H949" s="3">
        <v>386550</v>
      </c>
      <c r="I949" s="3">
        <v>231930</v>
      </c>
      <c r="J949" s="1" t="s">
        <v>28</v>
      </c>
      <c r="K949" s="1" t="s">
        <v>44</v>
      </c>
      <c r="L949" s="1" t="s">
        <v>60</v>
      </c>
      <c r="M949" s="1">
        <v>2018</v>
      </c>
      <c r="N949" s="1" t="str">
        <f t="shared" si="14"/>
        <v>Francophone</v>
      </c>
      <c r="O949" s="3" t="str">
        <f>_xlfn.XLOOKUP(D:D,MappingTable[Brand],MappingTable[Brand Type], "not found")</f>
        <v>Beer</v>
      </c>
      <c r="P949" t="str">
        <f>_xlfn.XLOOKUP(L:L,MappingTable2[Month],MappingTable2[Quarters],"NIL")</f>
        <v>Q4</v>
      </c>
      <c r="Q949" s="1"/>
    </row>
    <row r="950" spans="1:17" x14ac:dyDescent="0.2">
      <c r="A950" s="1">
        <v>11049</v>
      </c>
      <c r="B950" s="1" t="s">
        <v>37</v>
      </c>
      <c r="C950" s="1" t="s">
        <v>38</v>
      </c>
      <c r="D950" s="1" t="s">
        <v>33</v>
      </c>
      <c r="E950" s="3">
        <v>170</v>
      </c>
      <c r="F950" s="3">
        <v>250</v>
      </c>
      <c r="G950" s="13">
        <v>792</v>
      </c>
      <c r="H950" s="3">
        <v>198000</v>
      </c>
      <c r="I950" s="3">
        <v>63360</v>
      </c>
      <c r="J950" s="1" t="s">
        <v>34</v>
      </c>
      <c r="K950" s="1" t="s">
        <v>17</v>
      </c>
      <c r="L950" s="1" t="s">
        <v>18</v>
      </c>
      <c r="M950" s="1">
        <v>2017</v>
      </c>
      <c r="N950" s="1" t="str">
        <f t="shared" si="14"/>
        <v>Francophone</v>
      </c>
      <c r="O950" s="3" t="str">
        <f>_xlfn.XLOOKUP(D:D,MappingTable[Brand],MappingTable[Brand Type], "not found")</f>
        <v>Beer</v>
      </c>
      <c r="P950" t="str">
        <f>_xlfn.XLOOKUP(L:L,MappingTable2[Month],MappingTable2[Quarters],"NIL")</f>
        <v>Q1</v>
      </c>
      <c r="Q950" s="1"/>
    </row>
    <row r="951" spans="1:17" x14ac:dyDescent="0.2">
      <c r="A951" s="1">
        <v>11050</v>
      </c>
      <c r="B951" s="1" t="s">
        <v>13</v>
      </c>
      <c r="C951" s="1" t="s">
        <v>14</v>
      </c>
      <c r="D951" s="1" t="s">
        <v>39</v>
      </c>
      <c r="E951" s="3">
        <v>150</v>
      </c>
      <c r="F951" s="3">
        <v>200</v>
      </c>
      <c r="G951" s="13">
        <v>874</v>
      </c>
      <c r="H951" s="3">
        <v>174800</v>
      </c>
      <c r="I951" s="3">
        <v>43700</v>
      </c>
      <c r="J951" s="1" t="s">
        <v>40</v>
      </c>
      <c r="K951" s="1" t="s">
        <v>23</v>
      </c>
      <c r="L951" s="1" t="s">
        <v>24</v>
      </c>
      <c r="M951" s="1">
        <v>2017</v>
      </c>
      <c r="N951" s="1" t="str">
        <f t="shared" si="14"/>
        <v>Francophone</v>
      </c>
      <c r="O951" s="3" t="str">
        <f>_xlfn.XLOOKUP(D:D,MappingTable[Brand],MappingTable[Brand Type], "not found")</f>
        <v>Beer</v>
      </c>
      <c r="P951" t="str">
        <f>_xlfn.XLOOKUP(L:L,MappingTable2[Month],MappingTable2[Quarters],"NIL")</f>
        <v>Q1</v>
      </c>
      <c r="Q951" s="1"/>
    </row>
    <row r="952" spans="1:17" x14ac:dyDescent="0.2">
      <c r="A952" s="1">
        <v>11051</v>
      </c>
      <c r="B952" s="1" t="s">
        <v>19</v>
      </c>
      <c r="C952" s="1" t="s">
        <v>20</v>
      </c>
      <c r="D952" s="1" t="s">
        <v>43</v>
      </c>
      <c r="E952" s="3">
        <v>80</v>
      </c>
      <c r="F952" s="3">
        <v>150</v>
      </c>
      <c r="G952" s="13">
        <v>792</v>
      </c>
      <c r="H952" s="3">
        <v>118800</v>
      </c>
      <c r="I952" s="3">
        <v>55440</v>
      </c>
      <c r="J952" s="1" t="s">
        <v>16</v>
      </c>
      <c r="K952" s="1" t="s">
        <v>29</v>
      </c>
      <c r="L952" s="1" t="s">
        <v>30</v>
      </c>
      <c r="M952" s="1">
        <v>2019</v>
      </c>
      <c r="N952" s="1" t="str">
        <f t="shared" si="14"/>
        <v>Anglophone</v>
      </c>
      <c r="O952" s="3" t="str">
        <f>_xlfn.XLOOKUP(D:D,MappingTable[Brand],MappingTable[Brand Type], "not found")</f>
        <v>Malt</v>
      </c>
      <c r="P952" t="str">
        <f>_xlfn.XLOOKUP(L:L,MappingTable2[Month],MappingTable2[Quarters],"NIL")</f>
        <v>Q1</v>
      </c>
      <c r="Q952" s="1"/>
    </row>
    <row r="953" spans="1:17" x14ac:dyDescent="0.2">
      <c r="A953" s="1">
        <v>11052</v>
      </c>
      <c r="B953" s="1" t="s">
        <v>25</v>
      </c>
      <c r="C953" s="1" t="s">
        <v>26</v>
      </c>
      <c r="D953" s="1" t="s">
        <v>48</v>
      </c>
      <c r="E953" s="3">
        <v>90</v>
      </c>
      <c r="F953" s="3">
        <v>150</v>
      </c>
      <c r="G953" s="13">
        <v>822</v>
      </c>
      <c r="H953" s="3">
        <v>123300</v>
      </c>
      <c r="I953" s="3">
        <v>49320</v>
      </c>
      <c r="J953" s="1" t="s">
        <v>22</v>
      </c>
      <c r="K953" s="1" t="s">
        <v>35</v>
      </c>
      <c r="L953" s="1" t="s">
        <v>36</v>
      </c>
      <c r="M953" s="1">
        <v>2018</v>
      </c>
      <c r="N953" s="1" t="str">
        <f t="shared" si="14"/>
        <v>Anglophone</v>
      </c>
      <c r="O953" s="3" t="str">
        <f>_xlfn.XLOOKUP(D:D,MappingTable[Brand],MappingTable[Brand Type], "not found")</f>
        <v>Malt</v>
      </c>
      <c r="P953" t="str">
        <f>_xlfn.XLOOKUP(L:L,MappingTable2[Month],MappingTable2[Quarters],"NIL")</f>
        <v>Q2</v>
      </c>
      <c r="Q953" s="1"/>
    </row>
    <row r="954" spans="1:17" x14ac:dyDescent="0.2">
      <c r="A954" s="1">
        <v>11053</v>
      </c>
      <c r="B954" s="1" t="s">
        <v>31</v>
      </c>
      <c r="C954" s="1" t="s">
        <v>32</v>
      </c>
      <c r="D954" s="1" t="s">
        <v>15</v>
      </c>
      <c r="E954" s="3">
        <v>150</v>
      </c>
      <c r="F954" s="3">
        <v>200</v>
      </c>
      <c r="G954" s="13">
        <v>912</v>
      </c>
      <c r="H954" s="3">
        <v>182400</v>
      </c>
      <c r="I954" s="3">
        <v>45600</v>
      </c>
      <c r="J954" s="1" t="s">
        <v>28</v>
      </c>
      <c r="K954" s="1" t="s">
        <v>41</v>
      </c>
      <c r="L954" s="1" t="s">
        <v>42</v>
      </c>
      <c r="M954" s="1">
        <v>2017</v>
      </c>
      <c r="N954" s="1" t="str">
        <f t="shared" si="14"/>
        <v>Francophone</v>
      </c>
      <c r="O954" s="3" t="str">
        <f>_xlfn.XLOOKUP(D:D,MappingTable[Brand],MappingTable[Brand Type], "not found")</f>
        <v>Beer</v>
      </c>
      <c r="P954" t="str">
        <f>_xlfn.XLOOKUP(L:L,MappingTable2[Month],MappingTable2[Quarters],"NIL")</f>
        <v>Q2</v>
      </c>
      <c r="Q954" s="1"/>
    </row>
    <row r="955" spans="1:17" x14ac:dyDescent="0.2">
      <c r="A955" s="1">
        <v>11054</v>
      </c>
      <c r="B955" s="1" t="s">
        <v>37</v>
      </c>
      <c r="C955" s="1" t="s">
        <v>38</v>
      </c>
      <c r="D955" s="1" t="s">
        <v>21</v>
      </c>
      <c r="E955" s="3">
        <v>250</v>
      </c>
      <c r="F955" s="3">
        <v>500</v>
      </c>
      <c r="G955" s="13">
        <v>759</v>
      </c>
      <c r="H955" s="3">
        <v>379500</v>
      </c>
      <c r="I955" s="3">
        <v>189750</v>
      </c>
      <c r="J955" s="1" t="s">
        <v>34</v>
      </c>
      <c r="K955" s="1" t="s">
        <v>44</v>
      </c>
      <c r="L955" s="1" t="s">
        <v>45</v>
      </c>
      <c r="M955" s="1">
        <v>2017</v>
      </c>
      <c r="N955" s="1" t="str">
        <f t="shared" si="14"/>
        <v>Francophone</v>
      </c>
      <c r="O955" s="3" t="str">
        <f>_xlfn.XLOOKUP(D:D,MappingTable[Brand],MappingTable[Brand Type], "not found")</f>
        <v>Beer</v>
      </c>
      <c r="P955" t="str">
        <f>_xlfn.XLOOKUP(L:L,MappingTable2[Month],MappingTable2[Quarters],"NIL")</f>
        <v>Q2</v>
      </c>
      <c r="Q955" s="1"/>
    </row>
    <row r="956" spans="1:17" x14ac:dyDescent="0.2">
      <c r="A956" s="1">
        <v>11055</v>
      </c>
      <c r="B956" s="1" t="s">
        <v>13</v>
      </c>
      <c r="C956" s="1" t="s">
        <v>14</v>
      </c>
      <c r="D956" s="1" t="s">
        <v>27</v>
      </c>
      <c r="E956" s="3">
        <v>180</v>
      </c>
      <c r="F956" s="3">
        <v>450</v>
      </c>
      <c r="G956" s="13">
        <v>858</v>
      </c>
      <c r="H956" s="3">
        <v>386100</v>
      </c>
      <c r="I956" s="3">
        <v>231660</v>
      </c>
      <c r="J956" s="1" t="s">
        <v>40</v>
      </c>
      <c r="K956" s="1" t="s">
        <v>17</v>
      </c>
      <c r="L956" s="1" t="s">
        <v>49</v>
      </c>
      <c r="M956" s="1">
        <v>2017</v>
      </c>
      <c r="N956" s="1" t="str">
        <f t="shared" si="14"/>
        <v>Francophone</v>
      </c>
      <c r="O956" s="3" t="str">
        <f>_xlfn.XLOOKUP(D:D,MappingTable[Brand],MappingTable[Brand Type], "not found")</f>
        <v>Beer</v>
      </c>
      <c r="P956" t="str">
        <f>_xlfn.XLOOKUP(L:L,MappingTable2[Month],MappingTable2[Quarters],"NIL")</f>
        <v>Q3</v>
      </c>
      <c r="Q956" s="1"/>
    </row>
    <row r="957" spans="1:17" x14ac:dyDescent="0.2">
      <c r="A957" s="1">
        <v>11056</v>
      </c>
      <c r="B957" s="1" t="s">
        <v>46</v>
      </c>
      <c r="C957" s="1" t="s">
        <v>47</v>
      </c>
      <c r="D957" s="1" t="s">
        <v>33</v>
      </c>
      <c r="E957" s="3">
        <v>170</v>
      </c>
      <c r="F957" s="3">
        <v>250</v>
      </c>
      <c r="G957" s="13">
        <v>921</v>
      </c>
      <c r="H957" s="3">
        <v>230250</v>
      </c>
      <c r="I957" s="3">
        <v>73680</v>
      </c>
      <c r="J957" s="1" t="s">
        <v>16</v>
      </c>
      <c r="K957" s="1" t="s">
        <v>23</v>
      </c>
      <c r="L957" s="1" t="s">
        <v>50</v>
      </c>
      <c r="M957" s="1">
        <v>2018</v>
      </c>
      <c r="N957" s="1" t="str">
        <f t="shared" si="14"/>
        <v>Anglophone</v>
      </c>
      <c r="O957" s="3" t="str">
        <f>_xlfn.XLOOKUP(D:D,MappingTable[Brand],MappingTable[Brand Type], "not found")</f>
        <v>Beer</v>
      </c>
      <c r="P957" t="str">
        <f>_xlfn.XLOOKUP(L:L,MappingTable2[Month],MappingTable2[Quarters],"NIL")</f>
        <v>Q3</v>
      </c>
      <c r="Q957" s="1"/>
    </row>
    <row r="958" spans="1:17" x14ac:dyDescent="0.2">
      <c r="A958" s="1">
        <v>11057</v>
      </c>
      <c r="B958" s="1" t="s">
        <v>31</v>
      </c>
      <c r="C958" s="1" t="s">
        <v>32</v>
      </c>
      <c r="D958" s="1" t="s">
        <v>39</v>
      </c>
      <c r="E958" s="3">
        <v>150</v>
      </c>
      <c r="F958" s="3">
        <v>200</v>
      </c>
      <c r="G958" s="13">
        <v>871</v>
      </c>
      <c r="H958" s="3">
        <v>174200</v>
      </c>
      <c r="I958" s="3">
        <v>43550</v>
      </c>
      <c r="J958" s="1" t="s">
        <v>22</v>
      </c>
      <c r="K958" s="1" t="s">
        <v>29</v>
      </c>
      <c r="L958" s="1" t="s">
        <v>53</v>
      </c>
      <c r="M958" s="1">
        <v>2019</v>
      </c>
      <c r="N958" s="1" t="str">
        <f t="shared" si="14"/>
        <v>Anglophone</v>
      </c>
      <c r="O958" s="3" t="str">
        <f>_xlfn.XLOOKUP(D:D,MappingTable[Brand],MappingTable[Brand Type], "not found")</f>
        <v>Beer</v>
      </c>
      <c r="P958" t="str">
        <f>_xlfn.XLOOKUP(L:L,MappingTable2[Month],MappingTable2[Quarters],"NIL")</f>
        <v>Q3</v>
      </c>
      <c r="Q958" s="1"/>
    </row>
    <row r="959" spans="1:17" x14ac:dyDescent="0.2">
      <c r="A959" s="1">
        <v>11058</v>
      </c>
      <c r="B959" s="1" t="s">
        <v>51</v>
      </c>
      <c r="C959" s="1" t="s">
        <v>52</v>
      </c>
      <c r="D959" s="1" t="s">
        <v>43</v>
      </c>
      <c r="E959" s="3">
        <v>80</v>
      </c>
      <c r="F959" s="3">
        <v>150</v>
      </c>
      <c r="G959" s="13">
        <v>836</v>
      </c>
      <c r="H959" s="3">
        <v>125400</v>
      </c>
      <c r="I959" s="3">
        <v>58520</v>
      </c>
      <c r="J959" s="1" t="s">
        <v>28</v>
      </c>
      <c r="K959" s="1" t="s">
        <v>35</v>
      </c>
      <c r="L959" s="1" t="s">
        <v>56</v>
      </c>
      <c r="M959" s="1">
        <v>2018</v>
      </c>
      <c r="N959" s="1" t="str">
        <f t="shared" si="14"/>
        <v>Francophone</v>
      </c>
      <c r="O959" s="3" t="str">
        <f>_xlfn.XLOOKUP(D:D,MappingTable[Brand],MappingTable[Brand Type], "not found")</f>
        <v>Malt</v>
      </c>
      <c r="P959" t="str">
        <f>_xlfn.XLOOKUP(L:L,MappingTable2[Month],MappingTable2[Quarters],"NIL")</f>
        <v>Q4</v>
      </c>
      <c r="Q959" s="1"/>
    </row>
    <row r="960" spans="1:17" x14ac:dyDescent="0.2">
      <c r="A960" s="1">
        <v>11059</v>
      </c>
      <c r="B960" s="1" t="s">
        <v>54</v>
      </c>
      <c r="C960" s="1" t="s">
        <v>55</v>
      </c>
      <c r="D960" s="1" t="s">
        <v>48</v>
      </c>
      <c r="E960" s="3">
        <v>90</v>
      </c>
      <c r="F960" s="3">
        <v>150</v>
      </c>
      <c r="G960" s="13">
        <v>861</v>
      </c>
      <c r="H960" s="3">
        <v>129150</v>
      </c>
      <c r="I960" s="3">
        <v>51660</v>
      </c>
      <c r="J960" s="1" t="s">
        <v>34</v>
      </c>
      <c r="K960" s="1" t="s">
        <v>41</v>
      </c>
      <c r="L960" s="1" t="s">
        <v>59</v>
      </c>
      <c r="M960" s="1">
        <v>2019</v>
      </c>
      <c r="N960" s="1" t="str">
        <f t="shared" si="14"/>
        <v>Francophone</v>
      </c>
      <c r="O960" s="3" t="str">
        <f>_xlfn.XLOOKUP(D:D,MappingTable[Brand],MappingTable[Brand Type], "not found")</f>
        <v>Malt</v>
      </c>
      <c r="P960" t="str">
        <f>_xlfn.XLOOKUP(L:L,MappingTable2[Month],MappingTable2[Quarters],"NIL")</f>
        <v>Q4</v>
      </c>
      <c r="Q960" s="1"/>
    </row>
    <row r="961" spans="1:17" x14ac:dyDescent="0.2">
      <c r="A961" s="1">
        <v>11060</v>
      </c>
      <c r="B961" s="1" t="s">
        <v>57</v>
      </c>
      <c r="C961" s="1" t="s">
        <v>58</v>
      </c>
      <c r="D961" s="1" t="s">
        <v>15</v>
      </c>
      <c r="E961" s="3">
        <v>150</v>
      </c>
      <c r="F961" s="3">
        <v>200</v>
      </c>
      <c r="G961" s="13">
        <v>711</v>
      </c>
      <c r="H961" s="3">
        <v>142200</v>
      </c>
      <c r="I961" s="3">
        <v>35550</v>
      </c>
      <c r="J961" s="1" t="s">
        <v>40</v>
      </c>
      <c r="K961" s="1" t="s">
        <v>44</v>
      </c>
      <c r="L961" s="1" t="s">
        <v>60</v>
      </c>
      <c r="M961" s="1">
        <v>2019</v>
      </c>
      <c r="N961" s="1" t="str">
        <f t="shared" si="14"/>
        <v>Francophone</v>
      </c>
      <c r="O961" s="3" t="str">
        <f>_xlfn.XLOOKUP(D:D,MappingTable[Brand],MappingTable[Brand Type], "not found")</f>
        <v>Beer</v>
      </c>
      <c r="P961" t="str">
        <f>_xlfn.XLOOKUP(L:L,MappingTable2[Month],MappingTable2[Quarters],"NIL")</f>
        <v>Q4</v>
      </c>
      <c r="Q961" s="1"/>
    </row>
    <row r="962" spans="1:17" x14ac:dyDescent="0.2">
      <c r="A962" s="1">
        <v>11061</v>
      </c>
      <c r="B962" s="1" t="s">
        <v>31</v>
      </c>
      <c r="C962" s="1" t="s">
        <v>32</v>
      </c>
      <c r="D962" s="1" t="s">
        <v>21</v>
      </c>
      <c r="E962" s="3">
        <v>250</v>
      </c>
      <c r="F962" s="3">
        <v>500</v>
      </c>
      <c r="G962" s="13">
        <v>834</v>
      </c>
      <c r="H962" s="3">
        <v>417000</v>
      </c>
      <c r="I962" s="3">
        <v>208500</v>
      </c>
      <c r="J962" s="1" t="s">
        <v>16</v>
      </c>
      <c r="K962" s="1" t="s">
        <v>17</v>
      </c>
      <c r="L962" s="1" t="s">
        <v>18</v>
      </c>
      <c r="M962" s="1">
        <v>2019</v>
      </c>
      <c r="N962" s="1" t="str">
        <f t="shared" ref="N962:N1025" si="15">IF(ISNUMBER(MATCH(J962,$S$7:$S$8,0)), "Anglophone","Francophone")</f>
        <v>Anglophone</v>
      </c>
      <c r="O962" s="3" t="str">
        <f>_xlfn.XLOOKUP(D:D,MappingTable[Brand],MappingTable[Brand Type], "not found")</f>
        <v>Beer</v>
      </c>
      <c r="P962" t="str">
        <f>_xlfn.XLOOKUP(L:L,MappingTable2[Month],MappingTable2[Quarters],"NIL")</f>
        <v>Q1</v>
      </c>
      <c r="Q962" s="1"/>
    </row>
    <row r="963" spans="1:17" x14ac:dyDescent="0.2">
      <c r="A963" s="1">
        <v>11062</v>
      </c>
      <c r="B963" s="1" t="s">
        <v>61</v>
      </c>
      <c r="C963" s="1" t="s">
        <v>62</v>
      </c>
      <c r="D963" s="1" t="s">
        <v>27</v>
      </c>
      <c r="E963" s="3">
        <v>180</v>
      </c>
      <c r="F963" s="3">
        <v>450</v>
      </c>
      <c r="G963" s="13">
        <v>979</v>
      </c>
      <c r="H963" s="3">
        <v>440550</v>
      </c>
      <c r="I963" s="3">
        <v>264330</v>
      </c>
      <c r="J963" s="1" t="s">
        <v>22</v>
      </c>
      <c r="K963" s="1" t="s">
        <v>23</v>
      </c>
      <c r="L963" s="1" t="s">
        <v>24</v>
      </c>
      <c r="M963" s="1">
        <v>2018</v>
      </c>
      <c r="N963" s="1" t="str">
        <f t="shared" si="15"/>
        <v>Anglophone</v>
      </c>
      <c r="O963" s="3" t="str">
        <f>_xlfn.XLOOKUP(D:D,MappingTable[Brand],MappingTable[Brand Type], "not found")</f>
        <v>Beer</v>
      </c>
      <c r="P963" t="str">
        <f>_xlfn.XLOOKUP(L:L,MappingTable2[Month],MappingTable2[Quarters],"NIL")</f>
        <v>Q1</v>
      </c>
      <c r="Q963" s="1"/>
    </row>
    <row r="964" spans="1:17" x14ac:dyDescent="0.2">
      <c r="A964" s="1">
        <v>11063</v>
      </c>
      <c r="B964" s="1" t="s">
        <v>31</v>
      </c>
      <c r="C964" s="1" t="s">
        <v>32</v>
      </c>
      <c r="D964" s="1" t="s">
        <v>33</v>
      </c>
      <c r="E964" s="3">
        <v>170</v>
      </c>
      <c r="F964" s="3">
        <v>250</v>
      </c>
      <c r="G964" s="13">
        <v>858</v>
      </c>
      <c r="H964" s="3">
        <v>214500</v>
      </c>
      <c r="I964" s="3">
        <v>68640</v>
      </c>
      <c r="J964" s="1" t="s">
        <v>28</v>
      </c>
      <c r="K964" s="1" t="s">
        <v>29</v>
      </c>
      <c r="L964" s="1" t="s">
        <v>30</v>
      </c>
      <c r="M964" s="1">
        <v>2019</v>
      </c>
      <c r="N964" s="1" t="str">
        <f t="shared" si="15"/>
        <v>Francophone</v>
      </c>
      <c r="O964" s="3" t="str">
        <f>_xlfn.XLOOKUP(D:D,MappingTable[Brand],MappingTable[Brand Type], "not found")</f>
        <v>Beer</v>
      </c>
      <c r="P964" t="str">
        <f>_xlfn.XLOOKUP(L:L,MappingTable2[Month],MappingTable2[Quarters],"NIL")</f>
        <v>Q1</v>
      </c>
      <c r="Q964" s="1"/>
    </row>
    <row r="965" spans="1:17" x14ac:dyDescent="0.2">
      <c r="A965" s="1">
        <v>11064</v>
      </c>
      <c r="B965" s="1" t="s">
        <v>13</v>
      </c>
      <c r="C965" s="1" t="s">
        <v>14</v>
      </c>
      <c r="D965" s="1" t="s">
        <v>39</v>
      </c>
      <c r="E965" s="3">
        <v>150</v>
      </c>
      <c r="F965" s="3">
        <v>200</v>
      </c>
      <c r="G965" s="13">
        <v>737</v>
      </c>
      <c r="H965" s="3">
        <v>147400</v>
      </c>
      <c r="I965" s="3">
        <v>36850</v>
      </c>
      <c r="J965" s="1" t="s">
        <v>34</v>
      </c>
      <c r="K965" s="1" t="s">
        <v>35</v>
      </c>
      <c r="L965" s="1" t="s">
        <v>36</v>
      </c>
      <c r="M965" s="1">
        <v>2017</v>
      </c>
      <c r="N965" s="1" t="str">
        <f t="shared" si="15"/>
        <v>Francophone</v>
      </c>
      <c r="O965" s="3" t="str">
        <f>_xlfn.XLOOKUP(D:D,MappingTable[Brand],MappingTable[Brand Type], "not found")</f>
        <v>Beer</v>
      </c>
      <c r="P965" t="str">
        <f>_xlfn.XLOOKUP(L:L,MappingTable2[Month],MappingTable2[Quarters],"NIL")</f>
        <v>Q2</v>
      </c>
      <c r="Q965" s="1"/>
    </row>
    <row r="966" spans="1:17" x14ac:dyDescent="0.2">
      <c r="A966" s="1">
        <v>11065</v>
      </c>
      <c r="B966" s="1" t="s">
        <v>19</v>
      </c>
      <c r="C966" s="1" t="s">
        <v>20</v>
      </c>
      <c r="D966" s="1" t="s">
        <v>43</v>
      </c>
      <c r="E966" s="3">
        <v>80</v>
      </c>
      <c r="F966" s="3">
        <v>150</v>
      </c>
      <c r="G966" s="13">
        <v>800</v>
      </c>
      <c r="H966" s="3">
        <v>120000</v>
      </c>
      <c r="I966" s="3">
        <v>56000</v>
      </c>
      <c r="J966" s="1" t="s">
        <v>40</v>
      </c>
      <c r="K966" s="1" t="s">
        <v>41</v>
      </c>
      <c r="L966" s="1" t="s">
        <v>42</v>
      </c>
      <c r="M966" s="1">
        <v>2018</v>
      </c>
      <c r="N966" s="1" t="str">
        <f t="shared" si="15"/>
        <v>Francophone</v>
      </c>
      <c r="O966" s="3" t="str">
        <f>_xlfn.XLOOKUP(D:D,MappingTable[Brand],MappingTable[Brand Type], "not found")</f>
        <v>Malt</v>
      </c>
      <c r="P966" t="str">
        <f>_xlfn.XLOOKUP(L:L,MappingTable2[Month],MappingTable2[Quarters],"NIL")</f>
        <v>Q2</v>
      </c>
      <c r="Q966" s="1"/>
    </row>
    <row r="967" spans="1:17" x14ac:dyDescent="0.2">
      <c r="A967" s="1">
        <v>11066</v>
      </c>
      <c r="B967" s="1" t="s">
        <v>25</v>
      </c>
      <c r="C967" s="1" t="s">
        <v>26</v>
      </c>
      <c r="D967" s="1" t="s">
        <v>48</v>
      </c>
      <c r="E967" s="3">
        <v>90</v>
      </c>
      <c r="F967" s="3">
        <v>150</v>
      </c>
      <c r="G967" s="13">
        <v>892</v>
      </c>
      <c r="H967" s="3">
        <v>133800</v>
      </c>
      <c r="I967" s="3">
        <v>53520</v>
      </c>
      <c r="J967" s="1" t="s">
        <v>16</v>
      </c>
      <c r="K967" s="1" t="s">
        <v>44</v>
      </c>
      <c r="L967" s="1" t="s">
        <v>45</v>
      </c>
      <c r="M967" s="1">
        <v>2018</v>
      </c>
      <c r="N967" s="1" t="str">
        <f t="shared" si="15"/>
        <v>Anglophone</v>
      </c>
      <c r="O967" s="3" t="str">
        <f>_xlfn.XLOOKUP(D:D,MappingTable[Brand],MappingTable[Brand Type], "not found")</f>
        <v>Malt</v>
      </c>
      <c r="P967" t="str">
        <f>_xlfn.XLOOKUP(L:L,MappingTable2[Month],MappingTable2[Quarters],"NIL")</f>
        <v>Q2</v>
      </c>
      <c r="Q967" s="1"/>
    </row>
    <row r="968" spans="1:17" x14ac:dyDescent="0.2">
      <c r="A968" s="1">
        <v>11067</v>
      </c>
      <c r="B968" s="1" t="s">
        <v>31</v>
      </c>
      <c r="C968" s="1" t="s">
        <v>32</v>
      </c>
      <c r="D968" s="1" t="s">
        <v>15</v>
      </c>
      <c r="E968" s="3">
        <v>150</v>
      </c>
      <c r="F968" s="3">
        <v>200</v>
      </c>
      <c r="G968" s="13">
        <v>758</v>
      </c>
      <c r="H968" s="3">
        <v>151600</v>
      </c>
      <c r="I968" s="3">
        <v>37900</v>
      </c>
      <c r="J968" s="1" t="s">
        <v>22</v>
      </c>
      <c r="K968" s="1" t="s">
        <v>17</v>
      </c>
      <c r="L968" s="1" t="s">
        <v>49</v>
      </c>
      <c r="M968" s="1">
        <v>2018</v>
      </c>
      <c r="N968" s="1" t="str">
        <f t="shared" si="15"/>
        <v>Anglophone</v>
      </c>
      <c r="O968" s="3" t="str">
        <f>_xlfn.XLOOKUP(D:D,MappingTable[Brand],MappingTable[Brand Type], "not found")</f>
        <v>Beer</v>
      </c>
      <c r="P968" t="str">
        <f>_xlfn.XLOOKUP(L:L,MappingTable2[Month],MappingTable2[Quarters],"NIL")</f>
        <v>Q3</v>
      </c>
      <c r="Q968" s="1"/>
    </row>
    <row r="969" spans="1:17" x14ac:dyDescent="0.2">
      <c r="A969" s="1">
        <v>11068</v>
      </c>
      <c r="B969" s="1" t="s">
        <v>37</v>
      </c>
      <c r="C969" s="1" t="s">
        <v>38</v>
      </c>
      <c r="D969" s="1" t="s">
        <v>21</v>
      </c>
      <c r="E969" s="3">
        <v>250</v>
      </c>
      <c r="F969" s="3">
        <v>500</v>
      </c>
      <c r="G969" s="13">
        <v>725</v>
      </c>
      <c r="H969" s="3">
        <v>362500</v>
      </c>
      <c r="I969" s="3">
        <v>181250</v>
      </c>
      <c r="J969" s="1" t="s">
        <v>28</v>
      </c>
      <c r="K969" s="1" t="s">
        <v>23</v>
      </c>
      <c r="L969" s="1" t="s">
        <v>50</v>
      </c>
      <c r="M969" s="1">
        <v>2017</v>
      </c>
      <c r="N969" s="1" t="str">
        <f t="shared" si="15"/>
        <v>Francophone</v>
      </c>
      <c r="O969" s="3" t="str">
        <f>_xlfn.XLOOKUP(D:D,MappingTable[Brand],MappingTable[Brand Type], "not found")</f>
        <v>Beer</v>
      </c>
      <c r="P969" t="str">
        <f>_xlfn.XLOOKUP(L:L,MappingTable2[Month],MappingTable2[Quarters],"NIL")</f>
        <v>Q3</v>
      </c>
      <c r="Q969" s="1"/>
    </row>
    <row r="970" spans="1:17" x14ac:dyDescent="0.2">
      <c r="A970" s="1">
        <v>11069</v>
      </c>
      <c r="B970" s="1" t="s">
        <v>13</v>
      </c>
      <c r="C970" s="1" t="s">
        <v>14</v>
      </c>
      <c r="D970" s="1" t="s">
        <v>27</v>
      </c>
      <c r="E970" s="3">
        <v>180</v>
      </c>
      <c r="F970" s="3">
        <v>450</v>
      </c>
      <c r="G970" s="13">
        <v>939</v>
      </c>
      <c r="H970" s="3">
        <v>422550</v>
      </c>
      <c r="I970" s="3">
        <v>253530</v>
      </c>
      <c r="J970" s="1" t="s">
        <v>34</v>
      </c>
      <c r="K970" s="1" t="s">
        <v>29</v>
      </c>
      <c r="L970" s="1" t="s">
        <v>53</v>
      </c>
      <c r="M970" s="1">
        <v>2018</v>
      </c>
      <c r="N970" s="1" t="str">
        <f t="shared" si="15"/>
        <v>Francophone</v>
      </c>
      <c r="O970" s="3" t="str">
        <f>_xlfn.XLOOKUP(D:D,MappingTable[Brand],MappingTable[Brand Type], "not found")</f>
        <v>Beer</v>
      </c>
      <c r="P970" t="str">
        <f>_xlfn.XLOOKUP(L:L,MappingTable2[Month],MappingTable2[Quarters],"NIL")</f>
        <v>Q3</v>
      </c>
      <c r="Q970" s="1"/>
    </row>
    <row r="971" spans="1:17" x14ac:dyDescent="0.2">
      <c r="A971" s="1">
        <v>11070</v>
      </c>
      <c r="B971" s="1" t="s">
        <v>46</v>
      </c>
      <c r="C971" s="1" t="s">
        <v>47</v>
      </c>
      <c r="D971" s="1" t="s">
        <v>33</v>
      </c>
      <c r="E971" s="3">
        <v>170</v>
      </c>
      <c r="F971" s="3">
        <v>250</v>
      </c>
      <c r="G971" s="13">
        <v>851</v>
      </c>
      <c r="H971" s="3">
        <v>212750</v>
      </c>
      <c r="I971" s="3">
        <v>68080</v>
      </c>
      <c r="J971" s="1" t="s">
        <v>40</v>
      </c>
      <c r="K971" s="1" t="s">
        <v>35</v>
      </c>
      <c r="L971" s="1" t="s">
        <v>56</v>
      </c>
      <c r="M971" s="1">
        <v>2017</v>
      </c>
      <c r="N971" s="1" t="str">
        <f t="shared" si="15"/>
        <v>Francophone</v>
      </c>
      <c r="O971" s="3" t="str">
        <f>_xlfn.XLOOKUP(D:D,MappingTable[Brand],MappingTable[Brand Type], "not found")</f>
        <v>Beer</v>
      </c>
      <c r="P971" t="str">
        <f>_xlfn.XLOOKUP(L:L,MappingTable2[Month],MappingTable2[Quarters],"NIL")</f>
        <v>Q4</v>
      </c>
      <c r="Q971" s="1"/>
    </row>
    <row r="972" spans="1:17" x14ac:dyDescent="0.2">
      <c r="A972" s="1">
        <v>11071</v>
      </c>
      <c r="B972" s="1" t="s">
        <v>31</v>
      </c>
      <c r="C972" s="1" t="s">
        <v>32</v>
      </c>
      <c r="D972" s="1" t="s">
        <v>39</v>
      </c>
      <c r="E972" s="3">
        <v>150</v>
      </c>
      <c r="F972" s="3">
        <v>200</v>
      </c>
      <c r="G972" s="13">
        <v>814</v>
      </c>
      <c r="H972" s="3">
        <v>162800</v>
      </c>
      <c r="I972" s="3">
        <v>40700</v>
      </c>
      <c r="J972" s="1" t="s">
        <v>16</v>
      </c>
      <c r="K972" s="1" t="s">
        <v>41</v>
      </c>
      <c r="L972" s="1" t="s">
        <v>59</v>
      </c>
      <c r="M972" s="1">
        <v>2018</v>
      </c>
      <c r="N972" s="1" t="str">
        <f t="shared" si="15"/>
        <v>Anglophone</v>
      </c>
      <c r="O972" s="3" t="str">
        <f>_xlfn.XLOOKUP(D:D,MappingTable[Brand],MappingTable[Brand Type], "not found")</f>
        <v>Beer</v>
      </c>
      <c r="P972" t="str">
        <f>_xlfn.XLOOKUP(L:L,MappingTable2[Month],MappingTable2[Quarters],"NIL")</f>
        <v>Q4</v>
      </c>
      <c r="Q972" s="1"/>
    </row>
    <row r="973" spans="1:17" x14ac:dyDescent="0.2">
      <c r="A973" s="1">
        <v>11072</v>
      </c>
      <c r="B973" s="1" t="s">
        <v>51</v>
      </c>
      <c r="C973" s="1" t="s">
        <v>52</v>
      </c>
      <c r="D973" s="1" t="s">
        <v>43</v>
      </c>
      <c r="E973" s="3">
        <v>80</v>
      </c>
      <c r="F973" s="3">
        <v>150</v>
      </c>
      <c r="G973" s="13">
        <v>832</v>
      </c>
      <c r="H973" s="3">
        <v>124800</v>
      </c>
      <c r="I973" s="3">
        <v>58240</v>
      </c>
      <c r="J973" s="1" t="s">
        <v>22</v>
      </c>
      <c r="K973" s="1" t="s">
        <v>44</v>
      </c>
      <c r="L973" s="1" t="s">
        <v>60</v>
      </c>
      <c r="M973" s="1">
        <v>2018</v>
      </c>
      <c r="N973" s="1" t="str">
        <f t="shared" si="15"/>
        <v>Anglophone</v>
      </c>
      <c r="O973" s="3" t="str">
        <f>_xlfn.XLOOKUP(D:D,MappingTable[Brand],MappingTable[Brand Type], "not found")</f>
        <v>Malt</v>
      </c>
      <c r="P973" t="str">
        <f>_xlfn.XLOOKUP(L:L,MappingTable2[Month],MappingTable2[Quarters],"NIL")</f>
        <v>Q4</v>
      </c>
      <c r="Q973" s="1"/>
    </row>
    <row r="974" spans="1:17" x14ac:dyDescent="0.2">
      <c r="A974" s="1">
        <v>11073</v>
      </c>
      <c r="B974" s="1" t="s">
        <v>54</v>
      </c>
      <c r="C974" s="1" t="s">
        <v>55</v>
      </c>
      <c r="D974" s="1" t="s">
        <v>48</v>
      </c>
      <c r="E974" s="3">
        <v>90</v>
      </c>
      <c r="F974" s="3">
        <v>150</v>
      </c>
      <c r="G974" s="13">
        <v>927</v>
      </c>
      <c r="H974" s="3">
        <v>139050</v>
      </c>
      <c r="I974" s="3">
        <v>55620</v>
      </c>
      <c r="J974" s="1" t="s">
        <v>28</v>
      </c>
      <c r="K974" s="1" t="s">
        <v>17</v>
      </c>
      <c r="L974" s="1" t="s">
        <v>18</v>
      </c>
      <c r="M974" s="1">
        <v>2017</v>
      </c>
      <c r="N974" s="1" t="str">
        <f t="shared" si="15"/>
        <v>Francophone</v>
      </c>
      <c r="O974" s="3" t="str">
        <f>_xlfn.XLOOKUP(D:D,MappingTable[Brand],MappingTable[Brand Type], "not found")</f>
        <v>Malt</v>
      </c>
      <c r="P974" t="str">
        <f>_xlfn.XLOOKUP(L:L,MappingTable2[Month],MappingTable2[Quarters],"NIL")</f>
        <v>Q1</v>
      </c>
      <c r="Q974" s="1"/>
    </row>
    <row r="975" spans="1:17" x14ac:dyDescent="0.2">
      <c r="A975" s="1">
        <v>11074</v>
      </c>
      <c r="B975" s="1" t="s">
        <v>57</v>
      </c>
      <c r="C975" s="1" t="s">
        <v>58</v>
      </c>
      <c r="D975" s="1" t="s">
        <v>15</v>
      </c>
      <c r="E975" s="3">
        <v>150</v>
      </c>
      <c r="F975" s="3">
        <v>200</v>
      </c>
      <c r="G975" s="13">
        <v>825</v>
      </c>
      <c r="H975" s="3">
        <v>165000</v>
      </c>
      <c r="I975" s="3">
        <v>41250</v>
      </c>
      <c r="J975" s="1" t="s">
        <v>34</v>
      </c>
      <c r="K975" s="1" t="s">
        <v>23</v>
      </c>
      <c r="L975" s="1" t="s">
        <v>24</v>
      </c>
      <c r="M975" s="1">
        <v>2018</v>
      </c>
      <c r="N975" s="1" t="str">
        <f t="shared" si="15"/>
        <v>Francophone</v>
      </c>
      <c r="O975" s="3" t="str">
        <f>_xlfn.XLOOKUP(D:D,MappingTable[Brand],MappingTable[Brand Type], "not found")</f>
        <v>Beer</v>
      </c>
      <c r="P975" t="str">
        <f>_xlfn.XLOOKUP(L:L,MappingTable2[Month],MappingTable2[Quarters],"NIL")</f>
        <v>Q1</v>
      </c>
      <c r="Q975" s="1"/>
    </row>
    <row r="976" spans="1:17" x14ac:dyDescent="0.2">
      <c r="A976" s="1">
        <v>11075</v>
      </c>
      <c r="B976" s="1" t="s">
        <v>31</v>
      </c>
      <c r="C976" s="1" t="s">
        <v>32</v>
      </c>
      <c r="D976" s="1" t="s">
        <v>21</v>
      </c>
      <c r="E976" s="3">
        <v>250</v>
      </c>
      <c r="F976" s="3">
        <v>500</v>
      </c>
      <c r="G976" s="13">
        <v>934</v>
      </c>
      <c r="H976" s="3">
        <v>467000</v>
      </c>
      <c r="I976" s="3">
        <v>233500</v>
      </c>
      <c r="J976" s="1" t="s">
        <v>40</v>
      </c>
      <c r="K976" s="1" t="s">
        <v>29</v>
      </c>
      <c r="L976" s="1" t="s">
        <v>30</v>
      </c>
      <c r="M976" s="1">
        <v>2018</v>
      </c>
      <c r="N976" s="1" t="str">
        <f t="shared" si="15"/>
        <v>Francophone</v>
      </c>
      <c r="O976" s="3" t="str">
        <f>_xlfn.XLOOKUP(D:D,MappingTable[Brand],MappingTable[Brand Type], "not found")</f>
        <v>Beer</v>
      </c>
      <c r="P976" t="str">
        <f>_xlfn.XLOOKUP(L:L,MappingTable2[Month],MappingTable2[Quarters],"NIL")</f>
        <v>Q1</v>
      </c>
      <c r="Q976" s="1"/>
    </row>
    <row r="977" spans="1:17" x14ac:dyDescent="0.2">
      <c r="A977" s="1">
        <v>11076</v>
      </c>
      <c r="B977" s="1" t="s">
        <v>61</v>
      </c>
      <c r="C977" s="1" t="s">
        <v>62</v>
      </c>
      <c r="D977" s="1" t="s">
        <v>27</v>
      </c>
      <c r="E977" s="3">
        <v>180</v>
      </c>
      <c r="F977" s="3">
        <v>450</v>
      </c>
      <c r="G977" s="13">
        <v>779</v>
      </c>
      <c r="H977" s="3">
        <v>350550</v>
      </c>
      <c r="I977" s="3">
        <v>210330</v>
      </c>
      <c r="J977" s="1" t="s">
        <v>16</v>
      </c>
      <c r="K977" s="1" t="s">
        <v>35</v>
      </c>
      <c r="L977" s="1" t="s">
        <v>36</v>
      </c>
      <c r="M977" s="1">
        <v>2019</v>
      </c>
      <c r="N977" s="1" t="str">
        <f t="shared" si="15"/>
        <v>Anglophone</v>
      </c>
      <c r="O977" s="3" t="str">
        <f>_xlfn.XLOOKUP(D:D,MappingTable[Brand],MappingTable[Brand Type], "not found")</f>
        <v>Beer</v>
      </c>
      <c r="P977" t="str">
        <f>_xlfn.XLOOKUP(L:L,MappingTable2[Month],MappingTable2[Quarters],"NIL")</f>
        <v>Q2</v>
      </c>
      <c r="Q977" s="1"/>
    </row>
    <row r="978" spans="1:17" x14ac:dyDescent="0.2">
      <c r="A978" s="1">
        <v>11077</v>
      </c>
      <c r="B978" s="1" t="s">
        <v>31</v>
      </c>
      <c r="C978" s="1" t="s">
        <v>32</v>
      </c>
      <c r="D978" s="1" t="s">
        <v>33</v>
      </c>
      <c r="E978" s="3">
        <v>170</v>
      </c>
      <c r="F978" s="3">
        <v>250</v>
      </c>
      <c r="G978" s="13">
        <v>706</v>
      </c>
      <c r="H978" s="3">
        <v>176500</v>
      </c>
      <c r="I978" s="3">
        <v>56480</v>
      </c>
      <c r="J978" s="1" t="s">
        <v>22</v>
      </c>
      <c r="K978" s="1" t="s">
        <v>41</v>
      </c>
      <c r="L978" s="1" t="s">
        <v>42</v>
      </c>
      <c r="M978" s="1">
        <v>2019</v>
      </c>
      <c r="N978" s="1" t="str">
        <f t="shared" si="15"/>
        <v>Anglophone</v>
      </c>
      <c r="O978" s="3" t="str">
        <f>_xlfn.XLOOKUP(D:D,MappingTable[Brand],MappingTable[Brand Type], "not found")</f>
        <v>Beer</v>
      </c>
      <c r="P978" t="str">
        <f>_xlfn.XLOOKUP(L:L,MappingTable2[Month],MappingTable2[Quarters],"NIL")</f>
        <v>Q2</v>
      </c>
      <c r="Q978" s="1"/>
    </row>
    <row r="979" spans="1:17" x14ac:dyDescent="0.2">
      <c r="A979" s="1">
        <v>11078</v>
      </c>
      <c r="B979" s="1" t="s">
        <v>51</v>
      </c>
      <c r="C979" s="1" t="s">
        <v>52</v>
      </c>
      <c r="D979" s="1" t="s">
        <v>39</v>
      </c>
      <c r="E979" s="3">
        <v>150</v>
      </c>
      <c r="F979" s="3">
        <v>200</v>
      </c>
      <c r="G979" s="13">
        <v>743</v>
      </c>
      <c r="H979" s="3">
        <v>148600</v>
      </c>
      <c r="I979" s="3">
        <v>37150</v>
      </c>
      <c r="J979" s="1" t="s">
        <v>28</v>
      </c>
      <c r="K979" s="1" t="s">
        <v>44</v>
      </c>
      <c r="L979" s="1" t="s">
        <v>45</v>
      </c>
      <c r="M979" s="1">
        <v>2017</v>
      </c>
      <c r="N979" s="1" t="str">
        <f t="shared" si="15"/>
        <v>Francophone</v>
      </c>
      <c r="O979" s="3" t="str">
        <f>_xlfn.XLOOKUP(D:D,MappingTable[Brand],MappingTable[Brand Type], "not found")</f>
        <v>Beer</v>
      </c>
      <c r="P979" t="str">
        <f>_xlfn.XLOOKUP(L:L,MappingTable2[Month],MappingTable2[Quarters],"NIL")</f>
        <v>Q2</v>
      </c>
      <c r="Q979" s="1"/>
    </row>
    <row r="980" spans="1:17" x14ac:dyDescent="0.2">
      <c r="A980" s="1">
        <v>11079</v>
      </c>
      <c r="B980" s="1" t="s">
        <v>31</v>
      </c>
      <c r="C980" s="1" t="s">
        <v>32</v>
      </c>
      <c r="D980" s="1" t="s">
        <v>43</v>
      </c>
      <c r="E980" s="3">
        <v>80</v>
      </c>
      <c r="F980" s="3">
        <v>150</v>
      </c>
      <c r="G980" s="13">
        <v>919</v>
      </c>
      <c r="H980" s="3">
        <v>137850</v>
      </c>
      <c r="I980" s="3">
        <v>64330</v>
      </c>
      <c r="J980" s="1" t="s">
        <v>34</v>
      </c>
      <c r="K980" s="1" t="s">
        <v>17</v>
      </c>
      <c r="L980" s="1" t="s">
        <v>49</v>
      </c>
      <c r="M980" s="1">
        <v>2017</v>
      </c>
      <c r="N980" s="1" t="str">
        <f t="shared" si="15"/>
        <v>Francophone</v>
      </c>
      <c r="O980" s="3" t="str">
        <f>_xlfn.XLOOKUP(D:D,MappingTable[Brand],MappingTable[Brand Type], "not found")</f>
        <v>Malt</v>
      </c>
      <c r="P980" t="str">
        <f>_xlfn.XLOOKUP(L:L,MappingTable2[Month],MappingTable2[Quarters],"NIL")</f>
        <v>Q3</v>
      </c>
      <c r="Q980" s="1"/>
    </row>
    <row r="981" spans="1:17" x14ac:dyDescent="0.2">
      <c r="A981" s="1">
        <v>11080</v>
      </c>
      <c r="B981" s="1" t="s">
        <v>57</v>
      </c>
      <c r="C981" s="1" t="s">
        <v>58</v>
      </c>
      <c r="D981" s="1" t="s">
        <v>48</v>
      </c>
      <c r="E981" s="3">
        <v>90</v>
      </c>
      <c r="F981" s="3">
        <v>150</v>
      </c>
      <c r="G981" s="13">
        <v>991</v>
      </c>
      <c r="H981" s="3">
        <v>148650</v>
      </c>
      <c r="I981" s="3">
        <v>59460</v>
      </c>
      <c r="J981" s="1" t="s">
        <v>40</v>
      </c>
      <c r="K981" s="1" t="s">
        <v>23</v>
      </c>
      <c r="L981" s="1" t="s">
        <v>50</v>
      </c>
      <c r="M981" s="1">
        <v>2019</v>
      </c>
      <c r="N981" s="1" t="str">
        <f t="shared" si="15"/>
        <v>Francophone</v>
      </c>
      <c r="O981" s="3" t="str">
        <f>_xlfn.XLOOKUP(D:D,MappingTable[Brand],MappingTable[Brand Type], "not found")</f>
        <v>Malt</v>
      </c>
      <c r="P981" t="str">
        <f>_xlfn.XLOOKUP(L:L,MappingTable2[Month],MappingTable2[Quarters],"NIL")</f>
        <v>Q3</v>
      </c>
      <c r="Q981" s="1"/>
    </row>
    <row r="982" spans="1:17" x14ac:dyDescent="0.2">
      <c r="A982" s="1">
        <v>11081</v>
      </c>
      <c r="B982" s="1" t="s">
        <v>63</v>
      </c>
      <c r="C982" s="1" t="s">
        <v>64</v>
      </c>
      <c r="D982" s="1" t="s">
        <v>15</v>
      </c>
      <c r="E982" s="3">
        <v>150</v>
      </c>
      <c r="F982" s="3">
        <v>200</v>
      </c>
      <c r="G982" s="13">
        <v>836</v>
      </c>
      <c r="H982" s="3">
        <v>167200</v>
      </c>
      <c r="I982" s="3">
        <v>41800</v>
      </c>
      <c r="J982" s="1" t="s">
        <v>16</v>
      </c>
      <c r="K982" s="1" t="s">
        <v>29</v>
      </c>
      <c r="L982" s="1" t="s">
        <v>53</v>
      </c>
      <c r="M982" s="1">
        <v>2018</v>
      </c>
      <c r="N982" s="1" t="str">
        <f t="shared" si="15"/>
        <v>Anglophone</v>
      </c>
      <c r="O982" s="3" t="str">
        <f>_xlfn.XLOOKUP(D:D,MappingTable[Brand],MappingTable[Brand Type], "not found")</f>
        <v>Beer</v>
      </c>
      <c r="P982" t="str">
        <f>_xlfn.XLOOKUP(L:L,MappingTable2[Month],MappingTable2[Quarters],"NIL")</f>
        <v>Q3</v>
      </c>
      <c r="Q982" s="1"/>
    </row>
    <row r="983" spans="1:17" x14ac:dyDescent="0.2">
      <c r="A983" s="1">
        <v>11082</v>
      </c>
      <c r="B983" s="1" t="s">
        <v>61</v>
      </c>
      <c r="C983" s="1" t="s">
        <v>62</v>
      </c>
      <c r="D983" s="1" t="s">
        <v>21</v>
      </c>
      <c r="E983" s="3">
        <v>250</v>
      </c>
      <c r="F983" s="3">
        <v>500</v>
      </c>
      <c r="G983" s="13">
        <v>793</v>
      </c>
      <c r="H983" s="3">
        <v>396500</v>
      </c>
      <c r="I983" s="3">
        <v>198250</v>
      </c>
      <c r="J983" s="1" t="s">
        <v>22</v>
      </c>
      <c r="K983" s="1" t="s">
        <v>35</v>
      </c>
      <c r="L983" s="1" t="s">
        <v>56</v>
      </c>
      <c r="M983" s="1">
        <v>2017</v>
      </c>
      <c r="N983" s="1" t="str">
        <f t="shared" si="15"/>
        <v>Anglophone</v>
      </c>
      <c r="O983" s="3" t="str">
        <f>_xlfn.XLOOKUP(D:D,MappingTable[Brand],MappingTable[Brand Type], "not found")</f>
        <v>Beer</v>
      </c>
      <c r="P983" t="str">
        <f>_xlfn.XLOOKUP(L:L,MappingTable2[Month],MappingTable2[Quarters],"NIL")</f>
        <v>Q4</v>
      </c>
      <c r="Q983" s="1"/>
    </row>
    <row r="984" spans="1:17" x14ac:dyDescent="0.2">
      <c r="A984" s="1">
        <v>11083</v>
      </c>
      <c r="B984" s="1" t="s">
        <v>57</v>
      </c>
      <c r="C984" s="1" t="s">
        <v>58</v>
      </c>
      <c r="D984" s="1" t="s">
        <v>27</v>
      </c>
      <c r="E984" s="3">
        <v>180</v>
      </c>
      <c r="F984" s="3">
        <v>450</v>
      </c>
      <c r="G984" s="13">
        <v>831</v>
      </c>
      <c r="H984" s="3">
        <v>373950</v>
      </c>
      <c r="I984" s="3">
        <v>224370</v>
      </c>
      <c r="J984" s="1" t="s">
        <v>28</v>
      </c>
      <c r="K984" s="1" t="s">
        <v>41</v>
      </c>
      <c r="L984" s="1" t="s">
        <v>59</v>
      </c>
      <c r="M984" s="1">
        <v>2019</v>
      </c>
      <c r="N984" s="1" t="str">
        <f t="shared" si="15"/>
        <v>Francophone</v>
      </c>
      <c r="O984" s="3" t="str">
        <f>_xlfn.XLOOKUP(D:D,MappingTable[Brand],MappingTable[Brand Type], "not found")</f>
        <v>Beer</v>
      </c>
      <c r="P984" t="str">
        <f>_xlfn.XLOOKUP(L:L,MappingTable2[Month],MappingTable2[Quarters],"NIL")</f>
        <v>Q4</v>
      </c>
      <c r="Q984" s="1"/>
    </row>
    <row r="985" spans="1:17" x14ac:dyDescent="0.2">
      <c r="A985" s="1">
        <v>11084</v>
      </c>
      <c r="B985" s="1" t="s">
        <v>19</v>
      </c>
      <c r="C985" s="1" t="s">
        <v>20</v>
      </c>
      <c r="D985" s="1" t="s">
        <v>33</v>
      </c>
      <c r="E985" s="3">
        <v>170</v>
      </c>
      <c r="F985" s="3">
        <v>250</v>
      </c>
      <c r="G985" s="13">
        <v>847</v>
      </c>
      <c r="H985" s="3">
        <v>211750</v>
      </c>
      <c r="I985" s="3">
        <v>67760</v>
      </c>
      <c r="J985" s="1" t="s">
        <v>34</v>
      </c>
      <c r="K985" s="1" t="s">
        <v>44</v>
      </c>
      <c r="L985" s="1" t="s">
        <v>60</v>
      </c>
      <c r="M985" s="1">
        <v>2017</v>
      </c>
      <c r="N985" s="1" t="str">
        <f t="shared" si="15"/>
        <v>Francophone</v>
      </c>
      <c r="O985" s="3" t="str">
        <f>_xlfn.XLOOKUP(D:D,MappingTable[Brand],MappingTable[Brand Type], "not found")</f>
        <v>Beer</v>
      </c>
      <c r="P985" t="str">
        <f>_xlfn.XLOOKUP(L:L,MappingTable2[Month],MappingTable2[Quarters],"NIL")</f>
        <v>Q4</v>
      </c>
      <c r="Q985" s="1"/>
    </row>
    <row r="986" spans="1:17" x14ac:dyDescent="0.2">
      <c r="A986" s="1">
        <v>11085</v>
      </c>
      <c r="B986" s="1" t="s">
        <v>61</v>
      </c>
      <c r="C986" s="1" t="s">
        <v>62</v>
      </c>
      <c r="D986" s="1" t="s">
        <v>39</v>
      </c>
      <c r="E986" s="3">
        <v>150</v>
      </c>
      <c r="F986" s="3">
        <v>200</v>
      </c>
      <c r="G986" s="13">
        <v>993</v>
      </c>
      <c r="H986" s="3">
        <v>198600</v>
      </c>
      <c r="I986" s="3">
        <v>49650</v>
      </c>
      <c r="J986" s="1" t="s">
        <v>40</v>
      </c>
      <c r="K986" s="1" t="s">
        <v>17</v>
      </c>
      <c r="L986" s="1" t="s">
        <v>18</v>
      </c>
      <c r="M986" s="1">
        <v>2017</v>
      </c>
      <c r="N986" s="1" t="str">
        <f t="shared" si="15"/>
        <v>Francophone</v>
      </c>
      <c r="O986" s="3" t="str">
        <f>_xlfn.XLOOKUP(D:D,MappingTable[Brand],MappingTable[Brand Type], "not found")</f>
        <v>Beer</v>
      </c>
      <c r="P986" t="str">
        <f>_xlfn.XLOOKUP(L:L,MappingTable2[Month],MappingTable2[Quarters],"NIL")</f>
        <v>Q1</v>
      </c>
      <c r="Q986" s="1"/>
    </row>
    <row r="987" spans="1:17" x14ac:dyDescent="0.2">
      <c r="A987" s="1">
        <v>11086</v>
      </c>
      <c r="B987" s="1" t="s">
        <v>31</v>
      </c>
      <c r="C987" s="1" t="s">
        <v>32</v>
      </c>
      <c r="D987" s="1" t="s">
        <v>43</v>
      </c>
      <c r="E987" s="3">
        <v>80</v>
      </c>
      <c r="F987" s="3">
        <v>150</v>
      </c>
      <c r="G987" s="13">
        <v>904</v>
      </c>
      <c r="H987" s="3">
        <v>135600</v>
      </c>
      <c r="I987" s="3">
        <v>63280</v>
      </c>
      <c r="J987" s="1" t="s">
        <v>16</v>
      </c>
      <c r="K987" s="1" t="s">
        <v>23</v>
      </c>
      <c r="L987" s="1" t="s">
        <v>24</v>
      </c>
      <c r="M987" s="1">
        <v>2019</v>
      </c>
      <c r="N987" s="1" t="str">
        <f t="shared" si="15"/>
        <v>Anglophone</v>
      </c>
      <c r="O987" s="3" t="str">
        <f>_xlfn.XLOOKUP(D:D,MappingTable[Brand],MappingTable[Brand Type], "not found")</f>
        <v>Malt</v>
      </c>
      <c r="P987" t="str">
        <f>_xlfn.XLOOKUP(L:L,MappingTable2[Month],MappingTable2[Quarters],"NIL")</f>
        <v>Q1</v>
      </c>
      <c r="Q987" s="1"/>
    </row>
    <row r="988" spans="1:17" x14ac:dyDescent="0.2">
      <c r="A988" s="1">
        <v>11087</v>
      </c>
      <c r="B988" s="1" t="s">
        <v>25</v>
      </c>
      <c r="C988" s="1" t="s">
        <v>26</v>
      </c>
      <c r="D988" s="1" t="s">
        <v>48</v>
      </c>
      <c r="E988" s="3">
        <v>90</v>
      </c>
      <c r="F988" s="3">
        <v>150</v>
      </c>
      <c r="G988" s="13">
        <v>832</v>
      </c>
      <c r="H988" s="3">
        <v>124800</v>
      </c>
      <c r="I988" s="3">
        <v>49920</v>
      </c>
      <c r="J988" s="1" t="s">
        <v>22</v>
      </c>
      <c r="K988" s="1" t="s">
        <v>29</v>
      </c>
      <c r="L988" s="1" t="s">
        <v>30</v>
      </c>
      <c r="M988" s="1">
        <v>2018</v>
      </c>
      <c r="N988" s="1" t="str">
        <f t="shared" si="15"/>
        <v>Anglophone</v>
      </c>
      <c r="O988" s="3" t="str">
        <f>_xlfn.XLOOKUP(D:D,MappingTable[Brand],MappingTable[Brand Type], "not found")</f>
        <v>Malt</v>
      </c>
      <c r="P988" t="str">
        <f>_xlfn.XLOOKUP(L:L,MappingTable2[Month],MappingTable2[Quarters],"NIL")</f>
        <v>Q1</v>
      </c>
      <c r="Q988" s="1"/>
    </row>
    <row r="989" spans="1:17" x14ac:dyDescent="0.2">
      <c r="A989" s="1">
        <v>11088</v>
      </c>
      <c r="B989" s="1" t="s">
        <v>13</v>
      </c>
      <c r="C989" s="1" t="s">
        <v>14</v>
      </c>
      <c r="D989" s="1" t="s">
        <v>15</v>
      </c>
      <c r="E989" s="3">
        <v>150</v>
      </c>
      <c r="F989" s="3">
        <v>200</v>
      </c>
      <c r="G989" s="13">
        <v>763</v>
      </c>
      <c r="H989" s="3">
        <v>152600</v>
      </c>
      <c r="I989" s="3">
        <v>38150</v>
      </c>
      <c r="J989" s="1" t="s">
        <v>28</v>
      </c>
      <c r="K989" s="1" t="s">
        <v>35</v>
      </c>
      <c r="L989" s="1" t="s">
        <v>36</v>
      </c>
      <c r="M989" s="1">
        <v>2017</v>
      </c>
      <c r="N989" s="1" t="str">
        <f t="shared" si="15"/>
        <v>Francophone</v>
      </c>
      <c r="O989" s="3" t="str">
        <f>_xlfn.XLOOKUP(D:D,MappingTable[Brand],MappingTable[Brand Type], "not found")</f>
        <v>Beer</v>
      </c>
      <c r="P989" t="str">
        <f>_xlfn.XLOOKUP(L:L,MappingTable2[Month],MappingTable2[Quarters],"NIL")</f>
        <v>Q2</v>
      </c>
      <c r="Q989" s="1"/>
    </row>
    <row r="990" spans="1:17" x14ac:dyDescent="0.2">
      <c r="A990" s="1">
        <v>11089</v>
      </c>
      <c r="B990" s="1" t="s">
        <v>37</v>
      </c>
      <c r="C990" s="1" t="s">
        <v>38</v>
      </c>
      <c r="D990" s="1" t="s">
        <v>21</v>
      </c>
      <c r="E990" s="3">
        <v>250</v>
      </c>
      <c r="F990" s="3">
        <v>500</v>
      </c>
      <c r="G990" s="13">
        <v>912</v>
      </c>
      <c r="H990" s="3">
        <v>456000</v>
      </c>
      <c r="I990" s="3">
        <v>228000</v>
      </c>
      <c r="J990" s="1" t="s">
        <v>34</v>
      </c>
      <c r="K990" s="1" t="s">
        <v>41</v>
      </c>
      <c r="L990" s="1" t="s">
        <v>42</v>
      </c>
      <c r="M990" s="1">
        <v>2019</v>
      </c>
      <c r="N990" s="1" t="str">
        <f t="shared" si="15"/>
        <v>Francophone</v>
      </c>
      <c r="O990" s="3" t="str">
        <f>_xlfn.XLOOKUP(D:D,MappingTable[Brand],MappingTable[Brand Type], "not found")</f>
        <v>Beer</v>
      </c>
      <c r="P990" t="str">
        <f>_xlfn.XLOOKUP(L:L,MappingTable2[Month],MappingTable2[Quarters],"NIL")</f>
        <v>Q2</v>
      </c>
      <c r="Q990" s="1"/>
    </row>
    <row r="991" spans="1:17" x14ac:dyDescent="0.2">
      <c r="A991" s="1">
        <v>11090</v>
      </c>
      <c r="B991" s="1" t="s">
        <v>54</v>
      </c>
      <c r="C991" s="1" t="s">
        <v>55</v>
      </c>
      <c r="D991" s="1" t="s">
        <v>27</v>
      </c>
      <c r="E991" s="3">
        <v>180</v>
      </c>
      <c r="F991" s="3">
        <v>450</v>
      </c>
      <c r="G991" s="13">
        <v>834</v>
      </c>
      <c r="H991" s="3">
        <v>375300</v>
      </c>
      <c r="I991" s="3">
        <v>225180</v>
      </c>
      <c r="J991" s="1" t="s">
        <v>40</v>
      </c>
      <c r="K991" s="1" t="s">
        <v>44</v>
      </c>
      <c r="L991" s="1" t="s">
        <v>45</v>
      </c>
      <c r="M991" s="1">
        <v>2018</v>
      </c>
      <c r="N991" s="1" t="str">
        <f t="shared" si="15"/>
        <v>Francophone</v>
      </c>
      <c r="O991" s="3" t="str">
        <f>_xlfn.XLOOKUP(D:D,MappingTable[Brand],MappingTable[Brand Type], "not found")</f>
        <v>Beer</v>
      </c>
      <c r="P991" t="str">
        <f>_xlfn.XLOOKUP(L:L,MappingTable2[Month],MappingTable2[Quarters],"NIL")</f>
        <v>Q2</v>
      </c>
      <c r="Q991" s="1"/>
    </row>
    <row r="992" spans="1:17" x14ac:dyDescent="0.2">
      <c r="A992" s="1">
        <v>11091</v>
      </c>
      <c r="B992" s="1" t="s">
        <v>19</v>
      </c>
      <c r="C992" s="1" t="s">
        <v>20</v>
      </c>
      <c r="D992" s="1" t="s">
        <v>33</v>
      </c>
      <c r="E992" s="3">
        <v>170</v>
      </c>
      <c r="F992" s="3">
        <v>250</v>
      </c>
      <c r="G992" s="13">
        <v>914</v>
      </c>
      <c r="H992" s="3">
        <v>228500</v>
      </c>
      <c r="I992" s="3">
        <v>73120</v>
      </c>
      <c r="J992" s="1" t="s">
        <v>16</v>
      </c>
      <c r="K992" s="1" t="s">
        <v>17</v>
      </c>
      <c r="L992" s="1" t="s">
        <v>49</v>
      </c>
      <c r="M992" s="1">
        <v>2019</v>
      </c>
      <c r="N992" s="1" t="str">
        <f t="shared" si="15"/>
        <v>Anglophone</v>
      </c>
      <c r="O992" s="3" t="str">
        <f>_xlfn.XLOOKUP(D:D,MappingTable[Brand],MappingTable[Brand Type], "not found")</f>
        <v>Beer</v>
      </c>
      <c r="P992" t="str">
        <f>_xlfn.XLOOKUP(L:L,MappingTable2[Month],MappingTable2[Quarters],"NIL")</f>
        <v>Q3</v>
      </c>
      <c r="Q992" s="1"/>
    </row>
    <row r="993" spans="1:17" x14ac:dyDescent="0.2">
      <c r="A993" s="1">
        <v>11092</v>
      </c>
      <c r="B993" s="1" t="s">
        <v>19</v>
      </c>
      <c r="C993" s="1" t="s">
        <v>20</v>
      </c>
      <c r="D993" s="1" t="s">
        <v>39</v>
      </c>
      <c r="E993" s="3">
        <v>150</v>
      </c>
      <c r="F993" s="3">
        <v>200</v>
      </c>
      <c r="G993" s="13">
        <v>863</v>
      </c>
      <c r="H993" s="3">
        <v>172600</v>
      </c>
      <c r="I993" s="3">
        <v>43150</v>
      </c>
      <c r="J993" s="1" t="s">
        <v>22</v>
      </c>
      <c r="K993" s="1" t="s">
        <v>23</v>
      </c>
      <c r="L993" s="1" t="s">
        <v>50</v>
      </c>
      <c r="M993" s="1">
        <v>2019</v>
      </c>
      <c r="N993" s="1" t="str">
        <f t="shared" si="15"/>
        <v>Anglophone</v>
      </c>
      <c r="O993" s="3" t="str">
        <f>_xlfn.XLOOKUP(D:D,MappingTable[Brand],MappingTable[Brand Type], "not found")</f>
        <v>Beer</v>
      </c>
      <c r="P993" t="str">
        <f>_xlfn.XLOOKUP(L:L,MappingTable2[Month],MappingTable2[Quarters],"NIL")</f>
        <v>Q3</v>
      </c>
      <c r="Q993" s="1"/>
    </row>
    <row r="994" spans="1:17" x14ac:dyDescent="0.2">
      <c r="A994" s="1">
        <v>11093</v>
      </c>
      <c r="B994" s="1" t="s">
        <v>63</v>
      </c>
      <c r="C994" s="1" t="s">
        <v>64</v>
      </c>
      <c r="D994" s="1" t="s">
        <v>43</v>
      </c>
      <c r="E994" s="3">
        <v>80</v>
      </c>
      <c r="F994" s="3">
        <v>150</v>
      </c>
      <c r="G994" s="13">
        <v>835</v>
      </c>
      <c r="H994" s="3">
        <v>125250</v>
      </c>
      <c r="I994" s="3">
        <v>58450</v>
      </c>
      <c r="J994" s="1" t="s">
        <v>28</v>
      </c>
      <c r="K994" s="1" t="s">
        <v>29</v>
      </c>
      <c r="L994" s="1" t="s">
        <v>53</v>
      </c>
      <c r="M994" s="1">
        <v>2017</v>
      </c>
      <c r="N994" s="1" t="str">
        <f t="shared" si="15"/>
        <v>Francophone</v>
      </c>
      <c r="O994" s="3" t="str">
        <f>_xlfn.XLOOKUP(D:D,MappingTable[Brand],MappingTable[Brand Type], "not found")</f>
        <v>Malt</v>
      </c>
      <c r="P994" t="str">
        <f>_xlfn.XLOOKUP(L:L,MappingTable2[Month],MappingTable2[Quarters],"NIL")</f>
        <v>Q3</v>
      </c>
      <c r="Q994" s="1"/>
    </row>
    <row r="995" spans="1:17" x14ac:dyDescent="0.2">
      <c r="A995" s="1">
        <v>11094</v>
      </c>
      <c r="B995" s="1" t="s">
        <v>31</v>
      </c>
      <c r="C995" s="1" t="s">
        <v>32</v>
      </c>
      <c r="D995" s="1" t="s">
        <v>48</v>
      </c>
      <c r="E995" s="3">
        <v>90</v>
      </c>
      <c r="F995" s="3">
        <v>150</v>
      </c>
      <c r="G995" s="13">
        <v>859</v>
      </c>
      <c r="H995" s="3">
        <v>128850</v>
      </c>
      <c r="I995" s="3">
        <v>51540</v>
      </c>
      <c r="J995" s="1" t="s">
        <v>34</v>
      </c>
      <c r="K995" s="1" t="s">
        <v>35</v>
      </c>
      <c r="L995" s="1" t="s">
        <v>56</v>
      </c>
      <c r="M995" s="1">
        <v>2019</v>
      </c>
      <c r="N995" s="1" t="str">
        <f t="shared" si="15"/>
        <v>Francophone</v>
      </c>
      <c r="O995" s="3" t="str">
        <f>_xlfn.XLOOKUP(D:D,MappingTable[Brand],MappingTable[Brand Type], "not found")</f>
        <v>Malt</v>
      </c>
      <c r="P995" t="str">
        <f>_xlfn.XLOOKUP(L:L,MappingTable2[Month],MappingTable2[Quarters],"NIL")</f>
        <v>Q4</v>
      </c>
      <c r="Q995" s="1"/>
    </row>
    <row r="996" spans="1:17" x14ac:dyDescent="0.2">
      <c r="A996" s="1">
        <v>11095</v>
      </c>
      <c r="B996" s="1" t="s">
        <v>51</v>
      </c>
      <c r="C996" s="1" t="s">
        <v>52</v>
      </c>
      <c r="D996" s="1" t="s">
        <v>15</v>
      </c>
      <c r="E996" s="3">
        <v>150</v>
      </c>
      <c r="F996" s="3">
        <v>200</v>
      </c>
      <c r="G996" s="13">
        <v>995</v>
      </c>
      <c r="H996" s="3">
        <v>199000</v>
      </c>
      <c r="I996" s="3">
        <v>49750</v>
      </c>
      <c r="J996" s="1" t="s">
        <v>40</v>
      </c>
      <c r="K996" s="1" t="s">
        <v>41</v>
      </c>
      <c r="L996" s="1" t="s">
        <v>59</v>
      </c>
      <c r="M996" s="1">
        <v>2017</v>
      </c>
      <c r="N996" s="1" t="str">
        <f t="shared" si="15"/>
        <v>Francophone</v>
      </c>
      <c r="O996" s="3" t="str">
        <f>_xlfn.XLOOKUP(D:D,MappingTable[Brand],MappingTable[Brand Type], "not found")</f>
        <v>Beer</v>
      </c>
      <c r="P996" t="str">
        <f>_xlfn.XLOOKUP(L:L,MappingTable2[Month],MappingTable2[Quarters],"NIL")</f>
        <v>Q4</v>
      </c>
      <c r="Q996" s="1"/>
    </row>
    <row r="997" spans="1:17" x14ac:dyDescent="0.2">
      <c r="A997" s="1">
        <v>11096</v>
      </c>
      <c r="B997" s="1" t="s">
        <v>63</v>
      </c>
      <c r="C997" s="1" t="s">
        <v>64</v>
      </c>
      <c r="D997" s="1" t="s">
        <v>21</v>
      </c>
      <c r="E997" s="3">
        <v>250</v>
      </c>
      <c r="F997" s="3">
        <v>500</v>
      </c>
      <c r="G997" s="13">
        <v>995</v>
      </c>
      <c r="H997" s="3">
        <v>497500</v>
      </c>
      <c r="I997" s="3">
        <v>248750</v>
      </c>
      <c r="J997" s="1" t="s">
        <v>16</v>
      </c>
      <c r="K997" s="1" t="s">
        <v>44</v>
      </c>
      <c r="L997" s="1" t="s">
        <v>60</v>
      </c>
      <c r="M997" s="1">
        <v>2018</v>
      </c>
      <c r="N997" s="1" t="str">
        <f t="shared" si="15"/>
        <v>Anglophone</v>
      </c>
      <c r="O997" s="3" t="str">
        <f>_xlfn.XLOOKUP(D:D,MappingTable[Brand],MappingTable[Brand Type], "not found")</f>
        <v>Beer</v>
      </c>
      <c r="P997" t="str">
        <f>_xlfn.XLOOKUP(L:L,MappingTable2[Month],MappingTable2[Quarters],"NIL")</f>
        <v>Q4</v>
      </c>
      <c r="Q997" s="1"/>
    </row>
    <row r="998" spans="1:17" x14ac:dyDescent="0.2">
      <c r="A998" s="1">
        <v>11097</v>
      </c>
      <c r="B998" s="1" t="s">
        <v>25</v>
      </c>
      <c r="C998" s="1" t="s">
        <v>26</v>
      </c>
      <c r="D998" s="1" t="s">
        <v>27</v>
      </c>
      <c r="E998" s="3">
        <v>180</v>
      </c>
      <c r="F998" s="3">
        <v>450</v>
      </c>
      <c r="G998" s="13">
        <v>736</v>
      </c>
      <c r="H998" s="3">
        <v>331200</v>
      </c>
      <c r="I998" s="3">
        <v>198720</v>
      </c>
      <c r="J998" s="1" t="s">
        <v>22</v>
      </c>
      <c r="K998" s="1" t="s">
        <v>17</v>
      </c>
      <c r="L998" s="1" t="s">
        <v>18</v>
      </c>
      <c r="M998" s="1">
        <v>2019</v>
      </c>
      <c r="N998" s="1" t="str">
        <f t="shared" si="15"/>
        <v>Anglophone</v>
      </c>
      <c r="O998" s="3" t="str">
        <f>_xlfn.XLOOKUP(D:D,MappingTable[Brand],MappingTable[Brand Type], "not found")</f>
        <v>Beer</v>
      </c>
      <c r="P998" t="str">
        <f>_xlfn.XLOOKUP(L:L,MappingTable2[Month],MappingTable2[Quarters],"NIL")</f>
        <v>Q1</v>
      </c>
      <c r="Q998" s="1"/>
    </row>
    <row r="999" spans="1:17" x14ac:dyDescent="0.2">
      <c r="A999" s="1">
        <v>11098</v>
      </c>
      <c r="B999" s="1" t="s">
        <v>19</v>
      </c>
      <c r="C999" s="1" t="s">
        <v>20</v>
      </c>
      <c r="D999" s="1" t="s">
        <v>33</v>
      </c>
      <c r="E999" s="3">
        <v>170</v>
      </c>
      <c r="F999" s="3">
        <v>250</v>
      </c>
      <c r="G999" s="13">
        <v>857</v>
      </c>
      <c r="H999" s="3">
        <v>214250</v>
      </c>
      <c r="I999" s="3">
        <v>68560</v>
      </c>
      <c r="J999" s="1" t="s">
        <v>28</v>
      </c>
      <c r="K999" s="1" t="s">
        <v>23</v>
      </c>
      <c r="L999" s="1" t="s">
        <v>24</v>
      </c>
      <c r="M999" s="1">
        <v>2018</v>
      </c>
      <c r="N999" s="1" t="str">
        <f t="shared" si="15"/>
        <v>Francophone</v>
      </c>
      <c r="O999" s="3" t="str">
        <f>_xlfn.XLOOKUP(D:D,MappingTable[Brand],MappingTable[Brand Type], "not found")</f>
        <v>Beer</v>
      </c>
      <c r="P999" t="str">
        <f>_xlfn.XLOOKUP(L:L,MappingTable2[Month],MappingTable2[Quarters],"NIL")</f>
        <v>Q1</v>
      </c>
      <c r="Q999" s="1"/>
    </row>
    <row r="1000" spans="1:17" x14ac:dyDescent="0.2">
      <c r="A1000" s="1">
        <v>11099</v>
      </c>
      <c r="B1000" s="1" t="s">
        <v>25</v>
      </c>
      <c r="C1000" s="1" t="s">
        <v>26</v>
      </c>
      <c r="D1000" s="1" t="s">
        <v>39</v>
      </c>
      <c r="E1000" s="3">
        <v>150</v>
      </c>
      <c r="F1000" s="3">
        <v>200</v>
      </c>
      <c r="G1000" s="13">
        <v>938</v>
      </c>
      <c r="H1000" s="3">
        <v>187600</v>
      </c>
      <c r="I1000" s="3">
        <v>46900</v>
      </c>
      <c r="J1000" s="1" t="s">
        <v>34</v>
      </c>
      <c r="K1000" s="1" t="s">
        <v>29</v>
      </c>
      <c r="L1000" s="1" t="s">
        <v>30</v>
      </c>
      <c r="M1000" s="1">
        <v>2018</v>
      </c>
      <c r="N1000" s="1" t="str">
        <f t="shared" si="15"/>
        <v>Francophone</v>
      </c>
      <c r="O1000" s="3" t="str">
        <f>_xlfn.XLOOKUP(D:D,MappingTable[Brand],MappingTable[Brand Type], "not found")</f>
        <v>Beer</v>
      </c>
      <c r="P1000" t="str">
        <f>_xlfn.XLOOKUP(L:L,MappingTable2[Month],MappingTable2[Quarters],"NIL")</f>
        <v>Q1</v>
      </c>
      <c r="Q1000" s="1"/>
    </row>
    <row r="1001" spans="1:17" x14ac:dyDescent="0.2">
      <c r="A1001" s="1">
        <v>11100</v>
      </c>
      <c r="B1001" s="1" t="s">
        <v>46</v>
      </c>
      <c r="C1001" s="1" t="s">
        <v>47</v>
      </c>
      <c r="D1001" s="1" t="s">
        <v>43</v>
      </c>
      <c r="E1001" s="3">
        <v>80</v>
      </c>
      <c r="F1001" s="3">
        <v>150</v>
      </c>
      <c r="G1001" s="13">
        <v>785</v>
      </c>
      <c r="H1001" s="3">
        <v>117750</v>
      </c>
      <c r="I1001" s="3">
        <v>54950</v>
      </c>
      <c r="J1001" s="1" t="s">
        <v>40</v>
      </c>
      <c r="K1001" s="1" t="s">
        <v>35</v>
      </c>
      <c r="L1001" s="1" t="s">
        <v>36</v>
      </c>
      <c r="M1001" s="1">
        <v>2018</v>
      </c>
      <c r="N1001" s="1" t="str">
        <f t="shared" si="15"/>
        <v>Francophone</v>
      </c>
      <c r="O1001" s="3" t="str">
        <f>_xlfn.XLOOKUP(D:D,MappingTable[Brand],MappingTable[Brand Type], "not found")</f>
        <v>Malt</v>
      </c>
      <c r="P1001" t="str">
        <f>_xlfn.XLOOKUP(L:L,MappingTable2[Month],MappingTable2[Quarters],"NIL")</f>
        <v>Q2</v>
      </c>
      <c r="Q1001" s="1"/>
    </row>
    <row r="1002" spans="1:17" x14ac:dyDescent="0.2">
      <c r="A1002" s="1">
        <v>11101</v>
      </c>
      <c r="B1002" s="1" t="s">
        <v>37</v>
      </c>
      <c r="C1002" s="1" t="s">
        <v>38</v>
      </c>
      <c r="D1002" s="1" t="s">
        <v>48</v>
      </c>
      <c r="E1002" s="3">
        <v>90</v>
      </c>
      <c r="F1002" s="3">
        <v>150</v>
      </c>
      <c r="G1002" s="13">
        <v>910</v>
      </c>
      <c r="H1002" s="3">
        <v>136500</v>
      </c>
      <c r="I1002" s="3">
        <v>54600</v>
      </c>
      <c r="J1002" s="1" t="s">
        <v>16</v>
      </c>
      <c r="K1002" s="1" t="s">
        <v>41</v>
      </c>
      <c r="L1002" s="1" t="s">
        <v>42</v>
      </c>
      <c r="M1002" s="1">
        <v>2018</v>
      </c>
      <c r="N1002" s="1" t="str">
        <f t="shared" si="15"/>
        <v>Anglophone</v>
      </c>
      <c r="O1002" s="3" t="str">
        <f>_xlfn.XLOOKUP(D:D,MappingTable[Brand],MappingTable[Brand Type], "not found")</f>
        <v>Malt</v>
      </c>
      <c r="P1002" t="str">
        <f>_xlfn.XLOOKUP(L:L,MappingTable2[Month],MappingTable2[Quarters],"NIL")</f>
        <v>Q2</v>
      </c>
      <c r="Q1002" s="1"/>
    </row>
    <row r="1003" spans="1:17" x14ac:dyDescent="0.2">
      <c r="A1003" s="1">
        <v>11102</v>
      </c>
      <c r="B1003" s="1" t="s">
        <v>13</v>
      </c>
      <c r="C1003" s="1" t="s">
        <v>14</v>
      </c>
      <c r="D1003" s="1" t="s">
        <v>15</v>
      </c>
      <c r="E1003" s="3">
        <v>150</v>
      </c>
      <c r="F1003" s="3">
        <v>200</v>
      </c>
      <c r="G1003" s="13">
        <v>838</v>
      </c>
      <c r="H1003" s="3">
        <v>167600</v>
      </c>
      <c r="I1003" s="3">
        <v>41900</v>
      </c>
      <c r="J1003" s="1" t="s">
        <v>22</v>
      </c>
      <c r="K1003" s="1" t="s">
        <v>44</v>
      </c>
      <c r="L1003" s="1" t="s">
        <v>45</v>
      </c>
      <c r="M1003" s="1">
        <v>2019</v>
      </c>
      <c r="N1003" s="1" t="str">
        <f t="shared" si="15"/>
        <v>Anglophone</v>
      </c>
      <c r="O1003" s="3" t="str">
        <f>_xlfn.XLOOKUP(D:D,MappingTable[Brand],MappingTable[Brand Type], "not found")</f>
        <v>Beer</v>
      </c>
      <c r="P1003" t="str">
        <f>_xlfn.XLOOKUP(L:L,MappingTable2[Month],MappingTable2[Quarters],"NIL")</f>
        <v>Q2</v>
      </c>
      <c r="Q1003" s="1"/>
    </row>
    <row r="1004" spans="1:17" x14ac:dyDescent="0.2">
      <c r="A1004" s="1">
        <v>11103</v>
      </c>
      <c r="B1004" s="1" t="s">
        <v>13</v>
      </c>
      <c r="C1004" s="1" t="s">
        <v>14</v>
      </c>
      <c r="D1004" s="1" t="s">
        <v>21</v>
      </c>
      <c r="E1004" s="3">
        <v>250</v>
      </c>
      <c r="F1004" s="3">
        <v>500</v>
      </c>
      <c r="G1004" s="13">
        <v>943</v>
      </c>
      <c r="H1004" s="3">
        <v>471500</v>
      </c>
      <c r="I1004" s="3">
        <v>235750</v>
      </c>
      <c r="J1004" s="1" t="s">
        <v>28</v>
      </c>
      <c r="K1004" s="1" t="s">
        <v>17</v>
      </c>
      <c r="L1004" s="1" t="s">
        <v>49</v>
      </c>
      <c r="M1004" s="1">
        <v>2019</v>
      </c>
      <c r="N1004" s="1" t="str">
        <f t="shared" si="15"/>
        <v>Francophone</v>
      </c>
      <c r="O1004" s="3" t="str">
        <f>_xlfn.XLOOKUP(D:D,MappingTable[Brand],MappingTable[Brand Type], "not found")</f>
        <v>Beer</v>
      </c>
      <c r="P1004" t="str">
        <f>_xlfn.XLOOKUP(L:L,MappingTable2[Month],MappingTable2[Quarters],"NIL")</f>
        <v>Q3</v>
      </c>
      <c r="Q1004" s="1"/>
    </row>
    <row r="1005" spans="1:17" x14ac:dyDescent="0.2">
      <c r="A1005" s="1">
        <v>11104</v>
      </c>
      <c r="B1005" s="1" t="s">
        <v>37</v>
      </c>
      <c r="C1005" s="1" t="s">
        <v>38</v>
      </c>
      <c r="D1005" s="1" t="s">
        <v>27</v>
      </c>
      <c r="E1005" s="3">
        <v>180</v>
      </c>
      <c r="F1005" s="3">
        <v>450</v>
      </c>
      <c r="G1005" s="13">
        <v>771</v>
      </c>
      <c r="H1005" s="3">
        <v>346950</v>
      </c>
      <c r="I1005" s="3">
        <v>208170</v>
      </c>
      <c r="J1005" s="1" t="s">
        <v>34</v>
      </c>
      <c r="K1005" s="1" t="s">
        <v>23</v>
      </c>
      <c r="L1005" s="1" t="s">
        <v>50</v>
      </c>
      <c r="M1005" s="1">
        <v>2019</v>
      </c>
      <c r="N1005" s="1" t="str">
        <f t="shared" si="15"/>
        <v>Francophone</v>
      </c>
      <c r="O1005" s="3" t="str">
        <f>_xlfn.XLOOKUP(D:D,MappingTable[Brand],MappingTable[Brand Type], "not found")</f>
        <v>Beer</v>
      </c>
      <c r="P1005" t="str">
        <f>_xlfn.XLOOKUP(L:L,MappingTable2[Month],MappingTable2[Quarters],"NIL")</f>
        <v>Q3</v>
      </c>
      <c r="Q1005" s="1"/>
    </row>
    <row r="1006" spans="1:17" x14ac:dyDescent="0.2">
      <c r="A1006" s="1">
        <v>11105</v>
      </c>
      <c r="B1006" s="1" t="s">
        <v>13</v>
      </c>
      <c r="C1006" s="1" t="s">
        <v>14</v>
      </c>
      <c r="D1006" s="1" t="s">
        <v>33</v>
      </c>
      <c r="E1006" s="3">
        <v>170</v>
      </c>
      <c r="F1006" s="3">
        <v>250</v>
      </c>
      <c r="G1006" s="13">
        <v>881</v>
      </c>
      <c r="H1006" s="3">
        <v>220250</v>
      </c>
      <c r="I1006" s="3">
        <v>70480</v>
      </c>
      <c r="J1006" s="1" t="s">
        <v>40</v>
      </c>
      <c r="K1006" s="1" t="s">
        <v>29</v>
      </c>
      <c r="L1006" s="1" t="s">
        <v>53</v>
      </c>
      <c r="M1006" s="1">
        <v>2017</v>
      </c>
      <c r="N1006" s="1" t="str">
        <f t="shared" si="15"/>
        <v>Francophone</v>
      </c>
      <c r="O1006" s="3" t="str">
        <f>_xlfn.XLOOKUP(D:D,MappingTable[Brand],MappingTable[Brand Type], "not found")</f>
        <v>Beer</v>
      </c>
      <c r="P1006" t="str">
        <f>_xlfn.XLOOKUP(L:L,MappingTable2[Month],MappingTable2[Quarters],"NIL")</f>
        <v>Q3</v>
      </c>
      <c r="Q1006" s="1"/>
    </row>
    <row r="1007" spans="1:17" x14ac:dyDescent="0.2">
      <c r="A1007" s="1">
        <v>11106</v>
      </c>
      <c r="B1007" s="1" t="s">
        <v>19</v>
      </c>
      <c r="C1007" s="1" t="s">
        <v>20</v>
      </c>
      <c r="D1007" s="1" t="s">
        <v>39</v>
      </c>
      <c r="E1007" s="3">
        <v>150</v>
      </c>
      <c r="F1007" s="3">
        <v>200</v>
      </c>
      <c r="G1007" s="13">
        <v>973</v>
      </c>
      <c r="H1007" s="3">
        <v>194600</v>
      </c>
      <c r="I1007" s="3">
        <v>48650</v>
      </c>
      <c r="J1007" s="1" t="s">
        <v>16</v>
      </c>
      <c r="K1007" s="1" t="s">
        <v>35</v>
      </c>
      <c r="L1007" s="1" t="s">
        <v>56</v>
      </c>
      <c r="M1007" s="1">
        <v>2017</v>
      </c>
      <c r="N1007" s="1" t="str">
        <f t="shared" si="15"/>
        <v>Anglophone</v>
      </c>
      <c r="O1007" s="3" t="str">
        <f>_xlfn.XLOOKUP(D:D,MappingTable[Brand],MappingTable[Brand Type], "not found")</f>
        <v>Beer</v>
      </c>
      <c r="P1007" t="str">
        <f>_xlfn.XLOOKUP(L:L,MappingTable2[Month],MappingTable2[Quarters],"NIL")</f>
        <v>Q4</v>
      </c>
      <c r="Q1007" s="1"/>
    </row>
    <row r="1008" spans="1:17" x14ac:dyDescent="0.2">
      <c r="A1008" s="1">
        <v>11107</v>
      </c>
      <c r="B1008" s="1" t="s">
        <v>25</v>
      </c>
      <c r="C1008" s="1" t="s">
        <v>26</v>
      </c>
      <c r="D1008" s="1" t="s">
        <v>43</v>
      </c>
      <c r="E1008" s="3">
        <v>80</v>
      </c>
      <c r="F1008" s="3">
        <v>150</v>
      </c>
      <c r="G1008" s="13">
        <v>786</v>
      </c>
      <c r="H1008" s="3">
        <v>117900</v>
      </c>
      <c r="I1008" s="3">
        <v>55020</v>
      </c>
      <c r="J1008" s="1" t="s">
        <v>22</v>
      </c>
      <c r="K1008" s="1" t="s">
        <v>41</v>
      </c>
      <c r="L1008" s="1" t="s">
        <v>59</v>
      </c>
      <c r="M1008" s="1">
        <v>2017</v>
      </c>
      <c r="N1008" s="1" t="str">
        <f t="shared" si="15"/>
        <v>Anglophone</v>
      </c>
      <c r="O1008" s="3" t="str">
        <f>_xlfn.XLOOKUP(D:D,MappingTable[Brand],MappingTable[Brand Type], "not found")</f>
        <v>Malt</v>
      </c>
      <c r="P1008" t="str">
        <f>_xlfn.XLOOKUP(L:L,MappingTable2[Month],MappingTable2[Quarters],"NIL")</f>
        <v>Q4</v>
      </c>
      <c r="Q1008" s="1"/>
    </row>
    <row r="1009" spans="1:17" x14ac:dyDescent="0.2">
      <c r="A1009" s="1">
        <v>11108</v>
      </c>
      <c r="B1009" s="1" t="s">
        <v>31</v>
      </c>
      <c r="C1009" s="1" t="s">
        <v>32</v>
      </c>
      <c r="D1009" s="1" t="s">
        <v>48</v>
      </c>
      <c r="E1009" s="3">
        <v>90</v>
      </c>
      <c r="F1009" s="3">
        <v>150</v>
      </c>
      <c r="G1009" s="13">
        <v>904</v>
      </c>
      <c r="H1009" s="3">
        <v>135600</v>
      </c>
      <c r="I1009" s="3">
        <v>54240</v>
      </c>
      <c r="J1009" s="1" t="s">
        <v>28</v>
      </c>
      <c r="K1009" s="1" t="s">
        <v>44</v>
      </c>
      <c r="L1009" s="1" t="s">
        <v>60</v>
      </c>
      <c r="M1009" s="1">
        <v>2018</v>
      </c>
      <c r="N1009" s="1" t="str">
        <f t="shared" si="15"/>
        <v>Francophone</v>
      </c>
      <c r="O1009" s="3" t="str">
        <f>_xlfn.XLOOKUP(D:D,MappingTable[Brand],MappingTable[Brand Type], "not found")</f>
        <v>Malt</v>
      </c>
      <c r="P1009" t="str">
        <f>_xlfn.XLOOKUP(L:L,MappingTable2[Month],MappingTable2[Quarters],"NIL")</f>
        <v>Q4</v>
      </c>
      <c r="Q1009" s="1"/>
    </row>
    <row r="1010" spans="1:17" x14ac:dyDescent="0.2">
      <c r="A1010" s="1">
        <v>11109</v>
      </c>
      <c r="B1010" s="1" t="s">
        <v>37</v>
      </c>
      <c r="C1010" s="1" t="s">
        <v>38</v>
      </c>
      <c r="D1010" s="1" t="s">
        <v>15</v>
      </c>
      <c r="E1010" s="3">
        <v>150</v>
      </c>
      <c r="F1010" s="3">
        <v>200</v>
      </c>
      <c r="G1010" s="13">
        <v>912</v>
      </c>
      <c r="H1010" s="3">
        <v>182400</v>
      </c>
      <c r="I1010" s="3">
        <v>45600</v>
      </c>
      <c r="J1010" s="1" t="s">
        <v>34</v>
      </c>
      <c r="K1010" s="1" t="s">
        <v>17</v>
      </c>
      <c r="L1010" s="1" t="s">
        <v>18</v>
      </c>
      <c r="M1010" s="1">
        <v>2018</v>
      </c>
      <c r="N1010" s="1" t="str">
        <f t="shared" si="15"/>
        <v>Francophone</v>
      </c>
      <c r="O1010" s="3" t="str">
        <f>_xlfn.XLOOKUP(D:D,MappingTable[Brand],MappingTable[Brand Type], "not found")</f>
        <v>Beer</v>
      </c>
      <c r="P1010" t="str">
        <f>_xlfn.XLOOKUP(L:L,MappingTable2[Month],MappingTable2[Quarters],"NIL")</f>
        <v>Q1</v>
      </c>
      <c r="Q1010" s="1"/>
    </row>
    <row r="1011" spans="1:17" x14ac:dyDescent="0.2">
      <c r="A1011" s="1">
        <v>11110</v>
      </c>
      <c r="B1011" s="1" t="s">
        <v>13</v>
      </c>
      <c r="C1011" s="1" t="s">
        <v>14</v>
      </c>
      <c r="D1011" s="1" t="s">
        <v>21</v>
      </c>
      <c r="E1011" s="3">
        <v>250</v>
      </c>
      <c r="F1011" s="3">
        <v>500</v>
      </c>
      <c r="G1011" s="13">
        <v>734</v>
      </c>
      <c r="H1011" s="3">
        <v>367000</v>
      </c>
      <c r="I1011" s="3">
        <v>183500</v>
      </c>
      <c r="J1011" s="1" t="s">
        <v>40</v>
      </c>
      <c r="K1011" s="1" t="s">
        <v>23</v>
      </c>
      <c r="L1011" s="1" t="s">
        <v>24</v>
      </c>
      <c r="M1011" s="1">
        <v>2018</v>
      </c>
      <c r="N1011" s="1" t="str">
        <f t="shared" si="15"/>
        <v>Francophone</v>
      </c>
      <c r="O1011" s="3" t="str">
        <f>_xlfn.XLOOKUP(D:D,MappingTable[Brand],MappingTable[Brand Type], "not found")</f>
        <v>Beer</v>
      </c>
      <c r="P1011" t="str">
        <f>_xlfn.XLOOKUP(L:L,MappingTable2[Month],MappingTable2[Quarters],"NIL")</f>
        <v>Q1</v>
      </c>
      <c r="Q1011" s="1"/>
    </row>
    <row r="1012" spans="1:17" x14ac:dyDescent="0.2">
      <c r="A1012" s="1">
        <v>11111</v>
      </c>
      <c r="B1012" s="1" t="s">
        <v>46</v>
      </c>
      <c r="C1012" s="1" t="s">
        <v>47</v>
      </c>
      <c r="D1012" s="1" t="s">
        <v>27</v>
      </c>
      <c r="E1012" s="3">
        <v>180</v>
      </c>
      <c r="F1012" s="3">
        <v>450</v>
      </c>
      <c r="G1012" s="13">
        <v>977</v>
      </c>
      <c r="H1012" s="3">
        <v>439650</v>
      </c>
      <c r="I1012" s="3">
        <v>263790</v>
      </c>
      <c r="J1012" s="1" t="s">
        <v>16</v>
      </c>
      <c r="K1012" s="1" t="s">
        <v>29</v>
      </c>
      <c r="L1012" s="1" t="s">
        <v>30</v>
      </c>
      <c r="M1012" s="1">
        <v>2017</v>
      </c>
      <c r="N1012" s="1" t="str">
        <f t="shared" si="15"/>
        <v>Anglophone</v>
      </c>
      <c r="O1012" s="3" t="str">
        <f>_xlfn.XLOOKUP(D:D,MappingTable[Brand],MappingTable[Brand Type], "not found")</f>
        <v>Beer</v>
      </c>
      <c r="P1012" t="str">
        <f>_xlfn.XLOOKUP(L:L,MappingTable2[Month],MappingTable2[Quarters],"NIL")</f>
        <v>Q1</v>
      </c>
      <c r="Q1012" s="1"/>
    </row>
    <row r="1013" spans="1:17" x14ac:dyDescent="0.2">
      <c r="A1013" s="1">
        <v>11112</v>
      </c>
      <c r="B1013" s="1" t="s">
        <v>31</v>
      </c>
      <c r="C1013" s="1" t="s">
        <v>32</v>
      </c>
      <c r="D1013" s="1" t="s">
        <v>33</v>
      </c>
      <c r="E1013" s="3">
        <v>170</v>
      </c>
      <c r="F1013" s="3">
        <v>250</v>
      </c>
      <c r="G1013" s="13">
        <v>711</v>
      </c>
      <c r="H1013" s="3">
        <v>177750</v>
      </c>
      <c r="I1013" s="3">
        <v>56880</v>
      </c>
      <c r="J1013" s="1" t="s">
        <v>22</v>
      </c>
      <c r="K1013" s="1" t="s">
        <v>35</v>
      </c>
      <c r="L1013" s="1" t="s">
        <v>36</v>
      </c>
      <c r="M1013" s="1">
        <v>2017</v>
      </c>
      <c r="N1013" s="1" t="str">
        <f t="shared" si="15"/>
        <v>Anglophone</v>
      </c>
      <c r="O1013" s="3" t="str">
        <f>_xlfn.XLOOKUP(D:D,MappingTable[Brand],MappingTable[Brand Type], "not found")</f>
        <v>Beer</v>
      </c>
      <c r="P1013" t="str">
        <f>_xlfn.XLOOKUP(L:L,MappingTable2[Month],MappingTable2[Quarters],"NIL")</f>
        <v>Q2</v>
      </c>
      <c r="Q1013" s="1"/>
    </row>
    <row r="1014" spans="1:17" x14ac:dyDescent="0.2">
      <c r="A1014" s="1">
        <v>11113</v>
      </c>
      <c r="B1014" s="1" t="s">
        <v>51</v>
      </c>
      <c r="C1014" s="1" t="s">
        <v>52</v>
      </c>
      <c r="D1014" s="1" t="s">
        <v>39</v>
      </c>
      <c r="E1014" s="3">
        <v>150</v>
      </c>
      <c r="F1014" s="3">
        <v>200</v>
      </c>
      <c r="G1014" s="13">
        <v>727</v>
      </c>
      <c r="H1014" s="3">
        <v>145400</v>
      </c>
      <c r="I1014" s="3">
        <v>36350</v>
      </c>
      <c r="J1014" s="1" t="s">
        <v>28</v>
      </c>
      <c r="K1014" s="1" t="s">
        <v>41</v>
      </c>
      <c r="L1014" s="1" t="s">
        <v>42</v>
      </c>
      <c r="M1014" s="1">
        <v>2017</v>
      </c>
      <c r="N1014" s="1" t="str">
        <f t="shared" si="15"/>
        <v>Francophone</v>
      </c>
      <c r="O1014" s="3" t="str">
        <f>_xlfn.XLOOKUP(D:D,MappingTable[Brand],MappingTable[Brand Type], "not found")</f>
        <v>Beer</v>
      </c>
      <c r="P1014" t="str">
        <f>_xlfn.XLOOKUP(L:L,MappingTable2[Month],MappingTable2[Quarters],"NIL")</f>
        <v>Q2</v>
      </c>
      <c r="Q1014" s="1"/>
    </row>
    <row r="1015" spans="1:17" x14ac:dyDescent="0.2">
      <c r="A1015" s="1">
        <v>11114</v>
      </c>
      <c r="B1015" s="1" t="s">
        <v>54</v>
      </c>
      <c r="C1015" s="1" t="s">
        <v>55</v>
      </c>
      <c r="D1015" s="1" t="s">
        <v>43</v>
      </c>
      <c r="E1015" s="3">
        <v>80</v>
      </c>
      <c r="F1015" s="3">
        <v>150</v>
      </c>
      <c r="G1015" s="13">
        <v>732</v>
      </c>
      <c r="H1015" s="3">
        <v>109800</v>
      </c>
      <c r="I1015" s="3">
        <v>51240</v>
      </c>
      <c r="J1015" s="1" t="s">
        <v>34</v>
      </c>
      <c r="K1015" s="1" t="s">
        <v>44</v>
      </c>
      <c r="L1015" s="1" t="s">
        <v>45</v>
      </c>
      <c r="M1015" s="1">
        <v>2017</v>
      </c>
      <c r="N1015" s="1" t="str">
        <f t="shared" si="15"/>
        <v>Francophone</v>
      </c>
      <c r="O1015" s="3" t="str">
        <f>_xlfn.XLOOKUP(D:D,MappingTable[Brand],MappingTable[Brand Type], "not found")</f>
        <v>Malt</v>
      </c>
      <c r="P1015" t="str">
        <f>_xlfn.XLOOKUP(L:L,MappingTable2[Month],MappingTable2[Quarters],"NIL")</f>
        <v>Q2</v>
      </c>
      <c r="Q1015" s="1"/>
    </row>
    <row r="1016" spans="1:17" x14ac:dyDescent="0.2">
      <c r="A1016" s="1">
        <v>11115</v>
      </c>
      <c r="B1016" s="1" t="s">
        <v>57</v>
      </c>
      <c r="C1016" s="1" t="s">
        <v>58</v>
      </c>
      <c r="D1016" s="1" t="s">
        <v>48</v>
      </c>
      <c r="E1016" s="3">
        <v>90</v>
      </c>
      <c r="F1016" s="3">
        <v>150</v>
      </c>
      <c r="G1016" s="13">
        <v>908</v>
      </c>
      <c r="H1016" s="3">
        <v>136200</v>
      </c>
      <c r="I1016" s="3">
        <v>54480</v>
      </c>
      <c r="J1016" s="1" t="s">
        <v>40</v>
      </c>
      <c r="K1016" s="1" t="s">
        <v>17</v>
      </c>
      <c r="L1016" s="1" t="s">
        <v>49</v>
      </c>
      <c r="M1016" s="1">
        <v>2018</v>
      </c>
      <c r="N1016" s="1" t="str">
        <f t="shared" si="15"/>
        <v>Francophone</v>
      </c>
      <c r="O1016" s="3" t="str">
        <f>_xlfn.XLOOKUP(D:D,MappingTable[Brand],MappingTable[Brand Type], "not found")</f>
        <v>Malt</v>
      </c>
      <c r="P1016" t="str">
        <f>_xlfn.XLOOKUP(L:L,MappingTable2[Month],MappingTable2[Quarters],"NIL")</f>
        <v>Q3</v>
      </c>
      <c r="Q1016" s="1"/>
    </row>
    <row r="1017" spans="1:17" x14ac:dyDescent="0.2">
      <c r="A1017" s="1">
        <v>11116</v>
      </c>
      <c r="B1017" s="1" t="s">
        <v>31</v>
      </c>
      <c r="C1017" s="1" t="s">
        <v>32</v>
      </c>
      <c r="D1017" s="1" t="s">
        <v>15</v>
      </c>
      <c r="E1017" s="3">
        <v>150</v>
      </c>
      <c r="F1017" s="3">
        <v>200</v>
      </c>
      <c r="G1017" s="13">
        <v>767</v>
      </c>
      <c r="H1017" s="3">
        <v>153400</v>
      </c>
      <c r="I1017" s="3">
        <v>38350</v>
      </c>
      <c r="J1017" s="1" t="s">
        <v>16</v>
      </c>
      <c r="K1017" s="1" t="s">
        <v>23</v>
      </c>
      <c r="L1017" s="1" t="s">
        <v>50</v>
      </c>
      <c r="M1017" s="1">
        <v>2017</v>
      </c>
      <c r="N1017" s="1" t="str">
        <f t="shared" si="15"/>
        <v>Anglophone</v>
      </c>
      <c r="O1017" s="3" t="str">
        <f>_xlfn.XLOOKUP(D:D,MappingTable[Brand],MappingTable[Brand Type], "not found")</f>
        <v>Beer</v>
      </c>
      <c r="P1017" t="str">
        <f>_xlfn.XLOOKUP(L:L,MappingTable2[Month],MappingTable2[Quarters],"NIL")</f>
        <v>Q3</v>
      </c>
      <c r="Q1017" s="1"/>
    </row>
    <row r="1018" spans="1:17" x14ac:dyDescent="0.2">
      <c r="A1018" s="1">
        <v>11117</v>
      </c>
      <c r="B1018" s="1" t="s">
        <v>61</v>
      </c>
      <c r="C1018" s="1" t="s">
        <v>62</v>
      </c>
      <c r="D1018" s="1" t="s">
        <v>21</v>
      </c>
      <c r="E1018" s="3">
        <v>250</v>
      </c>
      <c r="F1018" s="3">
        <v>500</v>
      </c>
      <c r="G1018" s="13">
        <v>847</v>
      </c>
      <c r="H1018" s="3">
        <v>423500</v>
      </c>
      <c r="I1018" s="3">
        <v>211750</v>
      </c>
      <c r="J1018" s="1" t="s">
        <v>22</v>
      </c>
      <c r="K1018" s="1" t="s">
        <v>29</v>
      </c>
      <c r="L1018" s="1" t="s">
        <v>53</v>
      </c>
      <c r="M1018" s="1">
        <v>2019</v>
      </c>
      <c r="N1018" s="1" t="str">
        <f t="shared" si="15"/>
        <v>Anglophone</v>
      </c>
      <c r="O1018" s="3" t="str">
        <f>_xlfn.XLOOKUP(D:D,MappingTable[Brand],MappingTable[Brand Type], "not found")</f>
        <v>Beer</v>
      </c>
      <c r="P1018" t="str">
        <f>_xlfn.XLOOKUP(L:L,MappingTable2[Month],MappingTable2[Quarters],"NIL")</f>
        <v>Q3</v>
      </c>
      <c r="Q1018" s="1"/>
    </row>
    <row r="1019" spans="1:17" x14ac:dyDescent="0.2">
      <c r="A1019" s="1">
        <v>11118</v>
      </c>
      <c r="B1019" s="1" t="s">
        <v>31</v>
      </c>
      <c r="C1019" s="1" t="s">
        <v>32</v>
      </c>
      <c r="D1019" s="1" t="s">
        <v>27</v>
      </c>
      <c r="E1019" s="3">
        <v>180</v>
      </c>
      <c r="F1019" s="3">
        <v>450</v>
      </c>
      <c r="G1019" s="13">
        <v>968</v>
      </c>
      <c r="H1019" s="3">
        <v>435600</v>
      </c>
      <c r="I1019" s="3">
        <v>261360</v>
      </c>
      <c r="J1019" s="1" t="s">
        <v>28</v>
      </c>
      <c r="K1019" s="1" t="s">
        <v>35</v>
      </c>
      <c r="L1019" s="1" t="s">
        <v>56</v>
      </c>
      <c r="M1019" s="1">
        <v>2019</v>
      </c>
      <c r="N1019" s="1" t="str">
        <f t="shared" si="15"/>
        <v>Francophone</v>
      </c>
      <c r="O1019" s="3" t="str">
        <f>_xlfn.XLOOKUP(D:D,MappingTable[Brand],MappingTable[Brand Type], "not found")</f>
        <v>Beer</v>
      </c>
      <c r="P1019" t="str">
        <f>_xlfn.XLOOKUP(L:L,MappingTable2[Month],MappingTable2[Quarters],"NIL")</f>
        <v>Q4</v>
      </c>
      <c r="Q1019" s="1"/>
    </row>
    <row r="1020" spans="1:17" x14ac:dyDescent="0.2">
      <c r="A1020" s="1">
        <v>11119</v>
      </c>
      <c r="B1020" s="1" t="s">
        <v>51</v>
      </c>
      <c r="C1020" s="1" t="s">
        <v>52</v>
      </c>
      <c r="D1020" s="1" t="s">
        <v>33</v>
      </c>
      <c r="E1020" s="3">
        <v>170</v>
      </c>
      <c r="F1020" s="3">
        <v>250</v>
      </c>
      <c r="G1020" s="13">
        <v>832</v>
      </c>
      <c r="H1020" s="3">
        <v>208000</v>
      </c>
      <c r="I1020" s="3">
        <v>66560</v>
      </c>
      <c r="J1020" s="1" t="s">
        <v>34</v>
      </c>
      <c r="K1020" s="1" t="s">
        <v>41</v>
      </c>
      <c r="L1020" s="1" t="s">
        <v>59</v>
      </c>
      <c r="M1020" s="1">
        <v>2018</v>
      </c>
      <c r="N1020" s="1" t="str">
        <f t="shared" si="15"/>
        <v>Francophone</v>
      </c>
      <c r="O1020" s="3" t="str">
        <f>_xlfn.XLOOKUP(D:D,MappingTable[Brand],MappingTable[Brand Type], "not found")</f>
        <v>Beer</v>
      </c>
      <c r="P1020" t="str">
        <f>_xlfn.XLOOKUP(L:L,MappingTable2[Month],MappingTable2[Quarters],"NIL")</f>
        <v>Q4</v>
      </c>
      <c r="Q1020" s="1"/>
    </row>
    <row r="1021" spans="1:17" x14ac:dyDescent="0.2">
      <c r="A1021" s="1">
        <v>11120</v>
      </c>
      <c r="B1021" s="1" t="s">
        <v>31</v>
      </c>
      <c r="C1021" s="1" t="s">
        <v>32</v>
      </c>
      <c r="D1021" s="1" t="s">
        <v>39</v>
      </c>
      <c r="E1021" s="3">
        <v>150</v>
      </c>
      <c r="F1021" s="3">
        <v>200</v>
      </c>
      <c r="G1021" s="13">
        <v>763</v>
      </c>
      <c r="H1021" s="3">
        <v>152600</v>
      </c>
      <c r="I1021" s="3">
        <v>38150</v>
      </c>
      <c r="J1021" s="1" t="s">
        <v>40</v>
      </c>
      <c r="K1021" s="1" t="s">
        <v>44</v>
      </c>
      <c r="L1021" s="1" t="s">
        <v>60</v>
      </c>
      <c r="M1021" s="1">
        <v>2018</v>
      </c>
      <c r="N1021" s="1" t="str">
        <f t="shared" si="15"/>
        <v>Francophone</v>
      </c>
      <c r="O1021" s="3" t="str">
        <f>_xlfn.XLOOKUP(D:D,MappingTable[Brand],MappingTable[Brand Type], "not found")</f>
        <v>Beer</v>
      </c>
      <c r="P1021" t="str">
        <f>_xlfn.XLOOKUP(L:L,MappingTable2[Month],MappingTable2[Quarters],"NIL")</f>
        <v>Q4</v>
      </c>
      <c r="Q1021" s="1"/>
    </row>
    <row r="1022" spans="1:17" x14ac:dyDescent="0.2">
      <c r="A1022" s="1">
        <v>11121</v>
      </c>
      <c r="B1022" s="1" t="s">
        <v>57</v>
      </c>
      <c r="C1022" s="1" t="s">
        <v>58</v>
      </c>
      <c r="D1022" s="1" t="s">
        <v>43</v>
      </c>
      <c r="E1022" s="3">
        <v>80</v>
      </c>
      <c r="F1022" s="3">
        <v>150</v>
      </c>
      <c r="G1022" s="13">
        <v>842</v>
      </c>
      <c r="H1022" s="3">
        <v>126300</v>
      </c>
      <c r="I1022" s="3">
        <v>58940</v>
      </c>
      <c r="J1022" s="1" t="s">
        <v>16</v>
      </c>
      <c r="K1022" s="1" t="s">
        <v>17</v>
      </c>
      <c r="L1022" s="1" t="s">
        <v>18</v>
      </c>
      <c r="M1022" s="1">
        <v>2017</v>
      </c>
      <c r="N1022" s="1" t="str">
        <f t="shared" si="15"/>
        <v>Anglophone</v>
      </c>
      <c r="O1022" s="3" t="str">
        <f>_xlfn.XLOOKUP(D:D,MappingTable[Brand],MappingTable[Brand Type], "not found")</f>
        <v>Malt</v>
      </c>
      <c r="P1022" t="str">
        <f>_xlfn.XLOOKUP(L:L,MappingTable2[Month],MappingTable2[Quarters],"NIL")</f>
        <v>Q1</v>
      </c>
      <c r="Q1022" s="1"/>
    </row>
    <row r="1023" spans="1:17" x14ac:dyDescent="0.2">
      <c r="A1023" s="1">
        <v>11122</v>
      </c>
      <c r="B1023" s="1" t="s">
        <v>63</v>
      </c>
      <c r="C1023" s="1" t="s">
        <v>64</v>
      </c>
      <c r="D1023" s="1" t="s">
        <v>48</v>
      </c>
      <c r="E1023" s="3">
        <v>90</v>
      </c>
      <c r="F1023" s="3">
        <v>150</v>
      </c>
      <c r="G1023" s="13">
        <v>848</v>
      </c>
      <c r="H1023" s="3">
        <v>127200</v>
      </c>
      <c r="I1023" s="3">
        <v>50880</v>
      </c>
      <c r="J1023" s="1" t="s">
        <v>22</v>
      </c>
      <c r="K1023" s="1" t="s">
        <v>23</v>
      </c>
      <c r="L1023" s="1" t="s">
        <v>24</v>
      </c>
      <c r="M1023" s="1">
        <v>2018</v>
      </c>
      <c r="N1023" s="1" t="str">
        <f t="shared" si="15"/>
        <v>Anglophone</v>
      </c>
      <c r="O1023" s="3" t="str">
        <f>_xlfn.XLOOKUP(D:D,MappingTable[Brand],MappingTable[Brand Type], "not found")</f>
        <v>Malt</v>
      </c>
      <c r="P1023" t="str">
        <f>_xlfn.XLOOKUP(L:L,MappingTable2[Month],MappingTable2[Quarters],"NIL")</f>
        <v>Q1</v>
      </c>
      <c r="Q1023" s="1"/>
    </row>
    <row r="1024" spans="1:17" x14ac:dyDescent="0.2">
      <c r="A1024" s="1">
        <v>11123</v>
      </c>
      <c r="B1024" s="1" t="s">
        <v>61</v>
      </c>
      <c r="C1024" s="1" t="s">
        <v>62</v>
      </c>
      <c r="D1024" s="1" t="s">
        <v>15</v>
      </c>
      <c r="E1024" s="3">
        <v>150</v>
      </c>
      <c r="F1024" s="3">
        <v>200</v>
      </c>
      <c r="G1024" s="13">
        <v>988</v>
      </c>
      <c r="H1024" s="3">
        <v>197600</v>
      </c>
      <c r="I1024" s="3">
        <v>49400</v>
      </c>
      <c r="J1024" s="1" t="s">
        <v>28</v>
      </c>
      <c r="K1024" s="1" t="s">
        <v>29</v>
      </c>
      <c r="L1024" s="1" t="s">
        <v>30</v>
      </c>
      <c r="M1024" s="1">
        <v>2018</v>
      </c>
      <c r="N1024" s="1" t="str">
        <f t="shared" si="15"/>
        <v>Francophone</v>
      </c>
      <c r="O1024" s="3" t="str">
        <f>_xlfn.XLOOKUP(D:D,MappingTable[Brand],MappingTable[Brand Type], "not found")</f>
        <v>Beer</v>
      </c>
      <c r="P1024" t="str">
        <f>_xlfn.XLOOKUP(L:L,MappingTable2[Month],MappingTable2[Quarters],"NIL")</f>
        <v>Q1</v>
      </c>
      <c r="Q1024" s="1"/>
    </row>
    <row r="1025" spans="1:17" x14ac:dyDescent="0.2">
      <c r="A1025" s="1">
        <v>11124</v>
      </c>
      <c r="B1025" s="1" t="s">
        <v>57</v>
      </c>
      <c r="C1025" s="1" t="s">
        <v>58</v>
      </c>
      <c r="D1025" s="1" t="s">
        <v>21</v>
      </c>
      <c r="E1025" s="3">
        <v>250</v>
      </c>
      <c r="F1025" s="3">
        <v>500</v>
      </c>
      <c r="G1025" s="13">
        <v>876</v>
      </c>
      <c r="H1025" s="3">
        <v>438000</v>
      </c>
      <c r="I1025" s="3">
        <v>219000</v>
      </c>
      <c r="J1025" s="1" t="s">
        <v>34</v>
      </c>
      <c r="K1025" s="1" t="s">
        <v>35</v>
      </c>
      <c r="L1025" s="1" t="s">
        <v>36</v>
      </c>
      <c r="M1025" s="1">
        <v>2018</v>
      </c>
      <c r="N1025" s="1" t="str">
        <f t="shared" si="15"/>
        <v>Francophone</v>
      </c>
      <c r="O1025" s="3" t="str">
        <f>_xlfn.XLOOKUP(D:D,MappingTable[Brand],MappingTable[Brand Type], "not found")</f>
        <v>Beer</v>
      </c>
      <c r="P1025" t="str">
        <f>_xlfn.XLOOKUP(L:L,MappingTable2[Month],MappingTable2[Quarters],"NIL")</f>
        <v>Q2</v>
      </c>
      <c r="Q1025" s="1"/>
    </row>
    <row r="1026" spans="1:17" x14ac:dyDescent="0.2">
      <c r="A1026" s="1">
        <v>11125</v>
      </c>
      <c r="B1026" s="1" t="s">
        <v>19</v>
      </c>
      <c r="C1026" s="1" t="s">
        <v>20</v>
      </c>
      <c r="D1026" s="1" t="s">
        <v>27</v>
      </c>
      <c r="E1026" s="3">
        <v>180</v>
      </c>
      <c r="F1026" s="3">
        <v>450</v>
      </c>
      <c r="G1026" s="13">
        <v>900</v>
      </c>
      <c r="H1026" s="3">
        <v>405000</v>
      </c>
      <c r="I1026" s="3">
        <v>243000</v>
      </c>
      <c r="J1026" s="1" t="s">
        <v>40</v>
      </c>
      <c r="K1026" s="1" t="s">
        <v>41</v>
      </c>
      <c r="L1026" s="1" t="s">
        <v>42</v>
      </c>
      <c r="M1026" s="1">
        <v>2019</v>
      </c>
      <c r="N1026" s="1" t="str">
        <f t="shared" ref="N1026:N1048" si="16">IF(ISNUMBER(MATCH(J1026,$S$7:$S$8,0)), "Anglophone","Francophone")</f>
        <v>Francophone</v>
      </c>
      <c r="O1026" s="3" t="str">
        <f>_xlfn.XLOOKUP(D:D,MappingTable[Brand],MappingTable[Brand Type], "not found")</f>
        <v>Beer</v>
      </c>
      <c r="P1026" t="str">
        <f>_xlfn.XLOOKUP(L:L,MappingTable2[Month],MappingTable2[Quarters],"NIL")</f>
        <v>Q2</v>
      </c>
      <c r="Q1026" s="1"/>
    </row>
    <row r="1027" spans="1:17" x14ac:dyDescent="0.2">
      <c r="A1027" s="1">
        <v>11126</v>
      </c>
      <c r="B1027" s="1" t="s">
        <v>61</v>
      </c>
      <c r="C1027" s="1" t="s">
        <v>62</v>
      </c>
      <c r="D1027" s="1" t="s">
        <v>33</v>
      </c>
      <c r="E1027" s="3">
        <v>170</v>
      </c>
      <c r="F1027" s="3">
        <v>250</v>
      </c>
      <c r="G1027" s="13">
        <v>938</v>
      </c>
      <c r="H1027" s="3">
        <v>234500</v>
      </c>
      <c r="I1027" s="3">
        <v>75040</v>
      </c>
      <c r="J1027" s="1" t="s">
        <v>16</v>
      </c>
      <c r="K1027" s="1" t="s">
        <v>44</v>
      </c>
      <c r="L1027" s="1" t="s">
        <v>45</v>
      </c>
      <c r="M1027" s="1">
        <v>2019</v>
      </c>
      <c r="N1027" s="1" t="str">
        <f t="shared" si="16"/>
        <v>Anglophone</v>
      </c>
      <c r="O1027" s="3" t="str">
        <f>_xlfn.XLOOKUP(D:D,MappingTable[Brand],MappingTable[Brand Type], "not found")</f>
        <v>Beer</v>
      </c>
      <c r="P1027" t="str">
        <f>_xlfn.XLOOKUP(L:L,MappingTable2[Month],MappingTable2[Quarters],"NIL")</f>
        <v>Q2</v>
      </c>
      <c r="Q1027" s="1"/>
    </row>
    <row r="1028" spans="1:17" x14ac:dyDescent="0.2">
      <c r="A1028" s="1">
        <v>11127</v>
      </c>
      <c r="B1028" s="1" t="s">
        <v>31</v>
      </c>
      <c r="C1028" s="1" t="s">
        <v>32</v>
      </c>
      <c r="D1028" s="1" t="s">
        <v>39</v>
      </c>
      <c r="E1028" s="3">
        <v>150</v>
      </c>
      <c r="F1028" s="3">
        <v>200</v>
      </c>
      <c r="G1028" s="13">
        <v>731</v>
      </c>
      <c r="H1028" s="3">
        <v>146200</v>
      </c>
      <c r="I1028" s="3">
        <v>36550</v>
      </c>
      <c r="J1028" s="1" t="s">
        <v>22</v>
      </c>
      <c r="K1028" s="1" t="s">
        <v>17</v>
      </c>
      <c r="L1028" s="1" t="s">
        <v>49</v>
      </c>
      <c r="M1028" s="1">
        <v>2018</v>
      </c>
      <c r="N1028" s="1" t="str">
        <f t="shared" si="16"/>
        <v>Anglophone</v>
      </c>
      <c r="O1028" s="3" t="str">
        <f>_xlfn.XLOOKUP(D:D,MappingTable[Brand],MappingTable[Brand Type], "not found")</f>
        <v>Beer</v>
      </c>
      <c r="P1028" t="str">
        <f>_xlfn.XLOOKUP(L:L,MappingTable2[Month],MappingTable2[Quarters],"NIL")</f>
        <v>Q3</v>
      </c>
      <c r="Q1028" s="1"/>
    </row>
    <row r="1029" spans="1:17" x14ac:dyDescent="0.2">
      <c r="A1029" s="1">
        <v>11128</v>
      </c>
      <c r="B1029" s="1" t="s">
        <v>25</v>
      </c>
      <c r="C1029" s="1" t="s">
        <v>26</v>
      </c>
      <c r="D1029" s="1" t="s">
        <v>43</v>
      </c>
      <c r="E1029" s="3">
        <v>80</v>
      </c>
      <c r="F1029" s="3">
        <v>150</v>
      </c>
      <c r="G1029" s="13">
        <v>779</v>
      </c>
      <c r="H1029" s="3">
        <v>116850</v>
      </c>
      <c r="I1029" s="3">
        <v>54530</v>
      </c>
      <c r="J1029" s="1" t="s">
        <v>28</v>
      </c>
      <c r="K1029" s="1" t="s">
        <v>23</v>
      </c>
      <c r="L1029" s="1" t="s">
        <v>50</v>
      </c>
      <c r="M1029" s="1">
        <v>2017</v>
      </c>
      <c r="N1029" s="1" t="str">
        <f t="shared" si="16"/>
        <v>Francophone</v>
      </c>
      <c r="O1029" s="3" t="str">
        <f>_xlfn.XLOOKUP(D:D,MappingTable[Brand],MappingTable[Brand Type], "not found")</f>
        <v>Malt</v>
      </c>
      <c r="P1029" t="str">
        <f>_xlfn.XLOOKUP(L:L,MappingTable2[Month],MappingTable2[Quarters],"NIL")</f>
        <v>Q3</v>
      </c>
      <c r="Q1029" s="1"/>
    </row>
    <row r="1030" spans="1:17" x14ac:dyDescent="0.2">
      <c r="A1030" s="1">
        <v>11129</v>
      </c>
      <c r="B1030" s="1" t="s">
        <v>13</v>
      </c>
      <c r="C1030" s="1" t="s">
        <v>14</v>
      </c>
      <c r="D1030" s="1" t="s">
        <v>48</v>
      </c>
      <c r="E1030" s="3">
        <v>90</v>
      </c>
      <c r="F1030" s="3">
        <v>150</v>
      </c>
      <c r="G1030" s="13">
        <v>900</v>
      </c>
      <c r="H1030" s="3">
        <v>135000</v>
      </c>
      <c r="I1030" s="3">
        <v>54000</v>
      </c>
      <c r="J1030" s="1" t="s">
        <v>34</v>
      </c>
      <c r="K1030" s="1" t="s">
        <v>29</v>
      </c>
      <c r="L1030" s="1" t="s">
        <v>53</v>
      </c>
      <c r="M1030" s="1">
        <v>2019</v>
      </c>
      <c r="N1030" s="1" t="str">
        <f t="shared" si="16"/>
        <v>Francophone</v>
      </c>
      <c r="O1030" s="3" t="str">
        <f>_xlfn.XLOOKUP(D:D,MappingTable[Brand],MappingTable[Brand Type], "not found")</f>
        <v>Malt</v>
      </c>
      <c r="P1030" t="str">
        <f>_xlfn.XLOOKUP(L:L,MappingTable2[Month],MappingTable2[Quarters],"NIL")</f>
        <v>Q3</v>
      </c>
      <c r="Q1030" s="1"/>
    </row>
    <row r="1031" spans="1:17" x14ac:dyDescent="0.2">
      <c r="A1031" s="1">
        <v>11130</v>
      </c>
      <c r="B1031" s="1" t="s">
        <v>37</v>
      </c>
      <c r="C1031" s="1" t="s">
        <v>38</v>
      </c>
      <c r="D1031" s="1" t="s">
        <v>15</v>
      </c>
      <c r="E1031" s="3">
        <v>150</v>
      </c>
      <c r="F1031" s="3">
        <v>200</v>
      </c>
      <c r="G1031" s="13">
        <v>953</v>
      </c>
      <c r="H1031" s="3">
        <v>190600</v>
      </c>
      <c r="I1031" s="3">
        <v>47650</v>
      </c>
      <c r="J1031" s="1" t="s">
        <v>40</v>
      </c>
      <c r="K1031" s="1" t="s">
        <v>35</v>
      </c>
      <c r="L1031" s="1" t="s">
        <v>56</v>
      </c>
      <c r="M1031" s="1">
        <v>2017</v>
      </c>
      <c r="N1031" s="1" t="str">
        <f t="shared" si="16"/>
        <v>Francophone</v>
      </c>
      <c r="O1031" s="3" t="str">
        <f>_xlfn.XLOOKUP(D:D,MappingTable[Brand],MappingTable[Brand Type], "not found")</f>
        <v>Beer</v>
      </c>
      <c r="P1031" t="str">
        <f>_xlfn.XLOOKUP(L:L,MappingTable2[Month],MappingTable2[Quarters],"NIL")</f>
        <v>Q4</v>
      </c>
      <c r="Q1031" s="1"/>
    </row>
    <row r="1032" spans="1:17" x14ac:dyDescent="0.2">
      <c r="A1032" s="1">
        <v>11131</v>
      </c>
      <c r="B1032" s="1" t="s">
        <v>54</v>
      </c>
      <c r="C1032" s="1" t="s">
        <v>55</v>
      </c>
      <c r="D1032" s="1" t="s">
        <v>21</v>
      </c>
      <c r="E1032" s="3">
        <v>250</v>
      </c>
      <c r="F1032" s="3">
        <v>500</v>
      </c>
      <c r="G1032" s="13">
        <v>700</v>
      </c>
      <c r="H1032" s="3">
        <v>350000</v>
      </c>
      <c r="I1032" s="3">
        <v>175000</v>
      </c>
      <c r="J1032" s="1" t="s">
        <v>16</v>
      </c>
      <c r="K1032" s="1" t="s">
        <v>41</v>
      </c>
      <c r="L1032" s="1" t="s">
        <v>59</v>
      </c>
      <c r="M1032" s="1">
        <v>2019</v>
      </c>
      <c r="N1032" s="1" t="str">
        <f t="shared" si="16"/>
        <v>Anglophone</v>
      </c>
      <c r="O1032" s="3" t="str">
        <f>_xlfn.XLOOKUP(D:D,MappingTable[Brand],MappingTable[Brand Type], "not found")</f>
        <v>Beer</v>
      </c>
      <c r="P1032" t="str">
        <f>_xlfn.XLOOKUP(L:L,MappingTable2[Month],MappingTable2[Quarters],"NIL")</f>
        <v>Q4</v>
      </c>
      <c r="Q1032" s="1"/>
    </row>
    <row r="1033" spans="1:17" x14ac:dyDescent="0.2">
      <c r="A1033" s="1">
        <v>11132</v>
      </c>
      <c r="B1033" s="1" t="s">
        <v>19</v>
      </c>
      <c r="C1033" s="1" t="s">
        <v>20</v>
      </c>
      <c r="D1033" s="1" t="s">
        <v>27</v>
      </c>
      <c r="E1033" s="3">
        <v>180</v>
      </c>
      <c r="F1033" s="3">
        <v>450</v>
      </c>
      <c r="G1033" s="13">
        <v>721</v>
      </c>
      <c r="H1033" s="3">
        <v>324450</v>
      </c>
      <c r="I1033" s="3">
        <v>194670</v>
      </c>
      <c r="J1033" s="1" t="s">
        <v>22</v>
      </c>
      <c r="K1033" s="1" t="s">
        <v>44</v>
      </c>
      <c r="L1033" s="1" t="s">
        <v>60</v>
      </c>
      <c r="M1033" s="1">
        <v>2018</v>
      </c>
      <c r="N1033" s="1" t="str">
        <f t="shared" si="16"/>
        <v>Anglophone</v>
      </c>
      <c r="O1033" s="3" t="str">
        <f>_xlfn.XLOOKUP(D:D,MappingTable[Brand],MappingTable[Brand Type], "not found")</f>
        <v>Beer</v>
      </c>
      <c r="P1033" t="str">
        <f>_xlfn.XLOOKUP(L:L,MappingTable2[Month],MappingTable2[Quarters],"NIL")</f>
        <v>Q4</v>
      </c>
      <c r="Q1033" s="1"/>
    </row>
    <row r="1034" spans="1:17" x14ac:dyDescent="0.2">
      <c r="A1034" s="1">
        <v>11133</v>
      </c>
      <c r="B1034" s="1" t="s">
        <v>19</v>
      </c>
      <c r="C1034" s="1" t="s">
        <v>20</v>
      </c>
      <c r="D1034" s="1" t="s">
        <v>33</v>
      </c>
      <c r="E1034" s="3">
        <v>170</v>
      </c>
      <c r="F1034" s="3">
        <v>250</v>
      </c>
      <c r="G1034" s="13">
        <v>972</v>
      </c>
      <c r="H1034" s="3">
        <v>243000</v>
      </c>
      <c r="I1034" s="3">
        <v>77760</v>
      </c>
      <c r="J1034" s="1" t="s">
        <v>28</v>
      </c>
      <c r="K1034" s="1" t="s">
        <v>17</v>
      </c>
      <c r="L1034" s="1" t="s">
        <v>18</v>
      </c>
      <c r="M1034" s="1">
        <v>2019</v>
      </c>
      <c r="N1034" s="1" t="str">
        <f t="shared" si="16"/>
        <v>Francophone</v>
      </c>
      <c r="O1034" s="3" t="str">
        <f>_xlfn.XLOOKUP(D:D,MappingTable[Brand],MappingTable[Brand Type], "not found")</f>
        <v>Beer</v>
      </c>
      <c r="P1034" t="str">
        <f>_xlfn.XLOOKUP(L:L,MappingTable2[Month],MappingTable2[Quarters],"NIL")</f>
        <v>Q1</v>
      </c>
      <c r="Q1034" s="1"/>
    </row>
    <row r="1035" spans="1:17" x14ac:dyDescent="0.2">
      <c r="A1035" s="1">
        <v>11134</v>
      </c>
      <c r="B1035" s="1" t="s">
        <v>63</v>
      </c>
      <c r="C1035" s="1" t="s">
        <v>64</v>
      </c>
      <c r="D1035" s="1" t="s">
        <v>39</v>
      </c>
      <c r="E1035" s="3">
        <v>150</v>
      </c>
      <c r="F1035" s="3">
        <v>200</v>
      </c>
      <c r="G1035" s="13">
        <v>860</v>
      </c>
      <c r="H1035" s="3">
        <v>172000</v>
      </c>
      <c r="I1035" s="3">
        <v>43000</v>
      </c>
      <c r="J1035" s="1" t="s">
        <v>34</v>
      </c>
      <c r="K1035" s="1" t="s">
        <v>23</v>
      </c>
      <c r="L1035" s="1" t="s">
        <v>24</v>
      </c>
      <c r="M1035" s="1">
        <v>2018</v>
      </c>
      <c r="N1035" s="1" t="str">
        <f t="shared" si="16"/>
        <v>Francophone</v>
      </c>
      <c r="O1035" s="3" t="str">
        <f>_xlfn.XLOOKUP(D:D,MappingTable[Brand],MappingTable[Brand Type], "not found")</f>
        <v>Beer</v>
      </c>
      <c r="P1035" t="str">
        <f>_xlfn.XLOOKUP(L:L,MappingTable2[Month],MappingTable2[Quarters],"NIL")</f>
        <v>Q1</v>
      </c>
      <c r="Q1035" s="1"/>
    </row>
    <row r="1036" spans="1:17" x14ac:dyDescent="0.2">
      <c r="A1036" s="1">
        <v>11135</v>
      </c>
      <c r="B1036" s="1" t="s">
        <v>31</v>
      </c>
      <c r="C1036" s="1" t="s">
        <v>32</v>
      </c>
      <c r="D1036" s="1" t="s">
        <v>43</v>
      </c>
      <c r="E1036" s="3">
        <v>80</v>
      </c>
      <c r="F1036" s="3">
        <v>150</v>
      </c>
      <c r="G1036" s="13">
        <v>811</v>
      </c>
      <c r="H1036" s="3">
        <v>121650</v>
      </c>
      <c r="I1036" s="3">
        <v>56770</v>
      </c>
      <c r="J1036" s="1" t="s">
        <v>40</v>
      </c>
      <c r="K1036" s="1" t="s">
        <v>29</v>
      </c>
      <c r="L1036" s="1" t="s">
        <v>30</v>
      </c>
      <c r="M1036" s="1">
        <v>2019</v>
      </c>
      <c r="N1036" s="1" t="str">
        <f t="shared" si="16"/>
        <v>Francophone</v>
      </c>
      <c r="O1036" s="3" t="str">
        <f>_xlfn.XLOOKUP(D:D,MappingTable[Brand],MappingTable[Brand Type], "not found")</f>
        <v>Malt</v>
      </c>
      <c r="P1036" t="str">
        <f>_xlfn.XLOOKUP(L:L,MappingTable2[Month],MappingTable2[Quarters],"NIL")</f>
        <v>Q1</v>
      </c>
      <c r="Q1036" s="1"/>
    </row>
    <row r="1037" spans="1:17" x14ac:dyDescent="0.2">
      <c r="A1037" s="1">
        <v>11136</v>
      </c>
      <c r="B1037" s="1" t="s">
        <v>51</v>
      </c>
      <c r="C1037" s="1" t="s">
        <v>52</v>
      </c>
      <c r="D1037" s="1" t="s">
        <v>48</v>
      </c>
      <c r="E1037" s="3">
        <v>90</v>
      </c>
      <c r="F1037" s="3">
        <v>150</v>
      </c>
      <c r="G1037" s="13">
        <v>963</v>
      </c>
      <c r="H1037" s="3">
        <v>144450</v>
      </c>
      <c r="I1037" s="3">
        <v>57780</v>
      </c>
      <c r="J1037" s="1" t="s">
        <v>16</v>
      </c>
      <c r="K1037" s="1" t="s">
        <v>35</v>
      </c>
      <c r="L1037" s="1" t="s">
        <v>36</v>
      </c>
      <c r="M1037" s="1">
        <v>2019</v>
      </c>
      <c r="N1037" s="1" t="str">
        <f t="shared" si="16"/>
        <v>Anglophone</v>
      </c>
      <c r="O1037" s="3" t="str">
        <f>_xlfn.XLOOKUP(D:D,MappingTable[Brand],MappingTable[Brand Type], "not found")</f>
        <v>Malt</v>
      </c>
      <c r="P1037" t="str">
        <f>_xlfn.XLOOKUP(L:L,MappingTable2[Month],MappingTable2[Quarters],"NIL")</f>
        <v>Q2</v>
      </c>
      <c r="Q1037" s="1"/>
    </row>
    <row r="1038" spans="1:17" x14ac:dyDescent="0.2">
      <c r="A1038" s="1">
        <v>11137</v>
      </c>
      <c r="B1038" s="1" t="s">
        <v>63</v>
      </c>
      <c r="C1038" s="1" t="s">
        <v>64</v>
      </c>
      <c r="D1038" s="1" t="s">
        <v>15</v>
      </c>
      <c r="E1038" s="3">
        <v>150</v>
      </c>
      <c r="F1038" s="3">
        <v>200</v>
      </c>
      <c r="G1038" s="13">
        <v>974</v>
      </c>
      <c r="H1038" s="3">
        <v>194800</v>
      </c>
      <c r="I1038" s="3">
        <v>48700</v>
      </c>
      <c r="J1038" s="1" t="s">
        <v>22</v>
      </c>
      <c r="K1038" s="1" t="s">
        <v>41</v>
      </c>
      <c r="L1038" s="1" t="s">
        <v>42</v>
      </c>
      <c r="M1038" s="1">
        <v>2017</v>
      </c>
      <c r="N1038" s="1" t="str">
        <f t="shared" si="16"/>
        <v>Anglophone</v>
      </c>
      <c r="O1038" s="3" t="str">
        <f>_xlfn.XLOOKUP(D:D,MappingTable[Brand],MappingTable[Brand Type], "not found")</f>
        <v>Beer</v>
      </c>
      <c r="P1038" t="str">
        <f>_xlfn.XLOOKUP(L:L,MappingTable2[Month],MappingTable2[Quarters],"NIL")</f>
        <v>Q2</v>
      </c>
      <c r="Q1038" s="1"/>
    </row>
    <row r="1039" spans="1:17" x14ac:dyDescent="0.2">
      <c r="A1039" s="1">
        <v>11138</v>
      </c>
      <c r="B1039" s="1" t="s">
        <v>25</v>
      </c>
      <c r="C1039" s="1" t="s">
        <v>26</v>
      </c>
      <c r="D1039" s="1" t="s">
        <v>21</v>
      </c>
      <c r="E1039" s="3">
        <v>250</v>
      </c>
      <c r="F1039" s="3">
        <v>500</v>
      </c>
      <c r="G1039" s="13">
        <v>839</v>
      </c>
      <c r="H1039" s="3">
        <v>419500</v>
      </c>
      <c r="I1039" s="3">
        <v>209750</v>
      </c>
      <c r="J1039" s="1" t="s">
        <v>28</v>
      </c>
      <c r="K1039" s="1" t="s">
        <v>44</v>
      </c>
      <c r="L1039" s="1" t="s">
        <v>45</v>
      </c>
      <c r="M1039" s="1">
        <v>2019</v>
      </c>
      <c r="N1039" s="1" t="str">
        <f t="shared" si="16"/>
        <v>Francophone</v>
      </c>
      <c r="O1039" s="3" t="str">
        <f>_xlfn.XLOOKUP(D:D,MappingTable[Brand],MappingTable[Brand Type], "not found")</f>
        <v>Beer</v>
      </c>
      <c r="P1039" t="str">
        <f>_xlfn.XLOOKUP(L:L,MappingTable2[Month],MappingTable2[Quarters],"NIL")</f>
        <v>Q2</v>
      </c>
      <c r="Q1039" s="1"/>
    </row>
    <row r="1040" spans="1:17" x14ac:dyDescent="0.2">
      <c r="A1040" s="1">
        <v>11139</v>
      </c>
      <c r="B1040" s="1" t="s">
        <v>19</v>
      </c>
      <c r="C1040" s="1" t="s">
        <v>20</v>
      </c>
      <c r="D1040" s="1" t="s">
        <v>27</v>
      </c>
      <c r="E1040" s="3">
        <v>180</v>
      </c>
      <c r="F1040" s="3">
        <v>450</v>
      </c>
      <c r="G1040" s="13">
        <v>907</v>
      </c>
      <c r="H1040" s="3">
        <v>408150</v>
      </c>
      <c r="I1040" s="3">
        <v>244890</v>
      </c>
      <c r="J1040" s="1" t="s">
        <v>34</v>
      </c>
      <c r="K1040" s="1" t="s">
        <v>17</v>
      </c>
      <c r="L1040" s="1" t="s">
        <v>49</v>
      </c>
      <c r="M1040" s="1">
        <v>2017</v>
      </c>
      <c r="N1040" s="1" t="str">
        <f t="shared" si="16"/>
        <v>Francophone</v>
      </c>
      <c r="O1040" s="3" t="str">
        <f>_xlfn.XLOOKUP(D:D,MappingTable[Brand],MappingTable[Brand Type], "not found")</f>
        <v>Beer</v>
      </c>
      <c r="P1040" t="str">
        <f>_xlfn.XLOOKUP(L:L,MappingTable2[Month],MappingTable2[Quarters],"NIL")</f>
        <v>Q3</v>
      </c>
      <c r="Q1040" s="1"/>
    </row>
    <row r="1041" spans="1:17" x14ac:dyDescent="0.2">
      <c r="A1041" s="1">
        <v>11140</v>
      </c>
      <c r="B1041" s="1" t="s">
        <v>25</v>
      </c>
      <c r="C1041" s="1" t="s">
        <v>26</v>
      </c>
      <c r="D1041" s="1" t="s">
        <v>33</v>
      </c>
      <c r="E1041" s="3">
        <v>170</v>
      </c>
      <c r="F1041" s="3">
        <v>250</v>
      </c>
      <c r="G1041" s="13">
        <v>949</v>
      </c>
      <c r="H1041" s="3">
        <v>237250</v>
      </c>
      <c r="I1041" s="3">
        <v>75920</v>
      </c>
      <c r="J1041" s="1" t="s">
        <v>40</v>
      </c>
      <c r="K1041" s="1" t="s">
        <v>23</v>
      </c>
      <c r="L1041" s="1" t="s">
        <v>50</v>
      </c>
      <c r="M1041" s="1">
        <v>2017</v>
      </c>
      <c r="N1041" s="1" t="str">
        <f t="shared" si="16"/>
        <v>Francophone</v>
      </c>
      <c r="O1041" s="3" t="str">
        <f>_xlfn.XLOOKUP(D:D,MappingTable[Brand],MappingTable[Brand Type], "not found")</f>
        <v>Beer</v>
      </c>
      <c r="P1041" t="str">
        <f>_xlfn.XLOOKUP(L:L,MappingTable2[Month],MappingTable2[Quarters],"NIL")</f>
        <v>Q3</v>
      </c>
      <c r="Q1041" s="1"/>
    </row>
    <row r="1042" spans="1:17" x14ac:dyDescent="0.2">
      <c r="A1042" s="1">
        <v>11141</v>
      </c>
      <c r="B1042" s="1" t="s">
        <v>46</v>
      </c>
      <c r="C1042" s="1" t="s">
        <v>47</v>
      </c>
      <c r="D1042" s="1" t="s">
        <v>39</v>
      </c>
      <c r="E1042" s="3">
        <v>150</v>
      </c>
      <c r="F1042" s="3">
        <v>200</v>
      </c>
      <c r="G1042" s="13">
        <v>903</v>
      </c>
      <c r="H1042" s="3">
        <v>180600</v>
      </c>
      <c r="I1042" s="3">
        <v>45150</v>
      </c>
      <c r="J1042" s="1" t="s">
        <v>16</v>
      </c>
      <c r="K1042" s="1" t="s">
        <v>29</v>
      </c>
      <c r="L1042" s="1" t="s">
        <v>53</v>
      </c>
      <c r="M1042" s="1">
        <v>2019</v>
      </c>
      <c r="N1042" s="1" t="str">
        <f t="shared" si="16"/>
        <v>Anglophone</v>
      </c>
      <c r="O1042" s="3" t="str">
        <f>_xlfn.XLOOKUP(D:D,MappingTable[Brand],MappingTable[Brand Type], "not found")</f>
        <v>Beer</v>
      </c>
      <c r="P1042" t="str">
        <f>_xlfn.XLOOKUP(L:L,MappingTable2[Month],MappingTable2[Quarters],"NIL")</f>
        <v>Q3</v>
      </c>
      <c r="Q1042" s="1"/>
    </row>
    <row r="1043" spans="1:17" x14ac:dyDescent="0.2">
      <c r="A1043" s="1">
        <v>11142</v>
      </c>
      <c r="B1043" s="1" t="s">
        <v>37</v>
      </c>
      <c r="C1043" s="1" t="s">
        <v>38</v>
      </c>
      <c r="D1043" s="1" t="s">
        <v>43</v>
      </c>
      <c r="E1043" s="3">
        <v>80</v>
      </c>
      <c r="F1043" s="3">
        <v>150</v>
      </c>
      <c r="G1043" s="13">
        <v>740</v>
      </c>
      <c r="H1043" s="3">
        <v>111000</v>
      </c>
      <c r="I1043" s="3">
        <v>51800</v>
      </c>
      <c r="J1043" s="1" t="s">
        <v>22</v>
      </c>
      <c r="K1043" s="1" t="s">
        <v>35</v>
      </c>
      <c r="L1043" s="1" t="s">
        <v>56</v>
      </c>
      <c r="M1043" s="1">
        <v>2018</v>
      </c>
      <c r="N1043" s="1" t="str">
        <f t="shared" si="16"/>
        <v>Anglophone</v>
      </c>
      <c r="O1043" s="3" t="str">
        <f>_xlfn.XLOOKUP(D:D,MappingTable[Brand],MappingTable[Brand Type], "not found")</f>
        <v>Malt</v>
      </c>
      <c r="P1043" t="str">
        <f>_xlfn.XLOOKUP(L:L,MappingTable2[Month],MappingTable2[Quarters],"NIL")</f>
        <v>Q4</v>
      </c>
      <c r="Q1043" s="1"/>
    </row>
    <row r="1044" spans="1:17" x14ac:dyDescent="0.2">
      <c r="A1044" s="1">
        <v>11143</v>
      </c>
      <c r="B1044" s="1" t="s">
        <v>13</v>
      </c>
      <c r="C1044" s="1" t="s">
        <v>14</v>
      </c>
      <c r="D1044" s="1" t="s">
        <v>48</v>
      </c>
      <c r="E1044" s="3">
        <v>90</v>
      </c>
      <c r="F1044" s="3">
        <v>150</v>
      </c>
      <c r="G1044" s="13">
        <v>962</v>
      </c>
      <c r="H1044" s="3">
        <v>144300</v>
      </c>
      <c r="I1044" s="3">
        <v>57720</v>
      </c>
      <c r="J1044" s="1" t="s">
        <v>28</v>
      </c>
      <c r="K1044" s="1" t="s">
        <v>41</v>
      </c>
      <c r="L1044" s="1" t="s">
        <v>59</v>
      </c>
      <c r="M1044" s="1">
        <v>2017</v>
      </c>
      <c r="N1044" s="1" t="str">
        <f t="shared" si="16"/>
        <v>Francophone</v>
      </c>
      <c r="O1044" s="3" t="str">
        <f>_xlfn.XLOOKUP(D:D,MappingTable[Brand],MappingTable[Brand Type], "not found")</f>
        <v>Malt</v>
      </c>
      <c r="P1044" t="str">
        <f>_xlfn.XLOOKUP(L:L,MappingTable2[Month],MappingTable2[Quarters],"NIL")</f>
        <v>Q4</v>
      </c>
      <c r="Q1044" s="1"/>
    </row>
    <row r="1045" spans="1:17" x14ac:dyDescent="0.2">
      <c r="A1045" s="1">
        <v>11144</v>
      </c>
      <c r="B1045" s="1" t="s">
        <v>13</v>
      </c>
      <c r="C1045" s="1" t="s">
        <v>14</v>
      </c>
      <c r="D1045" s="1" t="s">
        <v>15</v>
      </c>
      <c r="E1045" s="3">
        <v>150</v>
      </c>
      <c r="F1045" s="3">
        <v>200</v>
      </c>
      <c r="G1045" s="13">
        <v>892</v>
      </c>
      <c r="H1045" s="3">
        <v>178400</v>
      </c>
      <c r="I1045" s="3">
        <v>44600</v>
      </c>
      <c r="J1045" s="1" t="s">
        <v>34</v>
      </c>
      <c r="K1045" s="1" t="s">
        <v>44</v>
      </c>
      <c r="L1045" s="1" t="s">
        <v>60</v>
      </c>
      <c r="M1045" s="1">
        <v>2017</v>
      </c>
      <c r="N1045" s="1" t="str">
        <f t="shared" si="16"/>
        <v>Francophone</v>
      </c>
      <c r="O1045" s="3" t="str">
        <f>_xlfn.XLOOKUP(D:D,MappingTable[Brand],MappingTable[Brand Type], "not found")</f>
        <v>Beer</v>
      </c>
      <c r="P1045" t="str">
        <f>_xlfn.XLOOKUP(L:L,MappingTable2[Month],MappingTable2[Quarters],"NIL")</f>
        <v>Q4</v>
      </c>
      <c r="Q1045" s="1"/>
    </row>
    <row r="1046" spans="1:17" x14ac:dyDescent="0.2">
      <c r="A1046" s="1">
        <v>11145</v>
      </c>
      <c r="B1046" s="1" t="s">
        <v>37</v>
      </c>
      <c r="C1046" s="1" t="s">
        <v>38</v>
      </c>
      <c r="D1046" s="1" t="s">
        <v>21</v>
      </c>
      <c r="E1046" s="3">
        <v>250</v>
      </c>
      <c r="F1046" s="3">
        <v>500</v>
      </c>
      <c r="G1046" s="13">
        <v>816</v>
      </c>
      <c r="H1046" s="3">
        <v>408000</v>
      </c>
      <c r="I1046" s="3">
        <v>204000</v>
      </c>
      <c r="J1046" s="1" t="s">
        <v>40</v>
      </c>
      <c r="K1046" s="1" t="s">
        <v>17</v>
      </c>
      <c r="L1046" s="1" t="s">
        <v>18</v>
      </c>
      <c r="M1046" s="1">
        <v>2019</v>
      </c>
      <c r="N1046" s="1" t="str">
        <f t="shared" si="16"/>
        <v>Francophone</v>
      </c>
      <c r="O1046" s="3" t="str">
        <f>_xlfn.XLOOKUP(D:D,MappingTable[Brand],MappingTable[Brand Type], "not found")</f>
        <v>Beer</v>
      </c>
      <c r="P1046" t="str">
        <f>_xlfn.XLOOKUP(L:L,MappingTable2[Month],MappingTable2[Quarters],"NIL")</f>
        <v>Q1</v>
      </c>
      <c r="Q1046" s="1"/>
    </row>
    <row r="1047" spans="1:17" x14ac:dyDescent="0.2">
      <c r="A1047" s="1">
        <v>11146</v>
      </c>
      <c r="B1047" s="1" t="s">
        <v>31</v>
      </c>
      <c r="C1047" s="1" t="s">
        <v>32</v>
      </c>
      <c r="D1047" s="1" t="s">
        <v>27</v>
      </c>
      <c r="E1047" s="3">
        <v>180</v>
      </c>
      <c r="F1047" s="3">
        <v>450</v>
      </c>
      <c r="G1047" s="13">
        <v>939</v>
      </c>
      <c r="H1047" s="3">
        <v>422550</v>
      </c>
      <c r="I1047" s="3">
        <v>253530</v>
      </c>
      <c r="J1047" s="1" t="s">
        <v>16</v>
      </c>
      <c r="K1047" s="1" t="s">
        <v>23</v>
      </c>
      <c r="L1047" s="1" t="s">
        <v>24</v>
      </c>
      <c r="M1047" s="1">
        <v>2017</v>
      </c>
      <c r="N1047" s="1" t="str">
        <f t="shared" si="16"/>
        <v>Anglophone</v>
      </c>
      <c r="O1047" s="3" t="str">
        <f>_xlfn.XLOOKUP(D:D,MappingTable[Brand],MappingTable[Brand Type], "not found")</f>
        <v>Beer</v>
      </c>
      <c r="P1047" t="str">
        <f>_xlfn.XLOOKUP(L:L,MappingTable2[Month],MappingTable2[Quarters],"NIL")</f>
        <v>Q1</v>
      </c>
      <c r="Q1047" s="1"/>
    </row>
    <row r="1048" spans="1:17" x14ac:dyDescent="0.2">
      <c r="A1048" s="1">
        <v>11147</v>
      </c>
      <c r="B1048" s="1" t="s">
        <v>51</v>
      </c>
      <c r="C1048" s="1" t="s">
        <v>52</v>
      </c>
      <c r="D1048" s="1" t="s">
        <v>33</v>
      </c>
      <c r="E1048" s="3">
        <v>170</v>
      </c>
      <c r="F1048" s="3">
        <v>250</v>
      </c>
      <c r="G1048" s="13">
        <v>935</v>
      </c>
      <c r="H1048" s="3">
        <v>233750</v>
      </c>
      <c r="I1048" s="3">
        <v>74800</v>
      </c>
      <c r="J1048" s="1" t="s">
        <v>22</v>
      </c>
      <c r="K1048" s="1" t="s">
        <v>29</v>
      </c>
      <c r="L1048" s="1" t="s">
        <v>30</v>
      </c>
      <c r="M1048" s="1">
        <v>2019</v>
      </c>
      <c r="N1048" s="1" t="str">
        <f t="shared" si="16"/>
        <v>Anglophone</v>
      </c>
      <c r="O1048" s="3" t="str">
        <f>_xlfn.XLOOKUP(D:D,MappingTable[Brand],MappingTable[Brand Type], "not found")</f>
        <v>Beer</v>
      </c>
      <c r="P1048" t="str">
        <f>_xlfn.XLOOKUP(L:L,MappingTable2[Month],MappingTable2[Quarters],"NIL")</f>
        <v>Q1</v>
      </c>
      <c r="Q1048" s="1"/>
    </row>
  </sheetData>
  <autoFilter ref="A1:P1048" xr:uid="{00000000-0001-0000-0000-000000000000}"/>
  <phoneticPr fontId="9" type="noConversion"/>
  <pageMargins left="0.7" right="0.7" top="0.75" bottom="0.75" header="0.3" footer="0.3"/>
  <pageSetup orientation="portrait" r:id="rId1"/>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8CDD1-AEDC-4DA3-8A28-E955EBF0AD3A}">
  <dimension ref="A1:O130"/>
  <sheetViews>
    <sheetView showGridLines="0" topLeftCell="A8" zoomScaleNormal="100" workbookViewId="0">
      <selection activeCell="B75" sqref="B75"/>
    </sheetView>
  </sheetViews>
  <sheetFormatPr defaultRowHeight="12.75" x14ac:dyDescent="0.2"/>
  <cols>
    <col min="1" max="1" width="11.28515625" bestFit="1" customWidth="1"/>
    <col min="2" max="2" width="13.85546875" bestFit="1" customWidth="1"/>
    <col min="3" max="3" width="20" bestFit="1" customWidth="1"/>
    <col min="4" max="4" width="16.28515625" customWidth="1"/>
    <col min="5" max="6" width="11.7109375" bestFit="1" customWidth="1"/>
    <col min="7" max="7" width="12.5703125" bestFit="1" customWidth="1"/>
    <col min="8" max="8" width="13.85546875" bestFit="1" customWidth="1"/>
    <col min="9" max="9" width="12.7109375" bestFit="1" customWidth="1"/>
    <col min="10" max="10" width="13.140625" customWidth="1"/>
    <col min="11" max="11" width="11.7109375" bestFit="1" customWidth="1"/>
    <col min="12" max="12" width="14.85546875" bestFit="1" customWidth="1"/>
    <col min="13" max="13" width="17.5703125" bestFit="1" customWidth="1"/>
    <col min="14" max="14" width="15" bestFit="1" customWidth="1"/>
    <col min="15" max="156" width="11.140625" bestFit="1" customWidth="1"/>
    <col min="157" max="157" width="12.7109375" bestFit="1" customWidth="1"/>
    <col min="158" max="545" width="11.140625" bestFit="1" customWidth="1"/>
    <col min="546" max="546" width="12.7109375" bestFit="1" customWidth="1"/>
    <col min="547" max="610" width="11.140625" bestFit="1" customWidth="1"/>
    <col min="611" max="611" width="12.7109375" bestFit="1" customWidth="1"/>
    <col min="612" max="662" width="11.140625" bestFit="1" customWidth="1"/>
    <col min="663" max="663" width="12.7109375" bestFit="1" customWidth="1"/>
    <col min="664" max="685" width="11.140625" bestFit="1" customWidth="1"/>
    <col min="686" max="686" width="12.7109375" bestFit="1" customWidth="1"/>
    <col min="687" max="728" width="11.140625" bestFit="1" customWidth="1"/>
    <col min="729" max="729" width="12.7109375" bestFit="1" customWidth="1"/>
    <col min="730" max="744" width="11.140625" bestFit="1" customWidth="1"/>
    <col min="745" max="745" width="12.7109375" bestFit="1" customWidth="1"/>
    <col min="746" max="752" width="11.140625" bestFit="1" customWidth="1"/>
    <col min="753" max="753" width="12.7109375" bestFit="1" customWidth="1"/>
    <col min="754" max="755" width="11.140625" bestFit="1" customWidth="1"/>
    <col min="756" max="756" width="12.7109375" bestFit="1" customWidth="1"/>
    <col min="757" max="773" width="11.140625" bestFit="1" customWidth="1"/>
  </cols>
  <sheetData>
    <row r="1" spans="1:15" ht="12.75" customHeight="1" x14ac:dyDescent="0.5">
      <c r="A1" s="18" t="s">
        <v>85</v>
      </c>
      <c r="B1" s="18"/>
      <c r="C1" s="18"/>
      <c r="D1" s="18"/>
      <c r="E1" s="12"/>
      <c r="F1" s="12"/>
      <c r="G1" s="12"/>
      <c r="H1" s="12"/>
      <c r="I1" s="12"/>
      <c r="J1" s="12"/>
      <c r="K1" s="12"/>
      <c r="L1" s="12"/>
      <c r="M1" s="12"/>
      <c r="N1" s="12"/>
      <c r="O1" s="12"/>
    </row>
    <row r="2" spans="1:15" ht="12.75" customHeight="1" x14ac:dyDescent="0.5">
      <c r="A2" s="18"/>
      <c r="B2" s="18"/>
      <c r="C2" s="18"/>
      <c r="D2" s="18"/>
      <c r="E2" s="12"/>
      <c r="F2" s="12"/>
      <c r="G2" s="12"/>
      <c r="H2" s="12"/>
      <c r="I2" s="12"/>
      <c r="J2" s="12"/>
      <c r="K2" s="12"/>
      <c r="L2" s="12"/>
      <c r="M2" s="12"/>
      <c r="N2" s="12"/>
      <c r="O2" s="12"/>
    </row>
    <row r="3" spans="1:15" ht="12.75" customHeight="1" x14ac:dyDescent="0.5">
      <c r="A3" s="18"/>
      <c r="B3" s="18"/>
      <c r="C3" s="18"/>
      <c r="D3" s="18"/>
      <c r="E3" s="12"/>
      <c r="F3" s="12"/>
      <c r="G3" s="12"/>
      <c r="H3" s="12"/>
      <c r="I3" s="12"/>
      <c r="J3" s="12"/>
      <c r="K3" s="12"/>
      <c r="L3" s="12"/>
      <c r="M3" s="12"/>
      <c r="N3" s="12"/>
      <c r="O3" s="12"/>
    </row>
    <row r="5" spans="1:15" x14ac:dyDescent="0.2">
      <c r="A5" s="5" t="s">
        <v>12</v>
      </c>
      <c r="B5" t="s">
        <v>70</v>
      </c>
      <c r="C5" t="str">
        <f>A5</f>
        <v>YEARS</v>
      </c>
      <c r="D5" t="str">
        <f>B5</f>
        <v>(All)</v>
      </c>
    </row>
    <row r="6" spans="1:15" x14ac:dyDescent="0.2">
      <c r="A6" s="7" t="s">
        <v>81</v>
      </c>
    </row>
    <row r="7" spans="1:15" x14ac:dyDescent="0.2">
      <c r="A7" s="5" t="s">
        <v>80</v>
      </c>
      <c r="B7" t="s">
        <v>111</v>
      </c>
      <c r="C7" t="str">
        <f t="shared" ref="C7:D9" si="0">A7</f>
        <v>Territory</v>
      </c>
      <c r="D7" t="str">
        <f t="shared" si="0"/>
        <v>Total Profit</v>
      </c>
      <c r="F7" s="7" t="s">
        <v>83</v>
      </c>
    </row>
    <row r="8" spans="1:15" x14ac:dyDescent="0.2">
      <c r="A8" s="6" t="s">
        <v>66</v>
      </c>
      <c r="B8" s="4">
        <v>42389260</v>
      </c>
      <c r="C8" t="str">
        <f t="shared" si="0"/>
        <v>Anglophone</v>
      </c>
      <c r="D8" s="4">
        <f t="shared" si="0"/>
        <v>42389260</v>
      </c>
      <c r="F8" s="5" t="s">
        <v>12</v>
      </c>
      <c r="G8" t="s">
        <v>70</v>
      </c>
    </row>
    <row r="9" spans="1:15" x14ac:dyDescent="0.2">
      <c r="A9" s="6" t="s">
        <v>67</v>
      </c>
      <c r="B9" s="4">
        <v>63198160</v>
      </c>
      <c r="C9" t="str">
        <f t="shared" si="0"/>
        <v>Francophone</v>
      </c>
      <c r="D9" s="4">
        <f t="shared" si="0"/>
        <v>63198160</v>
      </c>
    </row>
    <row r="10" spans="1:15" x14ac:dyDescent="0.2">
      <c r="F10" s="5" t="s">
        <v>79</v>
      </c>
      <c r="G10" t="s">
        <v>111</v>
      </c>
      <c r="H10" t="str">
        <f>F10</f>
        <v>Countries</v>
      </c>
      <c r="I10" t="str">
        <f>G10</f>
        <v>Total Profit</v>
      </c>
    </row>
    <row r="11" spans="1:15" x14ac:dyDescent="0.2">
      <c r="F11" s="6" t="s">
        <v>34</v>
      </c>
      <c r="G11" s="4">
        <v>20961970</v>
      </c>
      <c r="H11" t="str">
        <f>F11</f>
        <v>Benin</v>
      </c>
      <c r="I11" s="4">
        <f>G11</f>
        <v>20961970</v>
      </c>
    </row>
    <row r="12" spans="1:15" x14ac:dyDescent="0.2">
      <c r="A12" s="7" t="s">
        <v>82</v>
      </c>
      <c r="F12" s="6" t="s">
        <v>16</v>
      </c>
      <c r="G12" s="4">
        <v>21013050</v>
      </c>
      <c r="H12" t="str">
        <f t="shared" ref="H12:H15" si="1">F12</f>
        <v>Ghana</v>
      </c>
      <c r="I12" s="4">
        <f t="shared" ref="I12:I15" si="2">G12</f>
        <v>21013050</v>
      </c>
    </row>
    <row r="13" spans="1:15" x14ac:dyDescent="0.2">
      <c r="A13" s="5" t="s">
        <v>12</v>
      </c>
      <c r="B13" t="s">
        <v>70</v>
      </c>
      <c r="C13" t="str">
        <f>A13</f>
        <v>YEARS</v>
      </c>
      <c r="D13" t="str">
        <f>B13</f>
        <v>(All)</v>
      </c>
      <c r="F13" s="6" t="s">
        <v>22</v>
      </c>
      <c r="G13" s="4">
        <v>21376210</v>
      </c>
      <c r="H13" t="str">
        <f t="shared" si="1"/>
        <v>Nigeria</v>
      </c>
      <c r="I13" s="4">
        <f t="shared" si="2"/>
        <v>21376210</v>
      </c>
    </row>
    <row r="14" spans="1:15" x14ac:dyDescent="0.2">
      <c r="F14" s="6" t="s">
        <v>40</v>
      </c>
      <c r="G14" s="4">
        <v>21485190</v>
      </c>
      <c r="H14" t="str">
        <f t="shared" si="1"/>
        <v>Senegal</v>
      </c>
      <c r="I14" s="4">
        <f t="shared" si="2"/>
        <v>21485190</v>
      </c>
    </row>
    <row r="15" spans="1:15" x14ac:dyDescent="0.2">
      <c r="A15" s="5" t="s">
        <v>80</v>
      </c>
      <c r="B15" t="s">
        <v>111</v>
      </c>
      <c r="C15" t="str">
        <f t="shared" ref="C15:D18" si="3">A15</f>
        <v>Territory</v>
      </c>
      <c r="D15" t="str">
        <f t="shared" si="3"/>
        <v>Total Profit</v>
      </c>
      <c r="F15" s="6" t="s">
        <v>28</v>
      </c>
      <c r="G15" s="4">
        <v>20751000</v>
      </c>
      <c r="H15" t="str">
        <f t="shared" si="1"/>
        <v>Togo</v>
      </c>
      <c r="I15" s="4">
        <f t="shared" si="2"/>
        <v>20751000</v>
      </c>
    </row>
    <row r="16" spans="1:15" x14ac:dyDescent="0.2">
      <c r="A16" s="6" t="s">
        <v>66</v>
      </c>
      <c r="B16" s="4">
        <v>42389260</v>
      </c>
      <c r="C16" t="str">
        <f t="shared" si="3"/>
        <v>Anglophone</v>
      </c>
      <c r="D16" s="10">
        <f t="shared" si="3"/>
        <v>42389260</v>
      </c>
    </row>
    <row r="17" spans="1:9" x14ac:dyDescent="0.2">
      <c r="A17" s="6" t="s">
        <v>67</v>
      </c>
      <c r="B17" s="4">
        <v>63198160</v>
      </c>
      <c r="C17" t="str">
        <f t="shared" si="3"/>
        <v>Francophone</v>
      </c>
      <c r="D17" s="10">
        <f t="shared" si="3"/>
        <v>63198160</v>
      </c>
      <c r="F17" s="7" t="s">
        <v>72</v>
      </c>
    </row>
    <row r="18" spans="1:9" x14ac:dyDescent="0.2">
      <c r="A18" s="6" t="s">
        <v>69</v>
      </c>
      <c r="B18" s="4">
        <v>105587420</v>
      </c>
      <c r="C18" t="str">
        <f t="shared" si="3"/>
        <v>Grand Total</v>
      </c>
      <c r="D18" s="10">
        <f t="shared" si="3"/>
        <v>105587420</v>
      </c>
      <c r="F18" s="5" t="s">
        <v>78</v>
      </c>
      <c r="G18" t="s">
        <v>110</v>
      </c>
      <c r="H18" t="str">
        <f>F18</f>
        <v>Month</v>
      </c>
      <c r="I18" t="str">
        <f>G18</f>
        <v>Least Profit</v>
      </c>
    </row>
    <row r="19" spans="1:9" x14ac:dyDescent="0.2">
      <c r="F19" s="6" t="s">
        <v>36</v>
      </c>
      <c r="G19" s="4">
        <v>8573830</v>
      </c>
      <c r="H19" t="str">
        <f>F19</f>
        <v>April</v>
      </c>
      <c r="I19" s="15">
        <f>G19</f>
        <v>8573830</v>
      </c>
    </row>
    <row r="24" spans="1:9" x14ac:dyDescent="0.2">
      <c r="A24" s="7" t="s">
        <v>71</v>
      </c>
    </row>
    <row r="25" spans="1:9" x14ac:dyDescent="0.2">
      <c r="A25" s="5" t="s">
        <v>77</v>
      </c>
      <c r="B25" t="s">
        <v>119</v>
      </c>
      <c r="C25" t="str">
        <f>A25</f>
        <v>Year</v>
      </c>
      <c r="D25" t="str">
        <f>B25</f>
        <v>Min Profit</v>
      </c>
    </row>
    <row r="26" spans="1:9" x14ac:dyDescent="0.2">
      <c r="A26" s="6">
        <v>2017</v>
      </c>
      <c r="B26" s="4">
        <v>35000</v>
      </c>
      <c r="C26" s="8">
        <f>A26</f>
        <v>2017</v>
      </c>
      <c r="D26" s="4">
        <f>B26</f>
        <v>35000</v>
      </c>
    </row>
    <row r="27" spans="1:9" x14ac:dyDescent="0.2">
      <c r="A27" s="6">
        <v>2018</v>
      </c>
      <c r="B27" s="4">
        <v>35100</v>
      </c>
      <c r="C27" s="8">
        <f t="shared" ref="C27:C28" si="4">A27</f>
        <v>2018</v>
      </c>
      <c r="D27" s="4">
        <f t="shared" ref="D27:D28" si="5">B27</f>
        <v>35100</v>
      </c>
    </row>
    <row r="28" spans="1:9" x14ac:dyDescent="0.2">
      <c r="A28" s="6">
        <v>2019</v>
      </c>
      <c r="B28" s="4">
        <v>35200</v>
      </c>
      <c r="C28" s="8">
        <f t="shared" si="4"/>
        <v>2019</v>
      </c>
      <c r="D28" s="4">
        <f t="shared" si="5"/>
        <v>35200</v>
      </c>
      <c r="F28" s="7" t="s">
        <v>84</v>
      </c>
    </row>
    <row r="29" spans="1:9" x14ac:dyDescent="0.2">
      <c r="F29" s="5" t="s">
        <v>77</v>
      </c>
      <c r="G29" t="s">
        <v>68</v>
      </c>
      <c r="H29" t="str">
        <f>F29</f>
        <v>Year</v>
      </c>
      <c r="I29" t="str">
        <f>G29</f>
        <v>Sum of PROFIT</v>
      </c>
    </row>
    <row r="30" spans="1:9" x14ac:dyDescent="0.2">
      <c r="F30" s="6">
        <v>2017</v>
      </c>
      <c r="G30" s="4">
        <v>38503320</v>
      </c>
      <c r="H30">
        <f>F30</f>
        <v>2017</v>
      </c>
      <c r="I30" s="4">
        <f>G30</f>
        <v>38503320</v>
      </c>
    </row>
    <row r="31" spans="1:9" x14ac:dyDescent="0.2">
      <c r="A31" s="7" t="s">
        <v>73</v>
      </c>
      <c r="F31" s="6">
        <v>2018</v>
      </c>
      <c r="G31" s="4">
        <v>37063850</v>
      </c>
    </row>
    <row r="32" spans="1:9" x14ac:dyDescent="0.2">
      <c r="A32" s="5" t="s">
        <v>76</v>
      </c>
      <c r="B32" t="s">
        <v>111</v>
      </c>
      <c r="C32" t="str">
        <f>A32</f>
        <v>Months</v>
      </c>
      <c r="D32" t="str">
        <f>B32</f>
        <v>Total Profit</v>
      </c>
      <c r="F32" s="6">
        <v>2019</v>
      </c>
      <c r="G32" s="4">
        <v>30020250</v>
      </c>
    </row>
    <row r="33" spans="1:9" x14ac:dyDescent="0.2">
      <c r="A33" s="6" t="s">
        <v>18</v>
      </c>
      <c r="B33" s="4">
        <v>8722990</v>
      </c>
      <c r="C33" t="str">
        <f t="shared" ref="C33:C44" si="6">A33</f>
        <v>January</v>
      </c>
      <c r="D33" s="4">
        <f t="shared" ref="D33:D44" si="7">B33</f>
        <v>8722990</v>
      </c>
    </row>
    <row r="34" spans="1:9" x14ac:dyDescent="0.2">
      <c r="A34" s="6" t="s">
        <v>24</v>
      </c>
      <c r="B34" s="4">
        <v>9028450</v>
      </c>
      <c r="C34" t="str">
        <f t="shared" si="6"/>
        <v>February</v>
      </c>
      <c r="D34" s="4">
        <f t="shared" si="7"/>
        <v>9028450</v>
      </c>
    </row>
    <row r="35" spans="1:9" x14ac:dyDescent="0.2">
      <c r="A35" s="6" t="s">
        <v>30</v>
      </c>
      <c r="B35" s="4">
        <v>9066130</v>
      </c>
      <c r="C35" t="str">
        <f t="shared" si="6"/>
        <v>March</v>
      </c>
      <c r="D35" s="4">
        <f t="shared" si="7"/>
        <v>9066130</v>
      </c>
    </row>
    <row r="36" spans="1:9" x14ac:dyDescent="0.2">
      <c r="A36" s="6" t="s">
        <v>36</v>
      </c>
      <c r="B36" s="4">
        <v>8573830</v>
      </c>
      <c r="C36" t="str">
        <f t="shared" si="6"/>
        <v>April</v>
      </c>
      <c r="D36" s="4">
        <f t="shared" si="7"/>
        <v>8573830</v>
      </c>
    </row>
    <row r="37" spans="1:9" x14ac:dyDescent="0.2">
      <c r="A37" s="6" t="s">
        <v>42</v>
      </c>
      <c r="B37" s="4">
        <v>8772250</v>
      </c>
      <c r="C37" t="str">
        <f t="shared" si="6"/>
        <v>May</v>
      </c>
      <c r="D37" s="4">
        <f t="shared" si="7"/>
        <v>8772250</v>
      </c>
      <c r="F37" s="9" t="s">
        <v>74</v>
      </c>
    </row>
    <row r="38" spans="1:9" x14ac:dyDescent="0.2">
      <c r="A38" s="6" t="s">
        <v>45</v>
      </c>
      <c r="B38" s="4">
        <v>8828440</v>
      </c>
      <c r="C38" t="str">
        <f t="shared" si="6"/>
        <v>June</v>
      </c>
      <c r="D38" s="4">
        <f t="shared" si="7"/>
        <v>8828440</v>
      </c>
      <c r="F38" s="5" t="s">
        <v>9</v>
      </c>
      <c r="G38" t="s">
        <v>40</v>
      </c>
    </row>
    <row r="39" spans="1:9" x14ac:dyDescent="0.2">
      <c r="A39" s="6" t="s">
        <v>49</v>
      </c>
      <c r="B39" s="4">
        <v>8787010</v>
      </c>
      <c r="C39" t="str">
        <f t="shared" si="6"/>
        <v>July</v>
      </c>
      <c r="D39" s="4">
        <f t="shared" si="7"/>
        <v>8787010</v>
      </c>
    </row>
    <row r="40" spans="1:9" x14ac:dyDescent="0.2">
      <c r="A40" s="6" t="s">
        <v>50</v>
      </c>
      <c r="B40" s="4">
        <v>8730940</v>
      </c>
      <c r="C40" t="str">
        <f t="shared" si="6"/>
        <v>August</v>
      </c>
      <c r="D40" s="4">
        <f t="shared" si="7"/>
        <v>8730940</v>
      </c>
      <c r="F40" s="5" t="s">
        <v>75</v>
      </c>
      <c r="G40" t="s">
        <v>111</v>
      </c>
      <c r="H40" t="str">
        <f>F40</f>
        <v>Brands</v>
      </c>
      <c r="I40" t="str">
        <f>G40</f>
        <v>Total Profit</v>
      </c>
    </row>
    <row r="41" spans="1:9" x14ac:dyDescent="0.2">
      <c r="A41" s="6" t="s">
        <v>53</v>
      </c>
      <c r="B41" s="4">
        <v>8702660</v>
      </c>
      <c r="C41" t="str">
        <f t="shared" si="6"/>
        <v>September</v>
      </c>
      <c r="D41" s="4">
        <f t="shared" si="7"/>
        <v>8702660</v>
      </c>
      <c r="F41" s="6" t="s">
        <v>27</v>
      </c>
      <c r="G41" s="4">
        <v>7012980</v>
      </c>
      <c r="H41" t="str">
        <f>F41</f>
        <v>castle lite</v>
      </c>
      <c r="I41" s="4">
        <f>G41</f>
        <v>7012980</v>
      </c>
    </row>
    <row r="42" spans="1:9" x14ac:dyDescent="0.2">
      <c r="A42" s="6" t="s">
        <v>56</v>
      </c>
      <c r="B42" s="4">
        <v>8767100</v>
      </c>
      <c r="C42" t="str">
        <f t="shared" si="6"/>
        <v>October</v>
      </c>
      <c r="D42" s="4">
        <f t="shared" si="7"/>
        <v>8767100</v>
      </c>
    </row>
    <row r="43" spans="1:9" x14ac:dyDescent="0.2">
      <c r="A43" s="6" t="s">
        <v>59</v>
      </c>
      <c r="B43" s="4">
        <v>8820330</v>
      </c>
      <c r="C43" t="str">
        <f t="shared" si="6"/>
        <v>November</v>
      </c>
      <c r="D43" s="4">
        <f t="shared" si="7"/>
        <v>8820330</v>
      </c>
    </row>
    <row r="44" spans="1:9" x14ac:dyDescent="0.2">
      <c r="A44" s="6" t="s">
        <v>60</v>
      </c>
      <c r="B44" s="4">
        <v>8787290</v>
      </c>
      <c r="C44" t="str">
        <f t="shared" si="6"/>
        <v>December</v>
      </c>
      <c r="D44" s="4">
        <f t="shared" si="7"/>
        <v>8787290</v>
      </c>
    </row>
    <row r="46" spans="1:9" s="11" customFormat="1" ht="12.75" customHeight="1" x14ac:dyDescent="0.25"/>
    <row r="47" spans="1:9" s="11" customFormat="1" ht="12.75" customHeight="1" x14ac:dyDescent="0.25"/>
    <row r="48" spans="1:9" s="11" customFormat="1" ht="12.75" customHeight="1" x14ac:dyDescent="0.25">
      <c r="A48" s="17" t="s">
        <v>86</v>
      </c>
      <c r="B48" s="17"/>
      <c r="C48" s="17"/>
      <c r="D48" s="17"/>
    </row>
    <row r="49" spans="1:13" ht="12.75" customHeight="1" x14ac:dyDescent="0.2">
      <c r="A49" s="17"/>
      <c r="B49" s="17"/>
      <c r="C49" s="17"/>
      <c r="D49" s="17"/>
    </row>
    <row r="50" spans="1:13" ht="12.75" customHeight="1" x14ac:dyDescent="0.2">
      <c r="A50" s="17"/>
      <c r="B50" s="17"/>
      <c r="C50" s="17"/>
      <c r="D50" s="17"/>
    </row>
    <row r="51" spans="1:13" x14ac:dyDescent="0.2">
      <c r="A51" s="7" t="s">
        <v>115</v>
      </c>
    </row>
    <row r="52" spans="1:13" x14ac:dyDescent="0.2">
      <c r="A52" s="5" t="s">
        <v>12</v>
      </c>
      <c r="B52" t="s">
        <v>70</v>
      </c>
    </row>
    <row r="53" spans="1:13" x14ac:dyDescent="0.2">
      <c r="A53" s="5" t="s">
        <v>65</v>
      </c>
      <c r="B53" t="s">
        <v>67</v>
      </c>
      <c r="F53" s="7" t="s">
        <v>93</v>
      </c>
    </row>
    <row r="54" spans="1:13" x14ac:dyDescent="0.2">
      <c r="A54" s="7"/>
      <c r="F54" s="5" t="s">
        <v>9</v>
      </c>
      <c r="G54" t="s">
        <v>22</v>
      </c>
    </row>
    <row r="55" spans="1:13" x14ac:dyDescent="0.2">
      <c r="A55" s="5" t="s">
        <v>75</v>
      </c>
      <c r="B55" t="s">
        <v>117</v>
      </c>
      <c r="C55" t="str">
        <f t="shared" ref="C55:D58" si="8">A55</f>
        <v>Brands</v>
      </c>
      <c r="D55" t="str">
        <f t="shared" si="8"/>
        <v>Total Quantity</v>
      </c>
      <c r="F55" s="5" t="s">
        <v>12</v>
      </c>
      <c r="G55" t="s">
        <v>70</v>
      </c>
    </row>
    <row r="56" spans="1:13" x14ac:dyDescent="0.2">
      <c r="A56" s="6" t="s">
        <v>15</v>
      </c>
      <c r="B56" s="8">
        <v>76792</v>
      </c>
      <c r="C56" t="str">
        <f t="shared" si="8"/>
        <v>trophy</v>
      </c>
      <c r="D56">
        <f t="shared" si="8"/>
        <v>76792</v>
      </c>
    </row>
    <row r="57" spans="1:13" x14ac:dyDescent="0.2">
      <c r="A57" s="6" t="s">
        <v>39</v>
      </c>
      <c r="B57" s="8">
        <v>77595</v>
      </c>
      <c r="C57" t="str">
        <f t="shared" si="8"/>
        <v>hero</v>
      </c>
      <c r="D57">
        <f t="shared" si="8"/>
        <v>77595</v>
      </c>
      <c r="F57" s="5" t="s">
        <v>75</v>
      </c>
      <c r="G57" t="s">
        <v>116</v>
      </c>
      <c r="H57" t="s">
        <v>117</v>
      </c>
      <c r="I57" t="s">
        <v>111</v>
      </c>
      <c r="J57" t="str">
        <f t="shared" ref="J57:K59" si="9">F57</f>
        <v>Brands</v>
      </c>
      <c r="K57" t="str">
        <f t="shared" si="9"/>
        <v>Total Sales</v>
      </c>
      <c r="L57" t="str">
        <f t="shared" ref="L57:M57" si="10">H57</f>
        <v>Total Quantity</v>
      </c>
      <c r="M57" t="str">
        <f t="shared" si="10"/>
        <v>Total Profit</v>
      </c>
    </row>
    <row r="58" spans="1:13" x14ac:dyDescent="0.2">
      <c r="A58" s="6" t="s">
        <v>48</v>
      </c>
      <c r="B58" s="8">
        <v>76008</v>
      </c>
      <c r="C58" t="str">
        <f t="shared" si="8"/>
        <v>grand malt</v>
      </c>
      <c r="D58">
        <f t="shared" si="8"/>
        <v>76008</v>
      </c>
      <c r="F58" s="6" t="s">
        <v>21</v>
      </c>
      <c r="G58" s="4">
        <v>13076500</v>
      </c>
      <c r="H58" s="16">
        <v>26153</v>
      </c>
      <c r="I58" s="4">
        <v>6538250</v>
      </c>
      <c r="J58" t="str">
        <f t="shared" si="9"/>
        <v>budweiser</v>
      </c>
      <c r="K58" s="4">
        <f t="shared" si="9"/>
        <v>13076500</v>
      </c>
      <c r="L58" s="16">
        <f>H58</f>
        <v>26153</v>
      </c>
      <c r="M58" s="4">
        <f>I58</f>
        <v>6538250</v>
      </c>
    </row>
    <row r="59" spans="1:13" x14ac:dyDescent="0.2">
      <c r="A59" s="6" t="s">
        <v>69</v>
      </c>
      <c r="B59" s="8">
        <v>230395</v>
      </c>
      <c r="F59" s="6" t="s">
        <v>27</v>
      </c>
      <c r="G59" s="4">
        <v>11556450</v>
      </c>
      <c r="H59" s="16">
        <v>25681</v>
      </c>
      <c r="I59" s="4">
        <v>6933870</v>
      </c>
      <c r="J59" t="str">
        <f t="shared" si="9"/>
        <v>castle lite</v>
      </c>
      <c r="K59" s="4">
        <f t="shared" si="9"/>
        <v>11556450</v>
      </c>
      <c r="L59" s="16">
        <f t="shared" ref="L59:L62" si="11">H59</f>
        <v>25681</v>
      </c>
      <c r="M59" s="4">
        <f t="shared" ref="M59:M62" si="12">I59</f>
        <v>6933870</v>
      </c>
    </row>
    <row r="60" spans="1:13" x14ac:dyDescent="0.2">
      <c r="F60" s="6" t="s">
        <v>33</v>
      </c>
      <c r="G60" s="4">
        <v>6468000</v>
      </c>
      <c r="H60" s="16">
        <v>25872</v>
      </c>
      <c r="I60" s="4">
        <v>2069760</v>
      </c>
      <c r="J60" t="str">
        <f>F60</f>
        <v>eagle lager</v>
      </c>
      <c r="K60" s="4">
        <f t="shared" ref="K60:K62" si="13">G60</f>
        <v>6468000</v>
      </c>
      <c r="L60" s="16">
        <f t="shared" si="11"/>
        <v>25872</v>
      </c>
      <c r="M60" s="4">
        <f t="shared" si="12"/>
        <v>2069760</v>
      </c>
    </row>
    <row r="61" spans="1:13" x14ac:dyDescent="0.2">
      <c r="F61" s="6" t="s">
        <v>39</v>
      </c>
      <c r="G61" s="4">
        <v>5162200</v>
      </c>
      <c r="H61" s="16">
        <v>25811</v>
      </c>
      <c r="I61" s="4">
        <v>1290550</v>
      </c>
      <c r="J61" t="str">
        <f>F61</f>
        <v>hero</v>
      </c>
      <c r="K61" s="4">
        <f t="shared" si="13"/>
        <v>5162200</v>
      </c>
      <c r="L61" s="16">
        <f t="shared" si="11"/>
        <v>25811</v>
      </c>
      <c r="M61" s="4">
        <f t="shared" si="12"/>
        <v>1290550</v>
      </c>
    </row>
    <row r="62" spans="1:13" x14ac:dyDescent="0.2">
      <c r="F62" s="6" t="s">
        <v>15</v>
      </c>
      <c r="G62" s="4">
        <v>5148600</v>
      </c>
      <c r="H62" s="16">
        <v>25743</v>
      </c>
      <c r="I62" s="4">
        <v>1287150</v>
      </c>
      <c r="J62" t="str">
        <f>F62</f>
        <v>trophy</v>
      </c>
      <c r="K62" s="4">
        <f t="shared" si="13"/>
        <v>5148600</v>
      </c>
      <c r="L62" s="16">
        <f t="shared" si="11"/>
        <v>25743</v>
      </c>
      <c r="M62" s="4">
        <f t="shared" si="12"/>
        <v>1287150</v>
      </c>
    </row>
    <row r="63" spans="1:13" x14ac:dyDescent="0.2">
      <c r="A63" s="5" t="s">
        <v>9</v>
      </c>
      <c r="B63" t="s">
        <v>16</v>
      </c>
    </row>
    <row r="65" spans="1:14" x14ac:dyDescent="0.2">
      <c r="A65" s="5" t="s">
        <v>75</v>
      </c>
      <c r="B65" t="s">
        <v>117</v>
      </c>
      <c r="C65" t="str">
        <f t="shared" ref="C65:D72" si="14">A65</f>
        <v>Brands</v>
      </c>
      <c r="D65" t="str">
        <f t="shared" si="14"/>
        <v>Total Quantity</v>
      </c>
      <c r="F65" s="7" t="s">
        <v>94</v>
      </c>
      <c r="K65" s="7" t="s">
        <v>118</v>
      </c>
    </row>
    <row r="66" spans="1:14" x14ac:dyDescent="0.2">
      <c r="A66" s="6" t="s">
        <v>33</v>
      </c>
      <c r="B66" s="8">
        <v>25829</v>
      </c>
      <c r="C66" t="str">
        <f t="shared" si="14"/>
        <v>eagle lager</v>
      </c>
      <c r="D66">
        <f t="shared" si="14"/>
        <v>25829</v>
      </c>
      <c r="F66" s="5" t="s">
        <v>12</v>
      </c>
      <c r="G66" t="s">
        <v>70</v>
      </c>
      <c r="K66" s="5" t="s">
        <v>12</v>
      </c>
      <c r="L66" t="s">
        <v>70</v>
      </c>
    </row>
    <row r="67" spans="1:14" x14ac:dyDescent="0.2">
      <c r="A67" s="6" t="s">
        <v>27</v>
      </c>
      <c r="B67" s="8">
        <v>25806</v>
      </c>
      <c r="C67" t="str">
        <f t="shared" si="14"/>
        <v>castle lite</v>
      </c>
      <c r="D67">
        <f t="shared" si="14"/>
        <v>25806</v>
      </c>
      <c r="F67" s="5" t="s">
        <v>9</v>
      </c>
      <c r="G67" t="s">
        <v>22</v>
      </c>
    </row>
    <row r="68" spans="1:14" x14ac:dyDescent="0.2">
      <c r="A68" s="6" t="s">
        <v>39</v>
      </c>
      <c r="B68" s="8">
        <v>25654</v>
      </c>
      <c r="C68" t="str">
        <f t="shared" si="14"/>
        <v>hero</v>
      </c>
      <c r="D68">
        <f t="shared" si="14"/>
        <v>25654</v>
      </c>
      <c r="K68" s="5" t="s">
        <v>75</v>
      </c>
      <c r="L68" t="s">
        <v>88</v>
      </c>
      <c r="M68" t="s">
        <v>87</v>
      </c>
      <c r="N68" t="s">
        <v>68</v>
      </c>
    </row>
    <row r="69" spans="1:14" x14ac:dyDescent="0.2">
      <c r="A69" s="6" t="s">
        <v>48</v>
      </c>
      <c r="B69" s="8">
        <v>25615</v>
      </c>
      <c r="C69" t="str">
        <f t="shared" si="14"/>
        <v>grand malt</v>
      </c>
      <c r="D69">
        <f t="shared" si="14"/>
        <v>25615</v>
      </c>
      <c r="F69" s="5" t="s">
        <v>75</v>
      </c>
      <c r="G69" t="s">
        <v>68</v>
      </c>
      <c r="H69" t="str">
        <f>F69</f>
        <v>Brands</v>
      </c>
      <c r="I69" t="str">
        <f>G69</f>
        <v>Sum of PROFIT</v>
      </c>
      <c r="K69" s="6" t="s">
        <v>15</v>
      </c>
      <c r="L69" s="4">
        <v>25611800</v>
      </c>
      <c r="M69" s="16">
        <v>128059</v>
      </c>
      <c r="N69" s="4">
        <v>6402950</v>
      </c>
    </row>
    <row r="70" spans="1:14" x14ac:dyDescent="0.2">
      <c r="A70" s="6" t="s">
        <v>15</v>
      </c>
      <c r="B70" s="8">
        <v>25524</v>
      </c>
      <c r="C70" t="str">
        <f t="shared" si="14"/>
        <v>trophy</v>
      </c>
      <c r="D70">
        <f t="shared" si="14"/>
        <v>25524</v>
      </c>
      <c r="F70" s="6" t="s">
        <v>27</v>
      </c>
      <c r="G70" s="4">
        <v>6933870</v>
      </c>
      <c r="H70" t="str">
        <f t="shared" ref="H70:H75" si="15">F70</f>
        <v>castle lite</v>
      </c>
      <c r="I70" s="4">
        <f t="shared" ref="I70:I75" si="16">G70</f>
        <v>6933870</v>
      </c>
      <c r="K70" s="6" t="s">
        <v>39</v>
      </c>
      <c r="L70" s="4">
        <v>25812000</v>
      </c>
      <c r="M70" s="16">
        <v>129060</v>
      </c>
      <c r="N70" s="4">
        <v>6453000</v>
      </c>
    </row>
    <row r="71" spans="1:14" x14ac:dyDescent="0.2">
      <c r="A71" s="6" t="s">
        <v>43</v>
      </c>
      <c r="B71" s="8">
        <v>25408</v>
      </c>
      <c r="C71" t="str">
        <f t="shared" si="14"/>
        <v>beta malt</v>
      </c>
      <c r="D71">
        <f t="shared" si="14"/>
        <v>25408</v>
      </c>
      <c r="F71" s="6" t="s">
        <v>21</v>
      </c>
      <c r="G71" s="4">
        <v>6538250</v>
      </c>
      <c r="H71" t="str">
        <f t="shared" si="15"/>
        <v>budweiser</v>
      </c>
      <c r="I71" s="4">
        <f t="shared" si="16"/>
        <v>6538250</v>
      </c>
      <c r="K71" s="6" t="s">
        <v>48</v>
      </c>
      <c r="L71" s="4">
        <v>18943350</v>
      </c>
      <c r="M71" s="16">
        <v>126289</v>
      </c>
      <c r="N71" s="4">
        <v>7577340</v>
      </c>
    </row>
    <row r="72" spans="1:14" x14ac:dyDescent="0.2">
      <c r="A72" s="6" t="s">
        <v>21</v>
      </c>
      <c r="B72" s="8">
        <v>24419</v>
      </c>
      <c r="C72" t="str">
        <f t="shared" si="14"/>
        <v>budweiser</v>
      </c>
      <c r="D72">
        <f t="shared" si="14"/>
        <v>24419</v>
      </c>
      <c r="F72" s="6" t="s">
        <v>33</v>
      </c>
      <c r="G72" s="4">
        <v>2069760</v>
      </c>
      <c r="H72" t="str">
        <f t="shared" si="15"/>
        <v>eagle lager</v>
      </c>
      <c r="I72" s="4">
        <f t="shared" si="16"/>
        <v>2069760</v>
      </c>
      <c r="K72" s="6" t="s">
        <v>33</v>
      </c>
      <c r="L72" s="4">
        <v>31950750</v>
      </c>
      <c r="M72" s="16">
        <v>127803</v>
      </c>
      <c r="N72" s="4">
        <v>10224240</v>
      </c>
    </row>
    <row r="73" spans="1:14" x14ac:dyDescent="0.2">
      <c r="A73" s="6" t="s">
        <v>69</v>
      </c>
      <c r="B73" s="8">
        <v>178255</v>
      </c>
      <c r="F73" s="6" t="s">
        <v>43</v>
      </c>
      <c r="G73" s="4">
        <v>1776670</v>
      </c>
      <c r="H73" t="str">
        <f t="shared" si="15"/>
        <v>beta malt</v>
      </c>
      <c r="I73" s="4">
        <f t="shared" si="16"/>
        <v>1776670</v>
      </c>
      <c r="K73" s="6" t="s">
        <v>27</v>
      </c>
      <c r="L73" s="4">
        <v>57678300</v>
      </c>
      <c r="M73" s="16">
        <v>128174</v>
      </c>
      <c r="N73" s="4">
        <v>34606980</v>
      </c>
    </row>
    <row r="74" spans="1:14" x14ac:dyDescent="0.2">
      <c r="F74" s="6" t="s">
        <v>48</v>
      </c>
      <c r="G74" s="4">
        <v>1479960</v>
      </c>
      <c r="H74" t="str">
        <f t="shared" si="15"/>
        <v>grand malt</v>
      </c>
      <c r="I74" s="4">
        <f t="shared" si="16"/>
        <v>1479960</v>
      </c>
      <c r="K74" s="6" t="s">
        <v>21</v>
      </c>
      <c r="L74" s="4">
        <v>63137000</v>
      </c>
      <c r="M74" s="16">
        <v>126274</v>
      </c>
      <c r="N74" s="4">
        <v>31568500</v>
      </c>
    </row>
    <row r="75" spans="1:14" x14ac:dyDescent="0.2">
      <c r="A75" s="5" t="s">
        <v>65</v>
      </c>
      <c r="B75" t="s">
        <v>70</v>
      </c>
      <c r="F75" s="6" t="s">
        <v>39</v>
      </c>
      <c r="G75" s="4">
        <v>1290550</v>
      </c>
      <c r="H75" t="str">
        <f t="shared" si="15"/>
        <v>hero</v>
      </c>
      <c r="I75" s="4">
        <f t="shared" si="16"/>
        <v>1290550</v>
      </c>
      <c r="K75" s="6" t="s">
        <v>43</v>
      </c>
      <c r="L75" s="4">
        <v>18759450</v>
      </c>
      <c r="M75" s="16">
        <v>125063</v>
      </c>
      <c r="N75" s="4">
        <v>8754410</v>
      </c>
    </row>
    <row r="76" spans="1:14" x14ac:dyDescent="0.2">
      <c r="A76" s="5" t="s">
        <v>12</v>
      </c>
      <c r="B76" t="s">
        <v>70</v>
      </c>
      <c r="F76" s="6" t="s">
        <v>15</v>
      </c>
      <c r="G76" s="4">
        <v>1287150</v>
      </c>
      <c r="H76" t="str">
        <f>F76</f>
        <v>trophy</v>
      </c>
      <c r="I76" s="4">
        <f>G76</f>
        <v>1287150</v>
      </c>
      <c r="K76" s="6" t="s">
        <v>69</v>
      </c>
      <c r="L76" s="4">
        <v>241892650</v>
      </c>
      <c r="M76" s="16">
        <v>890722</v>
      </c>
      <c r="N76" s="4">
        <v>105587420</v>
      </c>
    </row>
    <row r="77" spans="1:14" x14ac:dyDescent="0.2">
      <c r="F77" s="6" t="s">
        <v>69</v>
      </c>
      <c r="G77" s="4">
        <v>21376210</v>
      </c>
    </row>
    <row r="78" spans="1:14" x14ac:dyDescent="0.2">
      <c r="A78" s="5" t="s">
        <v>75</v>
      </c>
      <c r="B78" t="s">
        <v>117</v>
      </c>
      <c r="C78" t="str">
        <f>A78</f>
        <v>Brands</v>
      </c>
      <c r="D78" t="str">
        <f>B78</f>
        <v>Total Quantity</v>
      </c>
    </row>
    <row r="79" spans="1:14" x14ac:dyDescent="0.2">
      <c r="A79" s="6" t="s">
        <v>48</v>
      </c>
      <c r="B79" s="8">
        <v>126289</v>
      </c>
      <c r="C79" t="str">
        <f>A79</f>
        <v>grand malt</v>
      </c>
      <c r="D79">
        <f>B79</f>
        <v>126289</v>
      </c>
    </row>
    <row r="81" spans="1:9" x14ac:dyDescent="0.2">
      <c r="A81" s="2" t="s">
        <v>97</v>
      </c>
    </row>
    <row r="82" spans="1:9" x14ac:dyDescent="0.2">
      <c r="A82" s="5" t="s">
        <v>10</v>
      </c>
      <c r="B82" t="s">
        <v>29</v>
      </c>
      <c r="F82" s="7" t="s">
        <v>96</v>
      </c>
    </row>
    <row r="83" spans="1:9" x14ac:dyDescent="0.2">
      <c r="A83" s="5" t="s">
        <v>9</v>
      </c>
      <c r="B83" t="s">
        <v>22</v>
      </c>
      <c r="F83" s="5" t="s">
        <v>3</v>
      </c>
      <c r="G83" t="s">
        <v>70</v>
      </c>
    </row>
    <row r="84" spans="1:9" x14ac:dyDescent="0.2">
      <c r="F84" s="5" t="s">
        <v>9</v>
      </c>
      <c r="G84" t="s">
        <v>70</v>
      </c>
    </row>
    <row r="85" spans="1:9" x14ac:dyDescent="0.2">
      <c r="A85" s="5" t="s">
        <v>75</v>
      </c>
      <c r="B85" t="s">
        <v>117</v>
      </c>
      <c r="C85" t="str">
        <f>A85</f>
        <v>Brands</v>
      </c>
      <c r="D85" t="str">
        <f>B85</f>
        <v>Total Quantity</v>
      </c>
    </row>
    <row r="86" spans="1:9" x14ac:dyDescent="0.2">
      <c r="A86" s="6" t="s">
        <v>33</v>
      </c>
      <c r="B86" s="8">
        <v>4551</v>
      </c>
      <c r="C86" t="str">
        <f t="shared" ref="C86:C92" si="17">A86</f>
        <v>eagle lager</v>
      </c>
      <c r="D86">
        <f t="shared" ref="D86:D92" si="18">B86</f>
        <v>4551</v>
      </c>
      <c r="F86" s="5" t="s">
        <v>95</v>
      </c>
      <c r="G86" t="s">
        <v>98</v>
      </c>
      <c r="H86" t="str">
        <f>F86</f>
        <v>Region</v>
      </c>
      <c r="I86" t="str">
        <f>G86</f>
        <v>consumption</v>
      </c>
    </row>
    <row r="87" spans="1:9" x14ac:dyDescent="0.2">
      <c r="A87" s="6" t="s">
        <v>15</v>
      </c>
      <c r="B87" s="8">
        <v>4468</v>
      </c>
      <c r="C87" t="str">
        <f t="shared" si="17"/>
        <v>trophy</v>
      </c>
      <c r="D87">
        <f t="shared" si="18"/>
        <v>4468</v>
      </c>
      <c r="F87" s="6" t="s">
        <v>29</v>
      </c>
      <c r="G87" s="8">
        <v>150106</v>
      </c>
      <c r="H87" t="str">
        <f t="shared" ref="H87:H92" si="19">F87</f>
        <v>southsouth</v>
      </c>
      <c r="I87">
        <f t="shared" ref="I87:I92" si="20">G87</f>
        <v>150106</v>
      </c>
    </row>
    <row r="88" spans="1:9" x14ac:dyDescent="0.2">
      <c r="A88" s="6" t="s">
        <v>39</v>
      </c>
      <c r="B88" s="8">
        <v>4456</v>
      </c>
      <c r="C88" t="str">
        <f t="shared" si="17"/>
        <v>hero</v>
      </c>
      <c r="D88">
        <f t="shared" si="18"/>
        <v>4456</v>
      </c>
      <c r="F88" s="6" t="s">
        <v>23</v>
      </c>
      <c r="G88" s="8">
        <v>149755</v>
      </c>
      <c r="H88" t="str">
        <f t="shared" si="19"/>
        <v>west</v>
      </c>
      <c r="I88">
        <f t="shared" si="20"/>
        <v>149755</v>
      </c>
    </row>
    <row r="89" spans="1:9" x14ac:dyDescent="0.2">
      <c r="A89" s="6" t="s">
        <v>21</v>
      </c>
      <c r="B89" s="8">
        <v>4328</v>
      </c>
      <c r="C89" t="str">
        <f t="shared" si="17"/>
        <v>budweiser</v>
      </c>
      <c r="D89">
        <f t="shared" si="18"/>
        <v>4328</v>
      </c>
      <c r="F89" s="6" t="s">
        <v>17</v>
      </c>
      <c r="G89" s="8">
        <v>148964</v>
      </c>
      <c r="H89" t="str">
        <f t="shared" si="19"/>
        <v>Southeast</v>
      </c>
      <c r="I89">
        <f t="shared" si="20"/>
        <v>148964</v>
      </c>
    </row>
    <row r="90" spans="1:9" x14ac:dyDescent="0.2">
      <c r="A90" s="6" t="s">
        <v>27</v>
      </c>
      <c r="B90" s="8">
        <v>4287</v>
      </c>
      <c r="C90" t="str">
        <f t="shared" si="17"/>
        <v>castle lite</v>
      </c>
      <c r="D90">
        <f t="shared" si="18"/>
        <v>4287</v>
      </c>
      <c r="F90" s="6" t="s">
        <v>41</v>
      </c>
      <c r="G90" s="8">
        <v>148209</v>
      </c>
      <c r="H90" t="str">
        <f t="shared" si="19"/>
        <v>northeast</v>
      </c>
      <c r="I90">
        <f t="shared" si="20"/>
        <v>148209</v>
      </c>
    </row>
    <row r="91" spans="1:9" x14ac:dyDescent="0.2">
      <c r="A91" s="6" t="s">
        <v>43</v>
      </c>
      <c r="B91" s="8">
        <v>4257</v>
      </c>
      <c r="C91" t="str">
        <f t="shared" si="17"/>
        <v>beta malt</v>
      </c>
      <c r="D91">
        <f t="shared" si="18"/>
        <v>4257</v>
      </c>
      <c r="F91" s="6" t="s">
        <v>44</v>
      </c>
      <c r="G91" s="8">
        <v>147175</v>
      </c>
      <c r="H91" t="str">
        <f t="shared" si="19"/>
        <v>northcentral</v>
      </c>
      <c r="I91">
        <f t="shared" si="20"/>
        <v>147175</v>
      </c>
    </row>
    <row r="92" spans="1:9" x14ac:dyDescent="0.2">
      <c r="A92" s="6" t="s">
        <v>48</v>
      </c>
      <c r="B92" s="8">
        <v>3914</v>
      </c>
      <c r="C92" t="str">
        <f t="shared" si="17"/>
        <v>grand malt</v>
      </c>
      <c r="D92">
        <f t="shared" si="18"/>
        <v>3914</v>
      </c>
      <c r="F92" s="6" t="s">
        <v>35</v>
      </c>
      <c r="G92" s="8">
        <v>146513</v>
      </c>
      <c r="H92" t="str">
        <f t="shared" si="19"/>
        <v>northwest</v>
      </c>
      <c r="I92">
        <f t="shared" si="20"/>
        <v>146513</v>
      </c>
    </row>
    <row r="93" spans="1:9" x14ac:dyDescent="0.2">
      <c r="A93" s="6" t="s">
        <v>69</v>
      </c>
      <c r="B93" s="8">
        <v>30261</v>
      </c>
      <c r="F93" s="6" t="s">
        <v>69</v>
      </c>
      <c r="G93" s="8">
        <v>890722</v>
      </c>
    </row>
    <row r="96" spans="1:9" x14ac:dyDescent="0.2">
      <c r="A96" s="5" t="s">
        <v>3</v>
      </c>
      <c r="B96" t="s">
        <v>21</v>
      </c>
    </row>
    <row r="97" spans="1:4" x14ac:dyDescent="0.2">
      <c r="A97" s="5" t="s">
        <v>12</v>
      </c>
      <c r="B97" s="6">
        <v>2019</v>
      </c>
    </row>
    <row r="98" spans="1:4" x14ac:dyDescent="0.2">
      <c r="A98" s="5" t="s">
        <v>9</v>
      </c>
      <c r="B98" t="s">
        <v>22</v>
      </c>
    </row>
    <row r="100" spans="1:4" x14ac:dyDescent="0.2">
      <c r="A100" s="5" t="s">
        <v>95</v>
      </c>
      <c r="B100" t="s">
        <v>98</v>
      </c>
    </row>
    <row r="101" spans="1:4" x14ac:dyDescent="0.2">
      <c r="A101" s="6" t="s">
        <v>23</v>
      </c>
      <c r="B101" s="8">
        <v>884</v>
      </c>
    </row>
    <row r="102" spans="1:4" x14ac:dyDescent="0.2">
      <c r="A102" s="6" t="s">
        <v>29</v>
      </c>
      <c r="B102" s="8">
        <v>847</v>
      </c>
    </row>
    <row r="103" spans="1:4" x14ac:dyDescent="0.2">
      <c r="A103" s="6" t="s">
        <v>17</v>
      </c>
      <c r="B103" s="8">
        <v>1821</v>
      </c>
    </row>
    <row r="104" spans="1:4" x14ac:dyDescent="0.2">
      <c r="A104" s="6" t="s">
        <v>35</v>
      </c>
      <c r="B104" s="8">
        <v>948</v>
      </c>
    </row>
    <row r="105" spans="1:4" x14ac:dyDescent="0.2">
      <c r="A105" s="6" t="s">
        <v>41</v>
      </c>
      <c r="B105" s="8">
        <v>990</v>
      </c>
    </row>
    <row r="106" spans="1:4" x14ac:dyDescent="0.2">
      <c r="A106" s="6" t="s">
        <v>69</v>
      </c>
      <c r="B106" s="8">
        <v>5490</v>
      </c>
    </row>
    <row r="109" spans="1:4" ht="12.75" customHeight="1" x14ac:dyDescent="0.2">
      <c r="A109" s="17" t="s">
        <v>99</v>
      </c>
      <c r="B109" s="17"/>
      <c r="C109" s="17"/>
      <c r="D109" s="17"/>
    </row>
    <row r="110" spans="1:4" ht="12.75" customHeight="1" x14ac:dyDescent="0.2">
      <c r="A110" s="17"/>
      <c r="B110" s="17"/>
      <c r="C110" s="17"/>
      <c r="D110" s="17"/>
    </row>
    <row r="111" spans="1:4" ht="12.75" customHeight="1" x14ac:dyDescent="0.2">
      <c r="A111" s="17"/>
      <c r="B111" s="17"/>
      <c r="C111" s="17"/>
      <c r="D111" s="17"/>
    </row>
    <row r="113" spans="1:9" x14ac:dyDescent="0.2">
      <c r="F113" s="7" t="s">
        <v>114</v>
      </c>
    </row>
    <row r="114" spans="1:9" x14ac:dyDescent="0.2">
      <c r="A114" s="7" t="s">
        <v>100</v>
      </c>
      <c r="F114" s="5" t="s">
        <v>3</v>
      </c>
      <c r="G114" t="s">
        <v>21</v>
      </c>
    </row>
    <row r="115" spans="1:9" x14ac:dyDescent="0.2">
      <c r="A115" s="5" t="s">
        <v>90</v>
      </c>
      <c r="B115" t="s">
        <v>91</v>
      </c>
      <c r="F115" s="5" t="s">
        <v>9</v>
      </c>
      <c r="G115" t="s">
        <v>40</v>
      </c>
    </row>
    <row r="117" spans="1:9" x14ac:dyDescent="0.2">
      <c r="A117" s="5" t="s">
        <v>109</v>
      </c>
      <c r="B117" t="s">
        <v>117</v>
      </c>
      <c r="C117" t="str">
        <f>A117</f>
        <v>Country</v>
      </c>
      <c r="D117" t="str">
        <f>B117</f>
        <v>Total Quantity</v>
      </c>
      <c r="F117" s="5" t="s">
        <v>108</v>
      </c>
      <c r="G117" t="s">
        <v>116</v>
      </c>
      <c r="H117" t="str">
        <f>F117</f>
        <v>Sales rep</v>
      </c>
      <c r="I117" t="str">
        <f>G117</f>
        <v>Total Sales</v>
      </c>
    </row>
    <row r="118" spans="1:9" x14ac:dyDescent="0.2">
      <c r="A118" s="6" t="s">
        <v>40</v>
      </c>
      <c r="B118" s="8">
        <v>129875</v>
      </c>
      <c r="C118" t="str">
        <f>A118</f>
        <v>Senegal</v>
      </c>
      <c r="D118">
        <f>B118</f>
        <v>129875</v>
      </c>
      <c r="F118" s="6" t="s">
        <v>31</v>
      </c>
      <c r="G118" s="4">
        <v>2958500</v>
      </c>
      <c r="H118" t="str">
        <f>F118</f>
        <v>Jones</v>
      </c>
      <c r="I118" s="4">
        <f>G118</f>
        <v>2958500</v>
      </c>
    </row>
    <row r="121" spans="1:9" x14ac:dyDescent="0.2">
      <c r="A121" s="7" t="s">
        <v>107</v>
      </c>
    </row>
    <row r="123" spans="1:9" x14ac:dyDescent="0.2">
      <c r="A123" s="5" t="s">
        <v>12</v>
      </c>
      <c r="B123" t="s">
        <v>70</v>
      </c>
    </row>
    <row r="125" spans="1:9" x14ac:dyDescent="0.2">
      <c r="A125" s="5" t="s">
        <v>109</v>
      </c>
      <c r="B125" t="s">
        <v>111</v>
      </c>
      <c r="C125" t="str">
        <f t="shared" ref="C125:D130" si="21">A125</f>
        <v>Country</v>
      </c>
      <c r="D125" t="str">
        <f t="shared" si="21"/>
        <v>Total Profit</v>
      </c>
    </row>
    <row r="126" spans="1:9" x14ac:dyDescent="0.2">
      <c r="A126" s="6" t="s">
        <v>28</v>
      </c>
      <c r="B126" s="4">
        <v>20751000</v>
      </c>
      <c r="C126" t="str">
        <f t="shared" si="21"/>
        <v>Togo</v>
      </c>
      <c r="D126">
        <f t="shared" si="21"/>
        <v>20751000</v>
      </c>
    </row>
    <row r="127" spans="1:9" x14ac:dyDescent="0.2">
      <c r="A127" s="6" t="s">
        <v>40</v>
      </c>
      <c r="B127" s="4">
        <v>21485190</v>
      </c>
      <c r="C127" t="str">
        <f t="shared" si="21"/>
        <v>Senegal</v>
      </c>
      <c r="D127">
        <f t="shared" si="21"/>
        <v>21485190</v>
      </c>
    </row>
    <row r="128" spans="1:9" x14ac:dyDescent="0.2">
      <c r="A128" s="6" t="s">
        <v>22</v>
      </c>
      <c r="B128" s="4">
        <v>21376210</v>
      </c>
      <c r="C128" t="str">
        <f t="shared" si="21"/>
        <v>Nigeria</v>
      </c>
      <c r="D128">
        <f t="shared" si="21"/>
        <v>21376210</v>
      </c>
    </row>
    <row r="129" spans="1:4" x14ac:dyDescent="0.2">
      <c r="A129" s="6" t="s">
        <v>16</v>
      </c>
      <c r="B129" s="4">
        <v>21013050</v>
      </c>
      <c r="C129" t="str">
        <f t="shared" si="21"/>
        <v>Ghana</v>
      </c>
      <c r="D129">
        <f t="shared" si="21"/>
        <v>21013050</v>
      </c>
    </row>
    <row r="130" spans="1:4" x14ac:dyDescent="0.2">
      <c r="A130" s="6" t="s">
        <v>34</v>
      </c>
      <c r="B130" s="4">
        <v>20961970</v>
      </c>
      <c r="C130" t="str">
        <f t="shared" si="21"/>
        <v>Benin</v>
      </c>
      <c r="D130">
        <f t="shared" si="21"/>
        <v>20961970</v>
      </c>
    </row>
  </sheetData>
  <mergeCells count="3">
    <mergeCell ref="A48:D50"/>
    <mergeCell ref="A1:D3"/>
    <mergeCell ref="A109:D111"/>
  </mergeCells>
  <conditionalFormatting sqref="F70">
    <cfRule type="top10" priority="2" rank="5"/>
  </conditionalFormatting>
  <conditionalFormatting sqref="K69">
    <cfRule type="top10" priority="1" rank="5"/>
  </conditionalFormatting>
  <pageMargins left="0.7" right="0.7" top="0.75" bottom="0.75" header="0.3" footer="0.3"/>
  <pageSetup orientation="portrait" r:id="rId2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40F9-9A49-44FE-BACE-4DF823DF838A}">
  <dimension ref="A32:A36"/>
  <sheetViews>
    <sheetView showGridLines="0" zoomScale="38" zoomScaleNormal="100" workbookViewId="0">
      <selection activeCell="K53" sqref="K53"/>
    </sheetView>
  </sheetViews>
  <sheetFormatPr defaultRowHeight="12.75" x14ac:dyDescent="0.2"/>
  <sheetData>
    <row r="32" customFormat="1" x14ac:dyDescent="0.2"/>
    <row r="36" customFormat="1"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359E3-21FB-4013-8094-CA266F6124F6}">
  <dimension ref="A32:A36"/>
  <sheetViews>
    <sheetView showGridLines="0" tabSelected="1" zoomScale="66" zoomScaleNormal="86" workbookViewId="0">
      <selection activeCell="Q3" sqref="Q3"/>
    </sheetView>
  </sheetViews>
  <sheetFormatPr defaultRowHeight="12.75" x14ac:dyDescent="0.2"/>
  <sheetData>
    <row r="32" customFormat="1" x14ac:dyDescent="0.2"/>
    <row r="36" customFormat="1"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 Page</vt:lpstr>
      <vt:lpstr>Cleaned Data</vt:lpstr>
      <vt:lpstr>Pivot Table</vt:lpstr>
      <vt:lpstr>Profit Analysis</vt:lpstr>
      <vt:lpstr>Brand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Dayo Pelumi</dc:creator>
  <cp:lastModifiedBy>Eniola Adebayo</cp:lastModifiedBy>
  <dcterms:created xsi:type="dcterms:W3CDTF">2024-02-01T15:57:24Z</dcterms:created>
  <dcterms:modified xsi:type="dcterms:W3CDTF">2026-04-22T15:57:18Z</dcterms:modified>
</cp:coreProperties>
</file>